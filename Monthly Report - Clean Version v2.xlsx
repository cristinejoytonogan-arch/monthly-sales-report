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onthly Data" sheetId="3" state="visible" r:id="rId3"/>
    <sheet xmlns:r="http://schemas.openxmlformats.org/officeDocument/2006/relationships" name="Amazon Dashboard" sheetId="4" state="visible" r:id="rId4"/>
    <sheet xmlns:r="http://schemas.openxmlformats.org/officeDocument/2006/relationships" name="TikTok Dashboard" sheetId="5" state="visible" r:id="rId5"/>
    <sheet xmlns:r="http://schemas.openxmlformats.org/officeDocument/2006/relationships" name="Shopify Dashboard" sheetId="6" state="visible" r:id="rId6"/>
    <sheet xmlns:r="http://schemas.openxmlformats.org/officeDocument/2006/relationships" name="Walmart Dashboard" sheetId="7" state="visible" r:id="rId7"/>
    <sheet xmlns:r="http://schemas.openxmlformats.org/officeDocument/2006/relationships" name="Sales Data" sheetId="8" state="visible" r:id="rId8"/>
    <sheet xmlns:r="http://schemas.openxmlformats.org/officeDocument/2006/relationships" name="Main Expenses" sheetId="9" state="visible" r:id="rId9"/>
    <sheet xmlns:r="http://schemas.openxmlformats.org/officeDocument/2006/relationships" name="Sub Expenses" sheetId="10" state="visible" r:id="rId10"/>
    <sheet xmlns:r="http://schemas.openxmlformats.org/officeDocument/2006/relationships" name="Setup" sheetId="11" state="visible" r:id="rId11"/>
  </sheets>
  <definedNames>
    <definedName name="AllMarketplaces" hidden="0" function="0" vbProcedure="0">Setup!$E$7:$E$13</definedName>
    <definedName name="AmazonCountries" hidden="0" function="0" vbProcedure="0">Setup!$D$7:$D$9</definedName>
    <definedName name="MonthList" hidden="0" function="0" vbProcedure="0">Setup!$B$7:$B$18</definedName>
    <definedName name="YearList" hidden="0" function="0" vbProcedure="0">Setup!$C$7:$C$11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\$#,##0"/>
    <numFmt numFmtId="166" formatCode="mmm\ d&quot;, &quot;yyyy"/>
    <numFmt numFmtId="167" formatCode="#,##0&quot; units&quot;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0F172A"/>
      <sz val="36"/>
    </font>
    <font>
      <name val="Segoe UI"/>
      <charset val="1"/>
      <family val="0"/>
      <b val="1"/>
      <color rgb="FF272757"/>
      <sz val="16"/>
    </font>
    <font>
      <name val="Segoe UI"/>
      <charset val="1"/>
      <family val="0"/>
      <i val="1"/>
      <color rgb="FF64748B"/>
      <sz val="10"/>
    </font>
    <font>
      <name val="Segoe UI"/>
      <charset val="1"/>
      <family val="0"/>
      <b val="1"/>
      <color rgb="FF0F172A"/>
      <sz val="11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b val="1"/>
      <color rgb="FF272757"/>
      <sz val="10"/>
    </font>
    <font>
      <name val="Segoe UI"/>
      <charset val="1"/>
      <family val="0"/>
      <b val="1"/>
      <color rgb="FF0F172A"/>
      <sz val="10"/>
    </font>
    <font>
      <name val="Segoe UI"/>
      <charset val="1"/>
      <family val="0"/>
      <color rgb="FF64748B"/>
      <sz val="10"/>
    </font>
    <font>
      <name val="Segoe UI"/>
      <charset val="1"/>
      <family val="0"/>
      <i val="1"/>
      <color rgb="FF64748B"/>
      <sz val="9"/>
    </font>
    <font>
      <name val="Segoe UI"/>
      <charset val="1"/>
      <family val="0"/>
      <b val="1"/>
      <color rgb="FF0F172A"/>
      <sz val="22"/>
    </font>
    <font>
      <name val="Segoe UI"/>
      <charset val="1"/>
      <family val="0"/>
      <b val="1"/>
      <color rgb="FFFFFFFF"/>
      <sz val="9"/>
    </font>
    <font>
      <name val="Segoe UI"/>
      <charset val="1"/>
      <family val="0"/>
      <b val="1"/>
      <color rgb="FF1C1D3D"/>
      <sz val="11"/>
    </font>
    <font>
      <name val="Segoe UI"/>
      <charset val="1"/>
      <family val="0"/>
      <b val="1"/>
      <color rgb="FF0F172A"/>
      <sz val="13"/>
    </font>
    <font>
      <name val="Segoe UI"/>
      <charset val="1"/>
      <family val="0"/>
      <color rgb="FF0F172A"/>
      <sz val="9"/>
    </font>
    <font>
      <name val="Segoe UI"/>
      <charset val="1"/>
      <family val="0"/>
      <b val="1"/>
      <color rgb="FF64748B"/>
      <sz val="9"/>
    </font>
    <font>
      <name val="Segoe UI"/>
      <charset val="1"/>
      <family val="0"/>
      <color rgb="FF0F172A"/>
      <sz val="8"/>
    </font>
    <font>
      <name val="Segoe UI"/>
      <charset val="1"/>
      <family val="0"/>
      <b val="1"/>
      <color rgb="FF0F172A"/>
      <sz val="9"/>
    </font>
    <font>
      <name val="Segoe UI"/>
      <charset val="1"/>
      <family val="0"/>
      <b val="1"/>
      <color rgb="FF0F172A"/>
      <sz val="8"/>
    </font>
    <font>
      <name val="Segoe UI"/>
      <charset val="1"/>
      <family val="0"/>
      <b val="1"/>
      <color rgb="FF0F172A"/>
      <sz val="20"/>
    </font>
    <font>
      <name val="Segoe UI"/>
      <charset val="1"/>
      <family val="0"/>
      <b val="1"/>
      <color rgb="FFFFFFFF"/>
      <sz val="13"/>
    </font>
    <font>
      <name val="Segoe UI"/>
      <charset val="1"/>
      <family val="0"/>
      <b val="1"/>
      <color rgb="FF0F172A"/>
      <sz val="12"/>
    </font>
    <font>
      <name val="Segoe UI"/>
      <charset val="1"/>
      <family val="0"/>
      <b val="1"/>
      <color rgb="FF272757"/>
      <sz val="12"/>
    </font>
    <font>
      <name val="Segoe UI"/>
      <charset val="1"/>
      <family val="0"/>
      <b val="1"/>
      <color rgb="FF272757"/>
      <sz val="9"/>
    </font>
    <font>
      <name val="Segoe UI"/>
      <charset val="1"/>
      <family val="0"/>
      <b val="1"/>
      <color rgb="FF0F172A"/>
      <sz val="18"/>
    </font>
    <font>
      <name val="Segoe UI"/>
      <charset val="1"/>
      <family val="0"/>
      <b val="1"/>
      <color rgb="FF0F172A"/>
      <sz val="16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sz val="10"/>
    </font>
  </fonts>
  <fills count="18">
    <fill>
      <patternFill/>
    </fill>
    <fill>
      <patternFill patternType="gray125"/>
    </fill>
    <fill>
      <patternFill patternType="solid">
        <fgColor rgb="FF272757"/>
        <bgColor rgb="FF1C1D3D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0F172A"/>
        <bgColor rgb="FF1C1D3D"/>
      </patternFill>
    </fill>
    <fill>
      <patternFill patternType="solid">
        <fgColor rgb="FFE5E7F3"/>
        <bgColor rgb="FFE2E8F0"/>
      </patternFill>
    </fill>
    <fill>
      <patternFill patternType="solid">
        <fgColor rgb="FF475569"/>
        <bgColor rgb="FF64748B"/>
      </patternFill>
    </fill>
    <fill>
      <patternFill patternType="solid">
        <fgColor rgb="FFBE185D"/>
        <bgColor rgb="FF993366"/>
      </patternFill>
    </fill>
    <fill>
      <patternFill patternType="solid">
        <fgColor rgb="FF047857"/>
        <bgColor rgb="FF008080"/>
      </patternFill>
    </fill>
    <fill>
      <patternFill patternType="solid">
        <fgColor rgb="FF1D4ED8"/>
        <bgColor rgb="FF3366FF"/>
      </patternFill>
    </fill>
    <fill>
      <patternFill patternType="solid">
        <fgColor rgb="FF64748B"/>
        <bgColor rgb="FF808080"/>
      </patternFill>
    </fill>
    <fill>
      <patternFill patternType="solid">
        <fgColor rgb="FFE2E8F0"/>
        <bgColor rgb="FFE5E7F3"/>
      </patternFill>
    </fill>
    <fill>
      <patternFill patternType="solid">
        <fgColor rgb="FFFCE7F3"/>
        <bgColor rgb="FFEDF2F7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EFF6FF"/>
        <bgColor rgb="FFF1F5F9"/>
      </patternFill>
    </fill>
    <fill>
      <patternFill patternType="solid">
        <fgColor rgb="FFF1F5F9"/>
        <bgColor rgb="FFEFF6FF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72757"/>
      </left>
      <right style="medium">
        <color rgb="FF272757"/>
      </right>
      <top style="medium">
        <color rgb="FF272757"/>
      </top>
      <bottom style="medium">
        <color rgb="FF272757"/>
      </bottom>
      <diagonal/>
    </border>
    <border>
      <left style="thin">
        <color rgb="FFEDF2F7"/>
      </left>
      <right style="thin">
        <color rgb="FFEDF2F7"/>
      </right>
      <top style="thin">
        <color rgb="FFEDF2F7"/>
      </top>
      <bottom style="thin">
        <color rgb="FFEDF2F7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DF2F7"/>
      </left>
      <right/>
      <top/>
      <bottom/>
      <diagonal/>
    </border>
    <border>
      <left style="thin">
        <color rgb="FFEDF2F7"/>
      </left>
      <right style="thin">
        <color rgb="FFEDF2F7"/>
      </right>
      <top/>
      <bottom/>
      <diagonal/>
    </border>
    <border>
      <left style="thin">
        <color rgb="FFEDF2F7"/>
      </left>
      <right style="thin">
        <color rgb="FFEDF2F7"/>
      </right>
      <top/>
      <bottom style="thin">
        <color rgb="FFEDF2F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4" fillId="5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left" vertical="center" indent="1"/>
    </xf>
    <xf numFmtId="164" fontId="17" fillId="3" borderId="3" applyAlignment="1" pivotButton="0" quotePrefix="0" xfId="0">
      <alignment horizontal="right" vertical="center" indent="1"/>
    </xf>
    <xf numFmtId="10" fontId="17" fillId="3" borderId="3" applyAlignment="1" pivotButton="0" quotePrefix="0" xfId="0">
      <alignment horizontal="right" vertical="center" indent="1"/>
    </xf>
    <xf numFmtId="0" fontId="10" fillId="4" borderId="3" applyAlignment="1" pivotButton="0" quotePrefix="0" xfId="0">
      <alignment horizontal="left" vertical="center" indent="1"/>
    </xf>
    <xf numFmtId="164" fontId="17" fillId="4" borderId="3" applyAlignment="1" pivotButton="0" quotePrefix="0" xfId="0">
      <alignment horizontal="right" vertical="center" indent="1"/>
    </xf>
    <xf numFmtId="10" fontId="17" fillId="4" borderId="3" applyAlignment="1" pivotButton="0" quotePrefix="0" xfId="0">
      <alignment horizontal="right" vertical="center" indent="1"/>
    </xf>
    <xf numFmtId="0" fontId="8" fillId="2" borderId="3" applyAlignment="1" pivotButton="0" quotePrefix="0" xfId="0">
      <alignment horizontal="left" vertical="center" indent="1"/>
    </xf>
    <xf numFmtId="164" fontId="8" fillId="2" borderId="3" applyAlignment="1" pivotButton="0" quotePrefix="0" xfId="0">
      <alignment horizontal="right" vertical="center" indent="1"/>
    </xf>
    <xf numFmtId="10" fontId="8" fillId="2" borderId="3" applyAlignment="1" pivotButton="0" quotePrefix="0" xfId="0">
      <alignment horizontal="right" vertical="center" indent="1"/>
    </xf>
    <xf numFmtId="0" fontId="1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right" vertical="center"/>
    </xf>
    <xf numFmtId="0" fontId="14" fillId="5" borderId="3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 indent="1"/>
    </xf>
    <xf numFmtId="0" fontId="17" fillId="3" borderId="3" applyAlignment="1" pivotButton="0" quotePrefix="0" xfId="0">
      <alignment horizontal="left" vertical="center" indent="1"/>
    </xf>
    <xf numFmtId="165" fontId="19" fillId="3" borderId="3" applyAlignment="1" pivotButton="0" quotePrefix="0" xfId="0">
      <alignment horizontal="right" vertical="center" indent="1"/>
    </xf>
    <xf numFmtId="165" fontId="14" fillId="2" borderId="3" applyAlignment="1" pivotButton="0" quotePrefix="0" xfId="0">
      <alignment horizontal="right" vertical="center" indent="1"/>
    </xf>
    <xf numFmtId="0" fontId="20" fillId="3" borderId="3" applyAlignment="1" pivotButton="0" quotePrefix="0" xfId="0">
      <alignment horizontal="left" vertical="center" indent="1"/>
    </xf>
    <xf numFmtId="165" fontId="21" fillId="3" borderId="3" applyAlignment="1" pivotButton="0" quotePrefix="0" xfId="0">
      <alignment horizontal="right" vertical="center" indent="1"/>
    </xf>
    <xf numFmtId="10" fontId="19" fillId="3" borderId="3" applyAlignment="1" pivotButton="0" quotePrefix="0" xfId="0">
      <alignment horizontal="right" vertical="center" indent="1"/>
    </xf>
    <xf numFmtId="10" fontId="14" fillId="2" borderId="3" applyAlignment="1" pivotButton="0" quotePrefix="0" xfId="0">
      <alignment horizontal="right" vertical="center" indent="1"/>
    </xf>
    <xf numFmtId="0" fontId="9" fillId="4" borderId="3" applyAlignment="1" pivotButton="0" quotePrefix="0" xfId="0">
      <alignment horizontal="left" vertical="center" indent="1"/>
    </xf>
    <xf numFmtId="0" fontId="17" fillId="4" borderId="3" applyAlignment="1" pivotButton="0" quotePrefix="0" xfId="0">
      <alignment horizontal="left" vertical="center" indent="1"/>
    </xf>
    <xf numFmtId="165" fontId="19" fillId="4" borderId="3" applyAlignment="1" pivotButton="0" quotePrefix="0" xfId="0">
      <alignment horizontal="right" vertical="center" indent="1"/>
    </xf>
    <xf numFmtId="0" fontId="20" fillId="4" borderId="3" applyAlignment="1" pivotButton="0" quotePrefix="0" xfId="0">
      <alignment horizontal="left" vertical="center" indent="1"/>
    </xf>
    <xf numFmtId="165" fontId="21" fillId="4" borderId="3" applyAlignment="1" pivotButton="0" quotePrefix="0" xfId="0">
      <alignment horizontal="right" vertical="center" indent="1"/>
    </xf>
    <xf numFmtId="10" fontId="19" fillId="4" borderId="3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general" vertical="bottom"/>
    </xf>
    <xf numFmtId="0" fontId="23" fillId="2" borderId="3" applyAlignment="1" pivotButton="0" quotePrefix="0" xfId="0">
      <alignment horizontal="left" vertical="center" indent="1"/>
    </xf>
    <xf numFmtId="0" fontId="0" fillId="2" borderId="3" applyAlignment="1" pivotButton="0" quotePrefix="0" xfId="0">
      <alignment horizontal="general" vertical="bottom"/>
    </xf>
    <xf numFmtId="166" fontId="17" fillId="3" borderId="3" applyAlignment="1" pivotButton="0" quotePrefix="0" xfId="0">
      <alignment horizontal="center" vertical="center" indent="1"/>
    </xf>
    <xf numFmtId="0" fontId="17" fillId="4" borderId="3" applyAlignment="1" pivotButton="0" quotePrefix="0" xfId="0">
      <alignment horizontal="center" vertical="center" indent="1"/>
    </xf>
    <xf numFmtId="0" fontId="17" fillId="3" borderId="3" applyAlignment="1" pivotButton="0" quotePrefix="0" xfId="0">
      <alignment horizontal="center" vertical="center" indent="1"/>
    </xf>
    <xf numFmtId="0" fontId="14" fillId="5" borderId="3" applyAlignment="1" pivotButton="0" quotePrefix="0" xfId="0">
      <alignment horizontal="center" vertical="center" indent="1"/>
    </xf>
    <xf numFmtId="0" fontId="14" fillId="5" borderId="3" applyAlignment="1" pivotButton="0" quotePrefix="0" xfId="0">
      <alignment horizontal="right" vertical="center" indent="1"/>
    </xf>
    <xf numFmtId="164" fontId="14" fillId="5" borderId="3" applyAlignment="1" pivotButton="0" quotePrefix="0" xfId="0">
      <alignment horizontal="right" vertical="center" indent="1"/>
    </xf>
    <xf numFmtId="10" fontId="14" fillId="5" borderId="3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general" vertical="bottom"/>
    </xf>
    <xf numFmtId="164" fontId="25" fillId="3" borderId="1" applyAlignment="1" pivotButton="0" quotePrefix="0" xfId="0">
      <alignment horizontal="right" vertical="center" indent="1"/>
    </xf>
    <xf numFmtId="164" fontId="25" fillId="4" borderId="1" applyAlignment="1" pivotButton="0" quotePrefix="0" xfId="0">
      <alignment horizontal="right" vertical="center" indent="1"/>
    </xf>
    <xf numFmtId="167" fontId="25" fillId="3" borderId="1" applyAlignment="1" pivotButton="0" quotePrefix="0" xfId="0">
      <alignment horizontal="right" vertical="center" indent="1"/>
    </xf>
    <xf numFmtId="10" fontId="25" fillId="4" borderId="1" applyAlignment="1" pivotButton="0" quotePrefix="0" xfId="0">
      <alignment horizontal="right" vertical="center" indent="1"/>
    </xf>
    <xf numFmtId="10" fontId="25" fillId="3" borderId="1" applyAlignment="1" pivotButton="0" quotePrefix="0" xfId="0">
      <alignment horizontal="right" vertical="center" indent="1"/>
    </xf>
    <xf numFmtId="0" fontId="26" fillId="3" borderId="3" applyAlignment="1" pivotButton="0" quotePrefix="0" xfId="0">
      <alignment horizontal="left" vertical="center" indent="1"/>
    </xf>
    <xf numFmtId="3" fontId="19" fillId="4" borderId="3" applyAlignment="1" pivotButton="0" quotePrefix="0" xfId="0">
      <alignment horizontal="right" vertical="center" indent="1"/>
    </xf>
    <xf numFmtId="3" fontId="14" fillId="2" borderId="3" applyAlignment="1" pivotButton="0" quotePrefix="0" xfId="0">
      <alignment horizontal="right" vertical="center" indent="1"/>
    </xf>
    <xf numFmtId="10" fontId="21" fillId="3" borderId="3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general" vertical="bottom"/>
    </xf>
    <xf numFmtId="164" fontId="10" fillId="3" borderId="3" applyAlignment="1" pivotButton="0" quotePrefix="0" xfId="0">
      <alignment horizontal="right" vertical="center" indent="1"/>
    </xf>
    <xf numFmtId="10" fontId="10" fillId="3" borderId="3" applyAlignment="1" pivotButton="0" quotePrefix="0" xfId="0">
      <alignment horizontal="right" vertical="center" indent="1"/>
    </xf>
    <xf numFmtId="0" fontId="12" fillId="3" borderId="3" applyAlignment="1" pivotButton="0" quotePrefix="0" xfId="0">
      <alignment horizontal="left" vertical="center" indent="1"/>
    </xf>
    <xf numFmtId="164" fontId="0" fillId="3" borderId="3" applyAlignment="1" pivotButton="0" quotePrefix="0" xfId="0">
      <alignment horizontal="right" vertical="center" indent="1"/>
    </xf>
    <xf numFmtId="10" fontId="0" fillId="3" borderId="3" applyAlignment="1" pivotButton="0" quotePrefix="0" xfId="0">
      <alignment horizontal="right" vertical="center" indent="1"/>
    </xf>
    <xf numFmtId="167" fontId="25" fillId="4" borderId="1" applyAlignment="1" pivotButton="0" quotePrefix="0" xfId="0">
      <alignment horizontal="right" vertical="center" indent="1"/>
    </xf>
    <xf numFmtId="0" fontId="26" fillId="4" borderId="3" applyAlignment="1" pivotButton="0" quotePrefix="0" xfId="0">
      <alignment horizontal="left" vertical="center" indent="1"/>
    </xf>
    <xf numFmtId="10" fontId="21" fillId="4" borderId="3" applyAlignment="1" pivotButton="0" quotePrefix="0" xfId="0">
      <alignment horizontal="right" vertical="center" indent="1"/>
    </xf>
    <xf numFmtId="0" fontId="27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166" fontId="17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indent="1"/>
    </xf>
    <xf numFmtId="164" fontId="17" fillId="16" borderId="0" applyAlignment="1" pivotButton="0" quotePrefix="0" xfId="0">
      <alignment horizontal="right" vertical="center" indent="1"/>
    </xf>
    <xf numFmtId="10" fontId="17" fillId="16" borderId="0" applyAlignment="1" pivotButton="0" quotePrefix="0" xfId="0">
      <alignment horizontal="right" vertical="center" indent="1"/>
    </xf>
    <xf numFmtId="0" fontId="17" fillId="16" borderId="0" applyAlignment="1" pivotButton="0" quotePrefix="0" xfId="0">
      <alignment horizontal="right" vertical="center" indent="1"/>
    </xf>
    <xf numFmtId="164" fontId="17" fillId="17" borderId="0" applyAlignment="1" pivotButton="0" quotePrefix="0" xfId="0">
      <alignment horizontal="right" vertical="center" indent="1"/>
    </xf>
    <xf numFmtId="0" fontId="17" fillId="17" borderId="0" applyAlignment="1" pivotButton="0" quotePrefix="0" xfId="0">
      <alignment horizontal="left" vertical="center" indent="1"/>
    </xf>
    <xf numFmtId="0" fontId="17" fillId="17" borderId="0" applyAlignment="1" pivotButton="0" quotePrefix="0" xfId="0">
      <alignment horizontal="right" vertical="center" indent="1"/>
    </xf>
    <xf numFmtId="0" fontId="17" fillId="16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center" vertical="center" wrapText="1"/>
    </xf>
    <xf numFmtId="10" fontId="17" fillId="1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general" vertical="bottom"/>
    </xf>
    <xf numFmtId="0" fontId="29" fillId="5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4" fillId="5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left" vertical="center" indent="1"/>
    </xf>
    <xf numFmtId="164" fontId="17" fillId="3" borderId="3" applyAlignment="1" pivotButton="0" quotePrefix="0" xfId="0">
      <alignment horizontal="right" vertical="center" indent="1"/>
    </xf>
    <xf numFmtId="10" fontId="17" fillId="3" borderId="3" applyAlignment="1" pivotButton="0" quotePrefix="0" xfId="0">
      <alignment horizontal="right" vertical="center" indent="1"/>
    </xf>
    <xf numFmtId="0" fontId="10" fillId="4" borderId="3" applyAlignment="1" pivotButton="0" quotePrefix="0" xfId="0">
      <alignment horizontal="left" vertical="center" indent="1"/>
    </xf>
    <xf numFmtId="164" fontId="17" fillId="4" borderId="3" applyAlignment="1" pivotButton="0" quotePrefix="0" xfId="0">
      <alignment horizontal="right" vertical="center" indent="1"/>
    </xf>
    <xf numFmtId="10" fontId="17" fillId="4" borderId="3" applyAlignment="1" pivotButton="0" quotePrefix="0" xfId="0">
      <alignment horizontal="right" vertical="center" indent="1"/>
    </xf>
    <xf numFmtId="0" fontId="8" fillId="2" borderId="3" applyAlignment="1" pivotButton="0" quotePrefix="0" xfId="0">
      <alignment horizontal="left" vertical="center" indent="1"/>
    </xf>
    <xf numFmtId="164" fontId="8" fillId="2" borderId="3" applyAlignment="1" pivotButton="0" quotePrefix="0" xfId="0">
      <alignment horizontal="right" vertical="center" indent="1"/>
    </xf>
    <xf numFmtId="10" fontId="8" fillId="2" borderId="3" applyAlignment="1" pivotButton="0" quotePrefix="0" xfId="0">
      <alignment horizontal="right" vertical="center" indent="1"/>
    </xf>
    <xf numFmtId="0" fontId="18" fillId="0" borderId="0" applyAlignment="1" pivotButton="0" quotePrefix="0" xfId="0">
      <alignment horizontal="right" vertical="center"/>
    </xf>
    <xf numFmtId="0" fontId="14" fillId="5" borderId="3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 indent="1"/>
    </xf>
    <xf numFmtId="0" fontId="17" fillId="3" borderId="3" applyAlignment="1" pivotButton="0" quotePrefix="0" xfId="0">
      <alignment horizontal="left" vertical="center" indent="1"/>
    </xf>
    <xf numFmtId="165" fontId="19" fillId="3" borderId="3" applyAlignment="1" pivotButton="0" quotePrefix="0" xfId="0">
      <alignment horizontal="right" vertical="center" indent="1"/>
    </xf>
    <xf numFmtId="165" fontId="14" fillId="2" borderId="3" applyAlignment="1" pivotButton="0" quotePrefix="0" xfId="0">
      <alignment horizontal="right" vertical="center" indent="1"/>
    </xf>
    <xf numFmtId="0" fontId="0" fillId="0" borderId="9" pivotButton="0" quotePrefix="0" xfId="0"/>
    <xf numFmtId="0" fontId="20" fillId="3" borderId="3" applyAlignment="1" pivotButton="0" quotePrefix="0" xfId="0">
      <alignment horizontal="left" vertical="center" indent="1"/>
    </xf>
    <xf numFmtId="165" fontId="21" fillId="3" borderId="3" applyAlignment="1" pivotButton="0" quotePrefix="0" xfId="0">
      <alignment horizontal="right" vertical="center" indent="1"/>
    </xf>
    <xf numFmtId="0" fontId="0" fillId="0" borderId="10" pivotButton="0" quotePrefix="0" xfId="0"/>
    <xf numFmtId="10" fontId="19" fillId="3" borderId="3" applyAlignment="1" pivotButton="0" quotePrefix="0" xfId="0">
      <alignment horizontal="right" vertical="center" indent="1"/>
    </xf>
    <xf numFmtId="10" fontId="14" fillId="2" borderId="3" applyAlignment="1" pivotButton="0" quotePrefix="0" xfId="0">
      <alignment horizontal="right" vertical="center" indent="1"/>
    </xf>
    <xf numFmtId="0" fontId="9" fillId="4" borderId="3" applyAlignment="1" pivotButton="0" quotePrefix="0" xfId="0">
      <alignment horizontal="left" vertical="center" indent="1"/>
    </xf>
    <xf numFmtId="0" fontId="17" fillId="4" borderId="3" applyAlignment="1" pivotButton="0" quotePrefix="0" xfId="0">
      <alignment horizontal="left" vertical="center" indent="1"/>
    </xf>
    <xf numFmtId="165" fontId="19" fillId="4" borderId="3" applyAlignment="1" pivotButton="0" quotePrefix="0" xfId="0">
      <alignment horizontal="right" vertical="center" indent="1"/>
    </xf>
    <xf numFmtId="0" fontId="20" fillId="4" borderId="3" applyAlignment="1" pivotButton="0" quotePrefix="0" xfId="0">
      <alignment horizontal="left" vertical="center" indent="1"/>
    </xf>
    <xf numFmtId="165" fontId="21" fillId="4" borderId="3" applyAlignment="1" pivotButton="0" quotePrefix="0" xfId="0">
      <alignment horizontal="right" vertical="center" indent="1"/>
    </xf>
    <xf numFmtId="10" fontId="19" fillId="4" borderId="3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general" vertical="bottom"/>
    </xf>
    <xf numFmtId="0" fontId="23" fillId="2" borderId="3" applyAlignment="1" pivotButton="0" quotePrefix="0" xfId="0">
      <alignment horizontal="left" vertical="center" indent="1"/>
    </xf>
    <xf numFmtId="0" fontId="0" fillId="2" borderId="3" applyAlignment="1" pivotButton="0" quotePrefix="0" xfId="0">
      <alignment horizontal="general" vertical="bottom"/>
    </xf>
    <xf numFmtId="166" fontId="17" fillId="3" borderId="3" applyAlignment="1" pivotButton="0" quotePrefix="0" xfId="0">
      <alignment horizontal="center" vertical="center" indent="1"/>
    </xf>
    <xf numFmtId="0" fontId="17" fillId="4" borderId="3" applyAlignment="1" pivotButton="0" quotePrefix="0" xfId="0">
      <alignment horizontal="center" vertical="center" indent="1"/>
    </xf>
    <xf numFmtId="0" fontId="17" fillId="3" borderId="3" applyAlignment="1" pivotButton="0" quotePrefix="0" xfId="0">
      <alignment horizontal="center" vertical="center" indent="1"/>
    </xf>
    <xf numFmtId="0" fontId="14" fillId="5" borderId="3" applyAlignment="1" pivotButton="0" quotePrefix="0" xfId="0">
      <alignment horizontal="center" vertical="center" indent="1"/>
    </xf>
    <xf numFmtId="0" fontId="14" fillId="5" borderId="3" applyAlignment="1" pivotButton="0" quotePrefix="0" xfId="0">
      <alignment horizontal="right" vertical="center" indent="1"/>
    </xf>
    <xf numFmtId="164" fontId="14" fillId="5" borderId="3" applyAlignment="1" pivotButton="0" quotePrefix="0" xfId="0">
      <alignment horizontal="right" vertical="center" indent="1"/>
    </xf>
    <xf numFmtId="10" fontId="14" fillId="5" borderId="3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general" vertical="bottom"/>
    </xf>
    <xf numFmtId="164" fontId="25" fillId="3" borderId="1" applyAlignment="1" pivotButton="0" quotePrefix="0" xfId="0">
      <alignment horizontal="right" vertical="center" indent="1"/>
    </xf>
    <xf numFmtId="164" fontId="25" fillId="4" borderId="1" applyAlignment="1" pivotButton="0" quotePrefix="0" xfId="0">
      <alignment horizontal="right" vertical="center" indent="1"/>
    </xf>
    <xf numFmtId="167" fontId="25" fillId="3" borderId="1" applyAlignment="1" pivotButton="0" quotePrefix="0" xfId="0">
      <alignment horizontal="right" vertical="center" indent="1"/>
    </xf>
    <xf numFmtId="10" fontId="25" fillId="4" borderId="1" applyAlignment="1" pivotButton="0" quotePrefix="0" xfId="0">
      <alignment horizontal="right" vertical="center" indent="1"/>
    </xf>
    <xf numFmtId="10" fontId="25" fillId="3" borderId="1" applyAlignment="1" pivotButton="0" quotePrefix="0" xfId="0">
      <alignment horizontal="right" vertical="center" indent="1"/>
    </xf>
    <xf numFmtId="0" fontId="26" fillId="3" borderId="3" applyAlignment="1" pivotButton="0" quotePrefix="0" xfId="0">
      <alignment horizontal="left" vertical="center" indent="1"/>
    </xf>
    <xf numFmtId="3" fontId="19" fillId="4" borderId="3" applyAlignment="1" pivotButton="0" quotePrefix="0" xfId="0">
      <alignment horizontal="right" vertical="center" indent="1"/>
    </xf>
    <xf numFmtId="3" fontId="14" fillId="2" borderId="3" applyAlignment="1" pivotButton="0" quotePrefix="0" xfId="0">
      <alignment horizontal="right" vertical="center" indent="1"/>
    </xf>
    <xf numFmtId="10" fontId="21" fillId="3" borderId="3" applyAlignment="1" pivotButton="0" quotePrefix="0" xfId="0">
      <alignment horizontal="right" vertical="center" indent="1"/>
    </xf>
    <xf numFmtId="164" fontId="10" fillId="3" borderId="3" applyAlignment="1" pivotButton="0" quotePrefix="0" xfId="0">
      <alignment horizontal="right" vertical="center" indent="1"/>
    </xf>
    <xf numFmtId="10" fontId="10" fillId="3" borderId="3" applyAlignment="1" pivotButton="0" quotePrefix="0" xfId="0">
      <alignment horizontal="right" vertical="center" indent="1"/>
    </xf>
    <xf numFmtId="0" fontId="12" fillId="3" borderId="3" applyAlignment="1" pivotButton="0" quotePrefix="0" xfId="0">
      <alignment horizontal="left" vertical="center" indent="1"/>
    </xf>
    <xf numFmtId="164" fontId="0" fillId="3" borderId="3" applyAlignment="1" pivotButton="0" quotePrefix="0" xfId="0">
      <alignment horizontal="right" vertical="center" indent="1"/>
    </xf>
    <xf numFmtId="10" fontId="0" fillId="3" borderId="3" applyAlignment="1" pivotButton="0" quotePrefix="0" xfId="0">
      <alignment horizontal="right" vertical="center" indent="1"/>
    </xf>
    <xf numFmtId="167" fontId="25" fillId="4" borderId="1" applyAlignment="1" pivotButton="0" quotePrefix="0" xfId="0">
      <alignment horizontal="right" vertical="center" indent="1"/>
    </xf>
    <xf numFmtId="0" fontId="26" fillId="4" borderId="3" applyAlignment="1" pivotButton="0" quotePrefix="0" xfId="0">
      <alignment horizontal="left" vertical="center" indent="1"/>
    </xf>
    <xf numFmtId="10" fontId="21" fillId="4" borderId="3" applyAlignment="1" pivotButton="0" quotePrefix="0" xfId="0">
      <alignment horizontal="right" vertical="center" indent="1"/>
    </xf>
    <xf numFmtId="0" fontId="27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166" fontId="17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indent="1"/>
    </xf>
    <xf numFmtId="164" fontId="17" fillId="16" borderId="0" applyAlignment="1" pivotButton="0" quotePrefix="0" xfId="0">
      <alignment horizontal="right" vertical="center" indent="1"/>
    </xf>
    <xf numFmtId="10" fontId="17" fillId="16" borderId="0" applyAlignment="1" pivotButton="0" quotePrefix="0" xfId="0">
      <alignment horizontal="right" vertical="center" indent="1"/>
    </xf>
    <xf numFmtId="0" fontId="17" fillId="16" borderId="0" applyAlignment="1" pivotButton="0" quotePrefix="0" xfId="0">
      <alignment horizontal="right" vertical="center" indent="1"/>
    </xf>
    <xf numFmtId="164" fontId="17" fillId="17" borderId="0" applyAlignment="1" pivotButton="0" quotePrefix="0" xfId="0">
      <alignment horizontal="right" vertical="center" indent="1"/>
    </xf>
    <xf numFmtId="0" fontId="17" fillId="17" borderId="0" applyAlignment="1" pivotButton="0" quotePrefix="0" xfId="0">
      <alignment horizontal="left" vertical="center" indent="1"/>
    </xf>
    <xf numFmtId="0" fontId="17" fillId="17" borderId="0" applyAlignment="1" pivotButton="0" quotePrefix="0" xfId="0">
      <alignment horizontal="right" vertical="center" indent="1"/>
    </xf>
    <xf numFmtId="0" fontId="17" fillId="16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center" vertical="center" wrapText="1"/>
    </xf>
    <xf numFmtId="10" fontId="17" fillId="1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general" vertical="bottom"/>
    </xf>
    <xf numFmtId="0" fontId="29" fillId="5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E5E7F3"/>
      <rgbColor rgb="FF808080"/>
      <rgbColor rgb="FF9999FF"/>
      <rgbColor rgb="FFBE185D"/>
      <rgbColor rgb="FFF8FAFC"/>
      <rgbColor rgb="FFDBEAFE"/>
      <rgbColor rgb="FF660066"/>
      <rgbColor rgb="FFFF8080"/>
      <rgbColor rgb="FF1D4ED8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1F5F9"/>
      <rgbColor rgb="FFEDF2F7"/>
      <rgbColor rgb="FFFF99CC"/>
      <rgbColor rgb="FFCC99FF"/>
      <rgbColor rgb="FFFCE7F3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C1D3D"/>
      <rgbColor rgb="FF339966"/>
      <rgbColor rgb="FF0F172A"/>
      <rgbColor rgb="FF333300"/>
      <rgbColor rgb="FF993300"/>
      <rgbColor rgb="FF993366"/>
      <rgbColor rgb="FF475569"/>
      <rgbColor rgb="FF2727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G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103" min="1" max="1"/>
    <col width="26" customWidth="1" style="103" min="2" max="2"/>
    <col width="28" customWidth="1" style="103" min="3" max="8"/>
    <col width="2" customWidth="1" style="103" min="9" max="9"/>
  </cols>
  <sheetData>
    <row r="3" ht="48" customHeight="1" s="104">
      <c r="B3" s="105" t="inlineStr">
        <is>
          <t>KSESTOR</t>
        </is>
      </c>
    </row>
    <row r="4" ht="25.5" customHeight="1" s="104">
      <c r="B4" s="106" t="inlineStr">
        <is>
          <t>MONTHLY SALES REPORT</t>
        </is>
      </c>
    </row>
    <row r="5" ht="18" customHeight="1" s="104">
      <c r="B5" s="107" t="inlineStr">
        <is>
          <t>Interactive performance monitoring  ·  Amazon US/CA/UK · TikTok Shop · Shopify &amp; Faire · Walmart</t>
        </is>
      </c>
    </row>
    <row r="6" ht="3.75" customHeight="1" s="104">
      <c r="B6" s="108" t="n"/>
      <c r="C6" s="108" t="n"/>
      <c r="D6" s="108" t="n"/>
      <c r="E6" s="108" t="n"/>
      <c r="F6" s="108" t="n"/>
      <c r="G6" s="108" t="n"/>
    </row>
    <row r="8" ht="15" customHeight="1" s="104">
      <c r="B8" s="109" t="inlineStr">
        <is>
          <t>WORKBOOK MAP</t>
        </is>
      </c>
    </row>
    <row r="10" ht="21.75" customHeight="1" s="104">
      <c r="B10" s="110" t="inlineStr">
        <is>
          <t>#</t>
        </is>
      </c>
      <c r="C10" s="110" t="inlineStr">
        <is>
          <t>Sheet</t>
        </is>
      </c>
      <c r="D10" s="110" t="inlineStr">
        <is>
          <t>What you'll find</t>
        </is>
      </c>
      <c r="E10" s="111" t="n"/>
      <c r="F10" s="111" t="n"/>
      <c r="G10" s="112" t="n"/>
    </row>
    <row r="11" ht="19.5" customHeight="1" s="104">
      <c r="B11" s="113" t="inlineStr">
        <is>
          <t>01</t>
        </is>
      </c>
      <c r="C11" s="114" t="inlineStr">
        <is>
          <t>Cover</t>
        </is>
      </c>
      <c r="D11" s="115" t="inlineStr">
        <is>
          <t>This page</t>
        </is>
      </c>
      <c r="E11" s="111" t="n"/>
      <c r="F11" s="111" t="n"/>
      <c r="G11" s="112" t="n"/>
    </row>
    <row r="12" ht="19.5" customHeight="1" s="104">
      <c r="B12" s="116" t="inlineStr">
        <is>
          <t>02</t>
        </is>
      </c>
      <c r="C12" s="117" t="inlineStr">
        <is>
          <t>Executive Summary</t>
        </is>
      </c>
      <c r="D12" s="118" t="inlineStr">
        <is>
          <t>Month/Year selectors · full annual view below</t>
        </is>
      </c>
      <c r="E12" s="111" t="n"/>
      <c r="F12" s="111" t="n"/>
      <c r="G12" s="112" t="n"/>
    </row>
    <row r="13" ht="19.5" customHeight="1" s="104">
      <c r="B13" s="113" t="inlineStr">
        <is>
          <t>03</t>
        </is>
      </c>
      <c r="C13" s="114" t="inlineStr">
        <is>
          <t>Amazon Dashboard</t>
        </is>
      </c>
      <c r="D13" s="115" t="inlineStr">
        <is>
          <t>Country dropdown (US/CA/UK) · KPIs · monthly trend with year selector · expandable breakdown</t>
        </is>
      </c>
      <c r="E13" s="111" t="n"/>
      <c r="F13" s="111" t="n"/>
      <c r="G13" s="112" t="n"/>
    </row>
    <row r="14" ht="19.5" customHeight="1" s="104">
      <c r="B14" s="116" t="inlineStr">
        <is>
          <t>04</t>
        </is>
      </c>
      <c r="C14" s="117" t="inlineStr">
        <is>
          <t>TikTok Dashboard</t>
        </is>
      </c>
      <c r="D14" s="118" t="inlineStr">
        <is>
          <t>KPIs · monthly trend with year selector · expandable breakdown</t>
        </is>
      </c>
      <c r="E14" s="111" t="n"/>
      <c r="F14" s="111" t="n"/>
      <c r="G14" s="112" t="n"/>
    </row>
    <row r="15" ht="19.5" customHeight="1" s="104">
      <c r="B15" s="113" t="inlineStr">
        <is>
          <t>05</t>
        </is>
      </c>
      <c r="C15" s="114" t="inlineStr">
        <is>
          <t>Shopify Dashboard</t>
        </is>
      </c>
      <c r="D15" s="115" t="inlineStr">
        <is>
          <t>KPIs · monthly trend with year selector · expandable breakdown</t>
        </is>
      </c>
      <c r="E15" s="111" t="n"/>
      <c r="F15" s="111" t="n"/>
      <c r="G15" s="112" t="n"/>
    </row>
    <row r="16" ht="19.5" customHeight="1" s="104">
      <c r="B16" s="116" t="inlineStr">
        <is>
          <t>06</t>
        </is>
      </c>
      <c r="C16" s="117" t="inlineStr">
        <is>
          <t>Walmart Dashboard</t>
        </is>
      </c>
      <c r="D16" s="118" t="inlineStr">
        <is>
          <t>KPIs · monthly trend with year selector · expandable breakdown</t>
        </is>
      </c>
      <c r="E16" s="111" t="n"/>
      <c r="F16" s="111" t="n"/>
      <c r="G16" s="112" t="n"/>
    </row>
    <row r="17" ht="19.5" customHeight="1" s="104">
      <c r="B17" s="113" t="inlineStr">
        <is>
          <t>07</t>
        </is>
      </c>
      <c r="C17" s="114" t="inlineStr">
        <is>
          <t>Monthly Data</t>
        </is>
      </c>
      <c r="D17" s="115" t="inlineStr">
        <is>
          <t>Month-over-month totals for every marketplace</t>
        </is>
      </c>
      <c r="E17" s="111" t="n"/>
      <c r="F17" s="111" t="n"/>
      <c r="G17" s="112" t="n"/>
    </row>
    <row r="18" ht="19.5" customHeight="1" s="104">
      <c r="B18" s="116" t="inlineStr">
        <is>
          <t>08</t>
        </is>
      </c>
      <c r="C18" s="117" t="inlineStr">
        <is>
          <t>Sales Data</t>
        </is>
      </c>
      <c r="D18" s="118" t="inlineStr">
        <is>
          <t>Raw · colored headers by marketplace · soft-blue entry cells</t>
        </is>
      </c>
      <c r="E18" s="111" t="n"/>
      <c r="F18" s="111" t="n"/>
      <c r="G18" s="112" t="n"/>
    </row>
    <row r="19" ht="19.5" customHeight="1" s="104">
      <c r="B19" s="113" t="inlineStr">
        <is>
          <t>09</t>
        </is>
      </c>
      <c r="C19" s="114" t="inlineStr">
        <is>
          <t>Main Expenses</t>
        </is>
      </c>
      <c r="D19" s="115" t="inlineStr">
        <is>
          <t>Raw expense data · main category</t>
        </is>
      </c>
      <c r="E19" s="111" t="n"/>
      <c r="F19" s="111" t="n"/>
      <c r="G19" s="112" t="n"/>
    </row>
    <row r="20" ht="19.5" customHeight="1" s="104">
      <c r="B20" s="116" t="inlineStr">
        <is>
          <t>10</t>
        </is>
      </c>
      <c r="C20" s="117" t="inlineStr">
        <is>
          <t>Sub Expenses</t>
        </is>
      </c>
      <c r="D20" s="118" t="inlineStr">
        <is>
          <t>Raw expense data · sub category</t>
        </is>
      </c>
      <c r="E20" s="111" t="n"/>
      <c r="F20" s="111" t="n"/>
      <c r="G20" s="112" t="n"/>
    </row>
    <row r="21" ht="19.5" customHeight="1" s="104">
      <c r="B21" s="113" t="inlineStr">
        <is>
          <t>11</t>
        </is>
      </c>
      <c r="C21" s="114" t="inlineStr">
        <is>
          <t>Setup</t>
        </is>
      </c>
      <c r="D21" s="115" t="inlineStr">
        <is>
          <t>Dropdown lists · do not edit</t>
        </is>
      </c>
      <c r="E21" s="111" t="n"/>
      <c r="F21" s="111" t="n"/>
      <c r="G21" s="112" t="n"/>
    </row>
    <row r="24" ht="15" customHeight="1" s="104">
      <c r="B24" s="109" t="inlineStr">
        <is>
          <t>How to use</t>
        </is>
      </c>
    </row>
    <row r="25" ht="15" customHeight="1" s="104">
      <c r="B25" s="119" t="inlineStr">
        <is>
          <t>•  Use dropdowns at top of each dashboard — Month, Year, Country.</t>
        </is>
      </c>
    </row>
    <row r="26" ht="15" customHeight="1" s="104">
      <c r="B26" s="119" t="inlineStr">
        <is>
          <t>•  Every KPI is driven by SUMIFS formulas. Change selectors — numbers refresh automatically.</t>
        </is>
      </c>
    </row>
    <row r="27" ht="15" customHeight="1" s="104">
      <c r="B27" s="119" t="inlineStr">
        <is>
          <t>•  The Monthly Trend section has its own Year dropdown.</t>
        </is>
      </c>
    </row>
    <row r="28" ht="15" customHeight="1" s="104">
      <c r="B28" s="119" t="inlineStr">
        <is>
          <t>•  Enter new data in soft-blue cells on Sales Data and Expenses sheets.</t>
        </is>
      </c>
    </row>
    <row r="29" ht="15" customHeight="1" s="104">
      <c r="B29" s="119" t="inlineStr">
        <is>
          <t>•  In Expense Breakdown, click the + icon on the left margin of each main category row to expand sub-categories.</t>
        </is>
      </c>
    </row>
    <row r="30" ht="15" customHeight="1" s="104">
      <c r="B30" s="119" t="inlineStr">
        <is>
          <t>•  Amazon dashboard supports US, CA, and UK — switch via the Marketplace dropdown.</t>
        </is>
      </c>
    </row>
    <row r="32" ht="15" customHeight="1" s="104">
      <c r="B32" s="120" t="inlineStr">
        <is>
          <t>Generated April 24, 2026  ·  Prepared for Kseniia  ·  KSESTOR</t>
        </is>
      </c>
    </row>
  </sheetData>
  <mergeCells count="22">
    <mergeCell ref="D18:G18"/>
    <mergeCell ref="D12:G12"/>
    <mergeCell ref="D15:G15"/>
    <mergeCell ref="B29:G29"/>
    <mergeCell ref="D14:G14"/>
    <mergeCell ref="B28:G28"/>
    <mergeCell ref="D20:G20"/>
    <mergeCell ref="D19:G19"/>
    <mergeCell ref="D10:G10"/>
    <mergeCell ref="B30:G30"/>
    <mergeCell ref="B5:G5"/>
    <mergeCell ref="D21:G21"/>
    <mergeCell ref="B4:G4"/>
    <mergeCell ref="B32:G32"/>
    <mergeCell ref="B26:G26"/>
    <mergeCell ref="D11:G11"/>
    <mergeCell ref="D13:G13"/>
    <mergeCell ref="B25:G25"/>
    <mergeCell ref="B3:G3"/>
    <mergeCell ref="D17:G17"/>
    <mergeCell ref="D16:G16"/>
    <mergeCell ref="B27:G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R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103" min="1" max="1"/>
    <col width="24" customWidth="1" style="103" min="2" max="2"/>
    <col width="14" customWidth="1" style="103" min="3" max="17"/>
    <col width="2" customWidth="1" style="103" min="18" max="18"/>
  </cols>
  <sheetData>
    <row r="2" ht="33.75" customHeight="1" s="104">
      <c r="B2" s="121" t="inlineStr">
        <is>
          <t>EXECUTIVE SUMMARY</t>
        </is>
      </c>
    </row>
    <row r="3" ht="15" customHeight="1" s="104">
      <c r="B3" s="107" t="inlineStr">
        <is>
          <t>Cross-marketplace monitoring · pick month &amp; year for snapshot · full annual view below.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</row>
    <row r="6" ht="21.75" customHeight="1" s="104">
      <c r="B6" s="122" t="inlineStr">
        <is>
          <t>MONTH</t>
        </is>
      </c>
      <c r="C6" s="122" t="inlineStr">
        <is>
          <t>YEAR</t>
        </is>
      </c>
    </row>
    <row r="7" ht="27.75" customHeight="1" s="104">
      <c r="B7" s="123" t="inlineStr">
        <is>
          <t>Mar</t>
        </is>
      </c>
      <c r="C7" s="123" t="n">
        <v>2026</v>
      </c>
    </row>
    <row r="10" ht="21.75" customHeight="1" s="104">
      <c r="B10" s="124" t="inlineStr">
        <is>
          <t>MONTHLY SNAPSHOT · ALL MARKETPLACES</t>
        </is>
      </c>
    </row>
    <row r="11" ht="21.75" customHeight="1" s="104">
      <c r="B11" s="125" t="inlineStr">
        <is>
          <t>Marketplace</t>
        </is>
      </c>
      <c r="C11" s="125" t="inlineStr">
        <is>
          <t>Sales (USD)</t>
        </is>
      </c>
      <c r="D11" s="125" t="inlineStr">
        <is>
          <t>Expenses (USD)</t>
        </is>
      </c>
      <c r="E11" s="125" t="inlineStr">
        <is>
          <t>Net Profit</t>
        </is>
      </c>
      <c r="F11" s="125" t="inlineStr">
        <is>
          <t>Margin %</t>
        </is>
      </c>
      <c r="G11" s="125" t="inlineStr">
        <is>
          <t>Sales %</t>
        </is>
      </c>
    </row>
    <row r="12" ht="21.75" customHeight="1" s="104">
      <c r="B12" s="126" t="inlineStr">
        <is>
          <t>Amazon US</t>
        </is>
      </c>
      <c r="C12" s="127">
        <f>SUMIFS('Sales Data'!$E$6:$E$10000,'Sales Data'!$B$6:$B$10000,"Amazon US",'Sales Data'!$BC$6:$BC$10000,$B$7,'Sales Data'!$BD$6:$BD$10000,$C$7)</f>
        <v/>
      </c>
      <c r="D12" s="127">
        <f>SUMIFS('Main Expenses'!$E$6:$E$10000,'Main Expenses'!$B$6:$B$10000,"Amazon US",'Main Expenses'!$K$6:$K$10000,$B$7,'Main Expenses'!$L$6:$L$10000,$C$7)</f>
        <v/>
      </c>
      <c r="E12" s="127">
        <f>C12+D12</f>
        <v/>
      </c>
      <c r="F12" s="128">
        <f>IFERROR(E12/C12,0)</f>
        <v/>
      </c>
      <c r="G12" s="128">
        <f>IFERROR(C12/SUMIFS('Sales Data'!$E$6:$E$10000,'Sales Data'!$BC$6:$BC$10000,$B$7,'Sales Data'!$BD$6:$BD$10000,$C$7),0)</f>
        <v/>
      </c>
    </row>
    <row r="13" ht="21.75" customHeight="1" s="104">
      <c r="B13" s="129" t="inlineStr">
        <is>
          <t>Amazon CA</t>
        </is>
      </c>
      <c r="C13" s="130">
        <f>SUMIFS('Sales Data'!$E$6:$E$10000,'Sales Data'!$B$6:$B$10000,"Amazon CA",'Sales Data'!$BC$6:$BC$10000,$B$7,'Sales Data'!$BD$6:$BD$10000,$C$7)</f>
        <v/>
      </c>
      <c r="D13" s="130">
        <f>SUMIFS('Main Expenses'!$E$6:$E$10000,'Main Expenses'!$B$6:$B$10000,"Amazon CA",'Main Expenses'!$K$6:$K$10000,$B$7,'Main Expenses'!$L$6:$L$10000,$C$7)</f>
        <v/>
      </c>
      <c r="E13" s="130">
        <f>C13+D13</f>
        <v/>
      </c>
      <c r="F13" s="131">
        <f>IFERROR(E13/C13,0)</f>
        <v/>
      </c>
      <c r="G13" s="131">
        <f>IFERROR(C13/SUMIFS('Sales Data'!$E$6:$E$10000,'Sales Data'!$BC$6:$BC$10000,$B$7,'Sales Data'!$BD$6:$BD$10000,$C$7),0)</f>
        <v/>
      </c>
    </row>
    <row r="14" ht="21.75" customHeight="1" s="104">
      <c r="B14" s="126" t="inlineStr">
        <is>
          <t>Amazon UK</t>
        </is>
      </c>
      <c r="C14" s="127">
        <f>SUMIFS('Sales Data'!$E$6:$E$10000,'Sales Data'!$B$6:$B$10000,"Amazon UK",'Sales Data'!$BC$6:$BC$10000,$B$7,'Sales Data'!$BD$6:$BD$10000,$C$7)</f>
        <v/>
      </c>
      <c r="D14" s="127">
        <f>SUMIFS('Main Expenses'!$E$6:$E$10000,'Main Expenses'!$B$6:$B$10000,"Amazon UK",'Main Expenses'!$K$6:$K$10000,$B$7,'Main Expenses'!$L$6:$L$10000,$C$7)</f>
        <v/>
      </c>
      <c r="E14" s="127">
        <f>C14+D14</f>
        <v/>
      </c>
      <c r="F14" s="128">
        <f>IFERROR(E14/C14,0)</f>
        <v/>
      </c>
      <c r="G14" s="128">
        <f>IFERROR(C14/SUMIFS('Sales Data'!$E$6:$E$10000,'Sales Data'!$BC$6:$BC$10000,$B$7,'Sales Data'!$BD$6:$BD$10000,$C$7),0)</f>
        <v/>
      </c>
    </row>
    <row r="15" ht="21.75" customHeight="1" s="104">
      <c r="B15" s="129" t="inlineStr">
        <is>
          <t>TikTok Shop</t>
        </is>
      </c>
      <c r="C15" s="130">
        <f>SUMIFS('Sales Data'!$E$6:$E$10000,'Sales Data'!$B$6:$B$10000,"Tiktok",'Sales Data'!$BC$6:$BC$10000,$B$7,'Sales Data'!$BD$6:$BD$10000,$C$7)</f>
        <v/>
      </c>
      <c r="D15" s="130">
        <f>SUMIFS('Main Expenses'!$E$6:$E$10000,'Main Expenses'!$B$6:$B$10000,"Tiktok",'Main Expenses'!$K$6:$K$10000,$B$7,'Main Expenses'!$L$6:$L$10000,$C$7)</f>
        <v/>
      </c>
      <c r="E15" s="130">
        <f>C15+D15</f>
        <v/>
      </c>
      <c r="F15" s="131">
        <f>IFERROR(E15/C15,0)</f>
        <v/>
      </c>
      <c r="G15" s="131">
        <f>IFERROR(C15/SUMIFS('Sales Data'!$E$6:$E$10000,'Sales Data'!$BC$6:$BC$10000,$B$7,'Sales Data'!$BD$6:$BD$10000,$C$7),0)</f>
        <v/>
      </c>
    </row>
    <row r="16" ht="21.75" customHeight="1" s="104">
      <c r="B16" s="126" t="inlineStr">
        <is>
          <t>Shopify &amp; Faire</t>
        </is>
      </c>
      <c r="C16" s="127">
        <f>SUMIFS('Sales Data'!$E$6:$E$10000,'Sales Data'!$B$6:$B$10000,"Shopify",'Sales Data'!$BC$6:$BC$10000,$B$7,'Sales Data'!$BD$6:$BD$10000,$C$7)</f>
        <v/>
      </c>
      <c r="D16" s="127">
        <f>SUMIFS('Main Expenses'!$E$6:$E$10000,'Main Expenses'!$B$6:$B$10000,"Shopify",'Main Expenses'!$K$6:$K$10000,$B$7,'Main Expenses'!$L$6:$L$10000,$C$7)</f>
        <v/>
      </c>
      <c r="E16" s="127">
        <f>C16+D16</f>
        <v/>
      </c>
      <c r="F16" s="128">
        <f>IFERROR(E16/C16,0)</f>
        <v/>
      </c>
      <c r="G16" s="128">
        <f>IFERROR(C16/SUMIFS('Sales Data'!$E$6:$E$10000,'Sales Data'!$BC$6:$BC$10000,$B$7,'Sales Data'!$BD$6:$BD$10000,$C$7),0)</f>
        <v/>
      </c>
    </row>
    <row r="17" ht="21.75" customHeight="1" s="104">
      <c r="B17" s="129" t="inlineStr">
        <is>
          <t>Walmart</t>
        </is>
      </c>
      <c r="C17" s="130">
        <f>SUMIFS('Sales Data'!$E$6:$E$10000,'Sales Data'!$B$6:$B$10000,"Walmart",'Sales Data'!$BC$6:$BC$10000,$B$7,'Sales Data'!$BD$6:$BD$10000,$C$7)</f>
        <v/>
      </c>
      <c r="D17" s="130">
        <f>SUMIFS('Main Expenses'!$E$6:$E$10000,'Main Expenses'!$B$6:$B$10000,"Walmart",'Main Expenses'!$K$6:$K$10000,$B$7,'Main Expenses'!$L$6:$L$10000,$C$7)</f>
        <v/>
      </c>
      <c r="E17" s="130">
        <f>C17+D17</f>
        <v/>
      </c>
      <c r="F17" s="131">
        <f>IFERROR(E17/C17,0)</f>
        <v/>
      </c>
      <c r="G17" s="131">
        <f>IFERROR(C17/SUMIFS('Sales Data'!$E$6:$E$10000,'Sales Data'!$BC$6:$BC$10000,$B$7,'Sales Data'!$BD$6:$BD$10000,$C$7),0)</f>
        <v/>
      </c>
    </row>
    <row r="18" ht="25.5" customHeight="1" s="104">
      <c r="B18" s="132" t="inlineStr">
        <is>
          <t>TOTAL</t>
        </is>
      </c>
      <c r="C18" s="133">
        <f>SUM(C12:C17)</f>
        <v/>
      </c>
      <c r="D18" s="133">
        <f>SUM(D12:D17)</f>
        <v/>
      </c>
      <c r="E18" s="133">
        <f>SUM(E12:E17)</f>
        <v/>
      </c>
      <c r="F18" s="134">
        <f>IFERROR(E18/C18,0)</f>
        <v/>
      </c>
      <c r="G18" s="134" t="n">
        <v>1</v>
      </c>
    </row>
    <row r="21" ht="25.5" customHeight="1" s="104">
      <c r="B21" s="124" t="inlineStr">
        <is>
          <t>FULL YEAR VIEW · MONTHLY TRENDS</t>
        </is>
      </c>
      <c r="N21" s="135" t="inlineStr">
        <is>
          <t>Year:</t>
        </is>
      </c>
      <c r="O21" s="123" t="n">
        <v>2026</v>
      </c>
    </row>
    <row r="23" ht="21.75" customHeight="1" s="104">
      <c r="B23" s="136" t="inlineStr">
        <is>
          <t>MARKETPLACE</t>
        </is>
      </c>
      <c r="C23" s="136" t="inlineStr">
        <is>
          <t>METRIC</t>
        </is>
      </c>
      <c r="D23" s="125" t="inlineStr">
        <is>
          <t>Jan</t>
        </is>
      </c>
      <c r="E23" s="125" t="inlineStr">
        <is>
          <t>Feb</t>
        </is>
      </c>
      <c r="F23" s="125" t="inlineStr">
        <is>
          <t>Mar</t>
        </is>
      </c>
      <c r="G23" s="125" t="inlineStr">
        <is>
          <t>Apr</t>
        </is>
      </c>
      <c r="H23" s="125" t="inlineStr">
        <is>
          <t>May</t>
        </is>
      </c>
      <c r="I23" s="125" t="inlineStr">
        <is>
          <t>Jun</t>
        </is>
      </c>
      <c r="J23" s="125" t="inlineStr">
        <is>
          <t>Jul</t>
        </is>
      </c>
      <c r="K23" s="125" t="inlineStr">
        <is>
          <t>Aug</t>
        </is>
      </c>
      <c r="L23" s="125" t="inlineStr">
        <is>
          <t>Sep</t>
        </is>
      </c>
      <c r="M23" s="125" t="inlineStr">
        <is>
          <t>Oct</t>
        </is>
      </c>
      <c r="N23" s="125" t="inlineStr">
        <is>
          <t>Nov</t>
        </is>
      </c>
      <c r="O23" s="125" t="inlineStr">
        <is>
          <t>Dec</t>
        </is>
      </c>
      <c r="P23" s="137" t="inlineStr">
        <is>
          <t>YEAR TOTAL</t>
        </is>
      </c>
    </row>
    <row r="24" ht="18" customHeight="1" s="104">
      <c r="B24" s="138" t="inlineStr">
        <is>
          <t>Amazon US</t>
        </is>
      </c>
      <c r="C24" s="139" t="inlineStr">
        <is>
          <t>Sales</t>
        </is>
      </c>
      <c r="D24" s="140">
        <f>SUMIFS('Sales Data'!$E$6:$E$10000,'Sales Data'!$B$6:$B$10000,"Amazon US",'Sales Data'!$BC$6:$BC$10000,"Jan",'Sales Data'!$BD$6:$BD$10000,$O$21)</f>
        <v/>
      </c>
      <c r="E24" s="140">
        <f>SUMIFS('Sales Data'!$E$6:$E$10000,'Sales Data'!$B$6:$B$10000,"Amazon US",'Sales Data'!$BC$6:$BC$10000,"Feb",'Sales Data'!$BD$6:$BD$10000,$O$21)</f>
        <v/>
      </c>
      <c r="F24" s="140">
        <f>SUMIFS('Sales Data'!$E$6:$E$10000,'Sales Data'!$B$6:$B$10000,"Amazon US",'Sales Data'!$BC$6:$BC$10000,"Mar",'Sales Data'!$BD$6:$BD$10000,$O$21)</f>
        <v/>
      </c>
      <c r="G24" s="140">
        <f>SUMIFS('Sales Data'!$E$6:$E$10000,'Sales Data'!$B$6:$B$10000,"Amazon US",'Sales Data'!$BC$6:$BC$10000,"Apr",'Sales Data'!$BD$6:$BD$10000,$O$21)</f>
        <v/>
      </c>
      <c r="H24" s="140">
        <f>SUMIFS('Sales Data'!$E$6:$E$10000,'Sales Data'!$B$6:$B$10000,"Amazon US",'Sales Data'!$BC$6:$BC$10000,"May",'Sales Data'!$BD$6:$BD$10000,$O$21)</f>
        <v/>
      </c>
      <c r="I24" s="140">
        <f>SUMIFS('Sales Data'!$E$6:$E$10000,'Sales Data'!$B$6:$B$10000,"Amazon US",'Sales Data'!$BC$6:$BC$10000,"Jun",'Sales Data'!$BD$6:$BD$10000,$O$21)</f>
        <v/>
      </c>
      <c r="J24" s="140">
        <f>SUMIFS('Sales Data'!$E$6:$E$10000,'Sales Data'!$B$6:$B$10000,"Amazon US",'Sales Data'!$BC$6:$BC$10000,"Jul",'Sales Data'!$BD$6:$BD$10000,$O$21)</f>
        <v/>
      </c>
      <c r="K24" s="140">
        <f>SUMIFS('Sales Data'!$E$6:$E$10000,'Sales Data'!$B$6:$B$10000,"Amazon US",'Sales Data'!$BC$6:$BC$10000,"Aug",'Sales Data'!$BD$6:$BD$10000,$O$21)</f>
        <v/>
      </c>
      <c r="L24" s="140">
        <f>SUMIFS('Sales Data'!$E$6:$E$10000,'Sales Data'!$B$6:$B$10000,"Amazon US",'Sales Data'!$BC$6:$BC$10000,"Sep",'Sales Data'!$BD$6:$BD$10000,$O$21)</f>
        <v/>
      </c>
      <c r="M24" s="140">
        <f>SUMIFS('Sales Data'!$E$6:$E$10000,'Sales Data'!$B$6:$B$10000,"Amazon US",'Sales Data'!$BC$6:$BC$10000,"Oct",'Sales Data'!$BD$6:$BD$10000,$O$21)</f>
        <v/>
      </c>
      <c r="N24" s="140">
        <f>SUMIFS('Sales Data'!$E$6:$E$10000,'Sales Data'!$B$6:$B$10000,"Amazon US",'Sales Data'!$BC$6:$BC$10000,"Nov",'Sales Data'!$BD$6:$BD$10000,$O$21)</f>
        <v/>
      </c>
      <c r="O24" s="140">
        <f>SUMIFS('Sales Data'!$E$6:$E$10000,'Sales Data'!$B$6:$B$10000,"Amazon US",'Sales Data'!$BC$6:$BC$10000,"Dec",'Sales Data'!$BD$6:$BD$10000,$O$21)</f>
        <v/>
      </c>
      <c r="P24" s="141">
        <f>SUM(D24:O24)</f>
        <v/>
      </c>
    </row>
    <row r="25" ht="18" customHeight="1" s="104">
      <c r="B25" s="142" t="n"/>
      <c r="C25" s="139" t="inlineStr">
        <is>
          <t>Expenses</t>
        </is>
      </c>
      <c r="D25" s="140">
        <f>SUMIFS('Main Expenses'!$E$6:$E$10000,'Main Expenses'!$B$6:$B$10000,"Amazon US",'Main Expenses'!$K$6:$K$10000,"Jan",'Main Expenses'!$L$6:$L$10000,$O$21)</f>
        <v/>
      </c>
      <c r="E25" s="140">
        <f>SUMIFS('Main Expenses'!$E$6:$E$10000,'Main Expenses'!$B$6:$B$10000,"Amazon US",'Main Expenses'!$K$6:$K$10000,"Feb",'Main Expenses'!$L$6:$L$10000,$O$21)</f>
        <v/>
      </c>
      <c r="F25" s="140">
        <f>SUMIFS('Main Expenses'!$E$6:$E$10000,'Main Expenses'!$B$6:$B$10000,"Amazon US",'Main Expenses'!$K$6:$K$10000,"Mar",'Main Expenses'!$L$6:$L$10000,$O$21)</f>
        <v/>
      </c>
      <c r="G25" s="140">
        <f>SUMIFS('Main Expenses'!$E$6:$E$10000,'Main Expenses'!$B$6:$B$10000,"Amazon US",'Main Expenses'!$K$6:$K$10000,"Apr",'Main Expenses'!$L$6:$L$10000,$O$21)</f>
        <v/>
      </c>
      <c r="H25" s="140">
        <f>SUMIFS('Main Expenses'!$E$6:$E$10000,'Main Expenses'!$B$6:$B$10000,"Amazon US",'Main Expenses'!$K$6:$K$10000,"May",'Main Expenses'!$L$6:$L$10000,$O$21)</f>
        <v/>
      </c>
      <c r="I25" s="140">
        <f>SUMIFS('Main Expenses'!$E$6:$E$10000,'Main Expenses'!$B$6:$B$10000,"Amazon US",'Main Expenses'!$K$6:$K$10000,"Jun",'Main Expenses'!$L$6:$L$10000,$O$21)</f>
        <v/>
      </c>
      <c r="J25" s="140">
        <f>SUMIFS('Main Expenses'!$E$6:$E$10000,'Main Expenses'!$B$6:$B$10000,"Amazon US",'Main Expenses'!$K$6:$K$10000,"Jul",'Main Expenses'!$L$6:$L$10000,$O$21)</f>
        <v/>
      </c>
      <c r="K25" s="140">
        <f>SUMIFS('Main Expenses'!$E$6:$E$10000,'Main Expenses'!$B$6:$B$10000,"Amazon US",'Main Expenses'!$K$6:$K$10000,"Aug",'Main Expenses'!$L$6:$L$10000,$O$21)</f>
        <v/>
      </c>
      <c r="L25" s="140">
        <f>SUMIFS('Main Expenses'!$E$6:$E$10000,'Main Expenses'!$B$6:$B$10000,"Amazon US",'Main Expenses'!$K$6:$K$10000,"Sep",'Main Expenses'!$L$6:$L$10000,$O$21)</f>
        <v/>
      </c>
      <c r="M25" s="140">
        <f>SUMIFS('Main Expenses'!$E$6:$E$10000,'Main Expenses'!$B$6:$B$10000,"Amazon US",'Main Expenses'!$K$6:$K$10000,"Oct",'Main Expenses'!$L$6:$L$10000,$O$21)</f>
        <v/>
      </c>
      <c r="N25" s="140">
        <f>SUMIFS('Main Expenses'!$E$6:$E$10000,'Main Expenses'!$B$6:$B$10000,"Amazon US",'Main Expenses'!$K$6:$K$10000,"Nov",'Main Expenses'!$L$6:$L$10000,$O$21)</f>
        <v/>
      </c>
      <c r="O25" s="140">
        <f>SUMIFS('Main Expenses'!$E$6:$E$10000,'Main Expenses'!$B$6:$B$10000,"Amazon US",'Main Expenses'!$K$6:$K$10000,"Dec",'Main Expenses'!$L$6:$L$10000,$O$21)</f>
        <v/>
      </c>
      <c r="P25" s="141">
        <f>SUM(D25:O25)</f>
        <v/>
      </c>
    </row>
    <row r="26" ht="18" customHeight="1" s="104">
      <c r="B26" s="142" t="n"/>
      <c r="C26" s="143" t="inlineStr">
        <is>
          <t>Net Profit</t>
        </is>
      </c>
      <c r="D26" s="144">
        <f>D24+D25</f>
        <v/>
      </c>
      <c r="E26" s="144">
        <f>E24+E25</f>
        <v/>
      </c>
      <c r="F26" s="144">
        <f>F24+F25</f>
        <v/>
      </c>
      <c r="G26" s="144">
        <f>G24+G25</f>
        <v/>
      </c>
      <c r="H26" s="144">
        <f>H24+H25</f>
        <v/>
      </c>
      <c r="I26" s="144">
        <f>I24+I25</f>
        <v/>
      </c>
      <c r="J26" s="144">
        <f>J24+J25</f>
        <v/>
      </c>
      <c r="K26" s="144">
        <f>K24+K25</f>
        <v/>
      </c>
      <c r="L26" s="144">
        <f>L24+L25</f>
        <v/>
      </c>
      <c r="M26" s="144">
        <f>M24+M25</f>
        <v/>
      </c>
      <c r="N26" s="144">
        <f>N24+N25</f>
        <v/>
      </c>
      <c r="O26" s="144">
        <f>O24+O25</f>
        <v/>
      </c>
      <c r="P26" s="141">
        <f>SUM(D26:O26)</f>
        <v/>
      </c>
    </row>
    <row r="27" ht="18" customHeight="1" s="104">
      <c r="B27" s="145" t="n"/>
      <c r="C27" s="139" t="inlineStr">
        <is>
          <t>Margin %</t>
        </is>
      </c>
      <c r="D27" s="146">
        <f>IFERROR(D26/D24,0)</f>
        <v/>
      </c>
      <c r="E27" s="146">
        <f>IFERROR(E26/E24,0)</f>
        <v/>
      </c>
      <c r="F27" s="146">
        <f>IFERROR(F26/F24,0)</f>
        <v/>
      </c>
      <c r="G27" s="146">
        <f>IFERROR(G26/G24,0)</f>
        <v/>
      </c>
      <c r="H27" s="146">
        <f>IFERROR(H26/H24,0)</f>
        <v/>
      </c>
      <c r="I27" s="146">
        <f>IFERROR(I26/I24,0)</f>
        <v/>
      </c>
      <c r="J27" s="146">
        <f>IFERROR(J26/J24,0)</f>
        <v/>
      </c>
      <c r="K27" s="146">
        <f>IFERROR(K26/K24,0)</f>
        <v/>
      </c>
      <c r="L27" s="146">
        <f>IFERROR(L26/L24,0)</f>
        <v/>
      </c>
      <c r="M27" s="146">
        <f>IFERROR(M26/M24,0)</f>
        <v/>
      </c>
      <c r="N27" s="146">
        <f>IFERROR(N26/N24,0)</f>
        <v/>
      </c>
      <c r="O27" s="146">
        <f>IFERROR(O26/O24,0)</f>
        <v/>
      </c>
      <c r="P27" s="147">
        <f>IFERROR(P26/P24,0)</f>
        <v/>
      </c>
    </row>
    <row r="28" ht="18" customHeight="1" s="104">
      <c r="B28" s="148" t="inlineStr">
        <is>
          <t>Amazon CA</t>
        </is>
      </c>
      <c r="C28" s="149" t="inlineStr">
        <is>
          <t>Sales</t>
        </is>
      </c>
      <c r="D28" s="150">
        <f>SUMIFS('Sales Data'!$E$6:$E$10000,'Sales Data'!$B$6:$B$10000,"Amazon CA",'Sales Data'!$BC$6:$BC$10000,"Jan",'Sales Data'!$BD$6:$BD$10000,$O$21)</f>
        <v/>
      </c>
      <c r="E28" s="150">
        <f>SUMIFS('Sales Data'!$E$6:$E$10000,'Sales Data'!$B$6:$B$10000,"Amazon CA",'Sales Data'!$BC$6:$BC$10000,"Feb",'Sales Data'!$BD$6:$BD$10000,$O$21)</f>
        <v/>
      </c>
      <c r="F28" s="150">
        <f>SUMIFS('Sales Data'!$E$6:$E$10000,'Sales Data'!$B$6:$B$10000,"Amazon CA",'Sales Data'!$BC$6:$BC$10000,"Mar",'Sales Data'!$BD$6:$BD$10000,$O$21)</f>
        <v/>
      </c>
      <c r="G28" s="150">
        <f>SUMIFS('Sales Data'!$E$6:$E$10000,'Sales Data'!$B$6:$B$10000,"Amazon CA",'Sales Data'!$BC$6:$BC$10000,"Apr",'Sales Data'!$BD$6:$BD$10000,$O$21)</f>
        <v/>
      </c>
      <c r="H28" s="150">
        <f>SUMIFS('Sales Data'!$E$6:$E$10000,'Sales Data'!$B$6:$B$10000,"Amazon CA",'Sales Data'!$BC$6:$BC$10000,"May",'Sales Data'!$BD$6:$BD$10000,$O$21)</f>
        <v/>
      </c>
      <c r="I28" s="150">
        <f>SUMIFS('Sales Data'!$E$6:$E$10000,'Sales Data'!$B$6:$B$10000,"Amazon CA",'Sales Data'!$BC$6:$BC$10000,"Jun",'Sales Data'!$BD$6:$BD$10000,$O$21)</f>
        <v/>
      </c>
      <c r="J28" s="150">
        <f>SUMIFS('Sales Data'!$E$6:$E$10000,'Sales Data'!$B$6:$B$10000,"Amazon CA",'Sales Data'!$BC$6:$BC$10000,"Jul",'Sales Data'!$BD$6:$BD$10000,$O$21)</f>
        <v/>
      </c>
      <c r="K28" s="150">
        <f>SUMIFS('Sales Data'!$E$6:$E$10000,'Sales Data'!$B$6:$B$10000,"Amazon CA",'Sales Data'!$BC$6:$BC$10000,"Aug",'Sales Data'!$BD$6:$BD$10000,$O$21)</f>
        <v/>
      </c>
      <c r="L28" s="150">
        <f>SUMIFS('Sales Data'!$E$6:$E$10000,'Sales Data'!$B$6:$B$10000,"Amazon CA",'Sales Data'!$BC$6:$BC$10000,"Sep",'Sales Data'!$BD$6:$BD$10000,$O$21)</f>
        <v/>
      </c>
      <c r="M28" s="150">
        <f>SUMIFS('Sales Data'!$E$6:$E$10000,'Sales Data'!$B$6:$B$10000,"Amazon CA",'Sales Data'!$BC$6:$BC$10000,"Oct",'Sales Data'!$BD$6:$BD$10000,$O$21)</f>
        <v/>
      </c>
      <c r="N28" s="150">
        <f>SUMIFS('Sales Data'!$E$6:$E$10000,'Sales Data'!$B$6:$B$10000,"Amazon CA",'Sales Data'!$BC$6:$BC$10000,"Nov",'Sales Data'!$BD$6:$BD$10000,$O$21)</f>
        <v/>
      </c>
      <c r="O28" s="150">
        <f>SUMIFS('Sales Data'!$E$6:$E$10000,'Sales Data'!$B$6:$B$10000,"Amazon CA",'Sales Data'!$BC$6:$BC$10000,"Dec",'Sales Data'!$BD$6:$BD$10000,$O$21)</f>
        <v/>
      </c>
      <c r="P28" s="141">
        <f>SUM(D28:O28)</f>
        <v/>
      </c>
    </row>
    <row r="29" ht="18" customHeight="1" s="104">
      <c r="B29" s="142" t="n"/>
      <c r="C29" s="149" t="inlineStr">
        <is>
          <t>Expenses</t>
        </is>
      </c>
      <c r="D29" s="150">
        <f>SUMIFS('Main Expenses'!$E$6:$E$10000,'Main Expenses'!$B$6:$B$10000,"Amazon CA",'Main Expenses'!$K$6:$K$10000,"Jan",'Main Expenses'!$L$6:$L$10000,$O$21)</f>
        <v/>
      </c>
      <c r="E29" s="150">
        <f>SUMIFS('Main Expenses'!$E$6:$E$10000,'Main Expenses'!$B$6:$B$10000,"Amazon CA",'Main Expenses'!$K$6:$K$10000,"Feb",'Main Expenses'!$L$6:$L$10000,$O$21)</f>
        <v/>
      </c>
      <c r="F29" s="150">
        <f>SUMIFS('Main Expenses'!$E$6:$E$10000,'Main Expenses'!$B$6:$B$10000,"Amazon CA",'Main Expenses'!$K$6:$K$10000,"Mar",'Main Expenses'!$L$6:$L$10000,$O$21)</f>
        <v/>
      </c>
      <c r="G29" s="150">
        <f>SUMIFS('Main Expenses'!$E$6:$E$10000,'Main Expenses'!$B$6:$B$10000,"Amazon CA",'Main Expenses'!$K$6:$K$10000,"Apr",'Main Expenses'!$L$6:$L$10000,$O$21)</f>
        <v/>
      </c>
      <c r="H29" s="150">
        <f>SUMIFS('Main Expenses'!$E$6:$E$10000,'Main Expenses'!$B$6:$B$10000,"Amazon CA",'Main Expenses'!$K$6:$K$10000,"May",'Main Expenses'!$L$6:$L$10000,$O$21)</f>
        <v/>
      </c>
      <c r="I29" s="150">
        <f>SUMIFS('Main Expenses'!$E$6:$E$10000,'Main Expenses'!$B$6:$B$10000,"Amazon CA",'Main Expenses'!$K$6:$K$10000,"Jun",'Main Expenses'!$L$6:$L$10000,$O$21)</f>
        <v/>
      </c>
      <c r="J29" s="150">
        <f>SUMIFS('Main Expenses'!$E$6:$E$10000,'Main Expenses'!$B$6:$B$10000,"Amazon CA",'Main Expenses'!$K$6:$K$10000,"Jul",'Main Expenses'!$L$6:$L$10000,$O$21)</f>
        <v/>
      </c>
      <c r="K29" s="150">
        <f>SUMIFS('Main Expenses'!$E$6:$E$10000,'Main Expenses'!$B$6:$B$10000,"Amazon CA",'Main Expenses'!$K$6:$K$10000,"Aug",'Main Expenses'!$L$6:$L$10000,$O$21)</f>
        <v/>
      </c>
      <c r="L29" s="150">
        <f>SUMIFS('Main Expenses'!$E$6:$E$10000,'Main Expenses'!$B$6:$B$10000,"Amazon CA",'Main Expenses'!$K$6:$K$10000,"Sep",'Main Expenses'!$L$6:$L$10000,$O$21)</f>
        <v/>
      </c>
      <c r="M29" s="150">
        <f>SUMIFS('Main Expenses'!$E$6:$E$10000,'Main Expenses'!$B$6:$B$10000,"Amazon CA",'Main Expenses'!$K$6:$K$10000,"Oct",'Main Expenses'!$L$6:$L$10000,$O$21)</f>
        <v/>
      </c>
      <c r="N29" s="150">
        <f>SUMIFS('Main Expenses'!$E$6:$E$10000,'Main Expenses'!$B$6:$B$10000,"Amazon CA",'Main Expenses'!$K$6:$K$10000,"Nov",'Main Expenses'!$L$6:$L$10000,$O$21)</f>
        <v/>
      </c>
      <c r="O29" s="150">
        <f>SUMIFS('Main Expenses'!$E$6:$E$10000,'Main Expenses'!$B$6:$B$10000,"Amazon CA",'Main Expenses'!$K$6:$K$10000,"Dec",'Main Expenses'!$L$6:$L$10000,$O$21)</f>
        <v/>
      </c>
      <c r="P29" s="141">
        <f>SUM(D29:O29)</f>
        <v/>
      </c>
    </row>
    <row r="30" ht="18" customHeight="1" s="104">
      <c r="B30" s="142" t="n"/>
      <c r="C30" s="151" t="inlineStr">
        <is>
          <t>Net Profit</t>
        </is>
      </c>
      <c r="D30" s="152">
        <f>D28+D29</f>
        <v/>
      </c>
      <c r="E30" s="152">
        <f>E28+E29</f>
        <v/>
      </c>
      <c r="F30" s="152">
        <f>F28+F29</f>
        <v/>
      </c>
      <c r="G30" s="152">
        <f>G28+G29</f>
        <v/>
      </c>
      <c r="H30" s="152">
        <f>H28+H29</f>
        <v/>
      </c>
      <c r="I30" s="152">
        <f>I28+I29</f>
        <v/>
      </c>
      <c r="J30" s="152">
        <f>J28+J29</f>
        <v/>
      </c>
      <c r="K30" s="152">
        <f>K28+K29</f>
        <v/>
      </c>
      <c r="L30" s="152">
        <f>L28+L29</f>
        <v/>
      </c>
      <c r="M30" s="152">
        <f>M28+M29</f>
        <v/>
      </c>
      <c r="N30" s="152">
        <f>N28+N29</f>
        <v/>
      </c>
      <c r="O30" s="152">
        <f>O28+O29</f>
        <v/>
      </c>
      <c r="P30" s="141">
        <f>SUM(D30:O30)</f>
        <v/>
      </c>
    </row>
    <row r="31" ht="18" customHeight="1" s="104">
      <c r="B31" s="145" t="n"/>
      <c r="C31" s="149" t="inlineStr">
        <is>
          <t>Margin %</t>
        </is>
      </c>
      <c r="D31" s="153">
        <f>IFERROR(D30/D28,0)</f>
        <v/>
      </c>
      <c r="E31" s="153">
        <f>IFERROR(E30/E28,0)</f>
        <v/>
      </c>
      <c r="F31" s="153">
        <f>IFERROR(F30/F28,0)</f>
        <v/>
      </c>
      <c r="G31" s="153">
        <f>IFERROR(G30/G28,0)</f>
        <v/>
      </c>
      <c r="H31" s="153">
        <f>IFERROR(H30/H28,0)</f>
        <v/>
      </c>
      <c r="I31" s="153">
        <f>IFERROR(I30/I28,0)</f>
        <v/>
      </c>
      <c r="J31" s="153">
        <f>IFERROR(J30/J28,0)</f>
        <v/>
      </c>
      <c r="K31" s="153">
        <f>IFERROR(K30/K28,0)</f>
        <v/>
      </c>
      <c r="L31" s="153">
        <f>IFERROR(L30/L28,0)</f>
        <v/>
      </c>
      <c r="M31" s="153">
        <f>IFERROR(M30/M28,0)</f>
        <v/>
      </c>
      <c r="N31" s="153">
        <f>IFERROR(N30/N28,0)</f>
        <v/>
      </c>
      <c r="O31" s="153">
        <f>IFERROR(O30/O28,0)</f>
        <v/>
      </c>
      <c r="P31" s="147">
        <f>IFERROR(P30/P28,0)</f>
        <v/>
      </c>
    </row>
    <row r="32" ht="18" customHeight="1" s="104">
      <c r="B32" s="138" t="inlineStr">
        <is>
          <t>Amazon UK</t>
        </is>
      </c>
      <c r="C32" s="139" t="inlineStr">
        <is>
          <t>Sales</t>
        </is>
      </c>
      <c r="D32" s="140">
        <f>SUMIFS('Sales Data'!$E$6:$E$10000,'Sales Data'!$B$6:$B$10000,"Amazon UK",'Sales Data'!$BC$6:$BC$10000,"Jan",'Sales Data'!$BD$6:$BD$10000,$O$21)</f>
        <v/>
      </c>
      <c r="E32" s="140">
        <f>SUMIFS('Sales Data'!$E$6:$E$10000,'Sales Data'!$B$6:$B$10000,"Amazon UK",'Sales Data'!$BC$6:$BC$10000,"Feb",'Sales Data'!$BD$6:$BD$10000,$O$21)</f>
        <v/>
      </c>
      <c r="F32" s="140">
        <f>SUMIFS('Sales Data'!$E$6:$E$10000,'Sales Data'!$B$6:$B$10000,"Amazon UK",'Sales Data'!$BC$6:$BC$10000,"Mar",'Sales Data'!$BD$6:$BD$10000,$O$21)</f>
        <v/>
      </c>
      <c r="G32" s="140">
        <f>SUMIFS('Sales Data'!$E$6:$E$10000,'Sales Data'!$B$6:$B$10000,"Amazon UK",'Sales Data'!$BC$6:$BC$10000,"Apr",'Sales Data'!$BD$6:$BD$10000,$O$21)</f>
        <v/>
      </c>
      <c r="H32" s="140">
        <f>SUMIFS('Sales Data'!$E$6:$E$10000,'Sales Data'!$B$6:$B$10000,"Amazon UK",'Sales Data'!$BC$6:$BC$10000,"May",'Sales Data'!$BD$6:$BD$10000,$O$21)</f>
        <v/>
      </c>
      <c r="I32" s="140">
        <f>SUMIFS('Sales Data'!$E$6:$E$10000,'Sales Data'!$B$6:$B$10000,"Amazon UK",'Sales Data'!$BC$6:$BC$10000,"Jun",'Sales Data'!$BD$6:$BD$10000,$O$21)</f>
        <v/>
      </c>
      <c r="J32" s="140">
        <f>SUMIFS('Sales Data'!$E$6:$E$10000,'Sales Data'!$B$6:$B$10000,"Amazon UK",'Sales Data'!$BC$6:$BC$10000,"Jul",'Sales Data'!$BD$6:$BD$10000,$O$21)</f>
        <v/>
      </c>
      <c r="K32" s="140">
        <f>SUMIFS('Sales Data'!$E$6:$E$10000,'Sales Data'!$B$6:$B$10000,"Amazon UK",'Sales Data'!$BC$6:$BC$10000,"Aug",'Sales Data'!$BD$6:$BD$10000,$O$21)</f>
        <v/>
      </c>
      <c r="L32" s="140">
        <f>SUMIFS('Sales Data'!$E$6:$E$10000,'Sales Data'!$B$6:$B$10000,"Amazon UK",'Sales Data'!$BC$6:$BC$10000,"Sep",'Sales Data'!$BD$6:$BD$10000,$O$21)</f>
        <v/>
      </c>
      <c r="M32" s="140">
        <f>SUMIFS('Sales Data'!$E$6:$E$10000,'Sales Data'!$B$6:$B$10000,"Amazon UK",'Sales Data'!$BC$6:$BC$10000,"Oct",'Sales Data'!$BD$6:$BD$10000,$O$21)</f>
        <v/>
      </c>
      <c r="N32" s="140">
        <f>SUMIFS('Sales Data'!$E$6:$E$10000,'Sales Data'!$B$6:$B$10000,"Amazon UK",'Sales Data'!$BC$6:$BC$10000,"Nov",'Sales Data'!$BD$6:$BD$10000,$O$21)</f>
        <v/>
      </c>
      <c r="O32" s="140">
        <f>SUMIFS('Sales Data'!$E$6:$E$10000,'Sales Data'!$B$6:$B$10000,"Amazon UK",'Sales Data'!$BC$6:$BC$10000,"Dec",'Sales Data'!$BD$6:$BD$10000,$O$21)</f>
        <v/>
      </c>
      <c r="P32" s="141">
        <f>SUM(D32:O32)</f>
        <v/>
      </c>
    </row>
    <row r="33" ht="18" customHeight="1" s="104">
      <c r="B33" s="142" t="n"/>
      <c r="C33" s="139" t="inlineStr">
        <is>
          <t>Expenses</t>
        </is>
      </c>
      <c r="D33" s="140">
        <f>SUMIFS('Main Expenses'!$E$6:$E$10000,'Main Expenses'!$B$6:$B$10000,"Amazon UK",'Main Expenses'!$K$6:$K$10000,"Jan",'Main Expenses'!$L$6:$L$10000,$O$21)</f>
        <v/>
      </c>
      <c r="E33" s="140">
        <f>SUMIFS('Main Expenses'!$E$6:$E$10000,'Main Expenses'!$B$6:$B$10000,"Amazon UK",'Main Expenses'!$K$6:$K$10000,"Feb",'Main Expenses'!$L$6:$L$10000,$O$21)</f>
        <v/>
      </c>
      <c r="F33" s="140">
        <f>SUMIFS('Main Expenses'!$E$6:$E$10000,'Main Expenses'!$B$6:$B$10000,"Amazon UK",'Main Expenses'!$K$6:$K$10000,"Mar",'Main Expenses'!$L$6:$L$10000,$O$21)</f>
        <v/>
      </c>
      <c r="G33" s="140">
        <f>SUMIFS('Main Expenses'!$E$6:$E$10000,'Main Expenses'!$B$6:$B$10000,"Amazon UK",'Main Expenses'!$K$6:$K$10000,"Apr",'Main Expenses'!$L$6:$L$10000,$O$21)</f>
        <v/>
      </c>
      <c r="H33" s="140">
        <f>SUMIFS('Main Expenses'!$E$6:$E$10000,'Main Expenses'!$B$6:$B$10000,"Amazon UK",'Main Expenses'!$K$6:$K$10000,"May",'Main Expenses'!$L$6:$L$10000,$O$21)</f>
        <v/>
      </c>
      <c r="I33" s="140">
        <f>SUMIFS('Main Expenses'!$E$6:$E$10000,'Main Expenses'!$B$6:$B$10000,"Amazon UK",'Main Expenses'!$K$6:$K$10000,"Jun",'Main Expenses'!$L$6:$L$10000,$O$21)</f>
        <v/>
      </c>
      <c r="J33" s="140">
        <f>SUMIFS('Main Expenses'!$E$6:$E$10000,'Main Expenses'!$B$6:$B$10000,"Amazon UK",'Main Expenses'!$K$6:$K$10000,"Jul",'Main Expenses'!$L$6:$L$10000,$O$21)</f>
        <v/>
      </c>
      <c r="K33" s="140">
        <f>SUMIFS('Main Expenses'!$E$6:$E$10000,'Main Expenses'!$B$6:$B$10000,"Amazon UK",'Main Expenses'!$K$6:$K$10000,"Aug",'Main Expenses'!$L$6:$L$10000,$O$21)</f>
        <v/>
      </c>
      <c r="L33" s="140">
        <f>SUMIFS('Main Expenses'!$E$6:$E$10000,'Main Expenses'!$B$6:$B$10000,"Amazon UK",'Main Expenses'!$K$6:$K$10000,"Sep",'Main Expenses'!$L$6:$L$10000,$O$21)</f>
        <v/>
      </c>
      <c r="M33" s="140">
        <f>SUMIFS('Main Expenses'!$E$6:$E$10000,'Main Expenses'!$B$6:$B$10000,"Amazon UK",'Main Expenses'!$K$6:$K$10000,"Oct",'Main Expenses'!$L$6:$L$10000,$O$21)</f>
        <v/>
      </c>
      <c r="N33" s="140">
        <f>SUMIFS('Main Expenses'!$E$6:$E$10000,'Main Expenses'!$B$6:$B$10000,"Amazon UK",'Main Expenses'!$K$6:$K$10000,"Nov",'Main Expenses'!$L$6:$L$10000,$O$21)</f>
        <v/>
      </c>
      <c r="O33" s="140">
        <f>SUMIFS('Main Expenses'!$E$6:$E$10000,'Main Expenses'!$B$6:$B$10000,"Amazon UK",'Main Expenses'!$K$6:$K$10000,"Dec",'Main Expenses'!$L$6:$L$10000,$O$21)</f>
        <v/>
      </c>
      <c r="P33" s="141">
        <f>SUM(D33:O33)</f>
        <v/>
      </c>
    </row>
    <row r="34" ht="18" customHeight="1" s="104">
      <c r="B34" s="142" t="n"/>
      <c r="C34" s="143" t="inlineStr">
        <is>
          <t>Net Profit</t>
        </is>
      </c>
      <c r="D34" s="144">
        <f>D32+D33</f>
        <v/>
      </c>
      <c r="E34" s="144">
        <f>E32+E33</f>
        <v/>
      </c>
      <c r="F34" s="144">
        <f>F32+F33</f>
        <v/>
      </c>
      <c r="G34" s="144">
        <f>G32+G33</f>
        <v/>
      </c>
      <c r="H34" s="144">
        <f>H32+H33</f>
        <v/>
      </c>
      <c r="I34" s="144">
        <f>I32+I33</f>
        <v/>
      </c>
      <c r="J34" s="144">
        <f>J32+J33</f>
        <v/>
      </c>
      <c r="K34" s="144">
        <f>K32+K33</f>
        <v/>
      </c>
      <c r="L34" s="144">
        <f>L32+L33</f>
        <v/>
      </c>
      <c r="M34" s="144">
        <f>M32+M33</f>
        <v/>
      </c>
      <c r="N34" s="144">
        <f>N32+N33</f>
        <v/>
      </c>
      <c r="O34" s="144">
        <f>O32+O33</f>
        <v/>
      </c>
      <c r="P34" s="141">
        <f>SUM(D34:O34)</f>
        <v/>
      </c>
    </row>
    <row r="35" ht="18" customHeight="1" s="104">
      <c r="B35" s="145" t="n"/>
      <c r="C35" s="139" t="inlineStr">
        <is>
          <t>Margin %</t>
        </is>
      </c>
      <c r="D35" s="146">
        <f>IFERROR(D34/D32,0)</f>
        <v/>
      </c>
      <c r="E35" s="146">
        <f>IFERROR(E34/E32,0)</f>
        <v/>
      </c>
      <c r="F35" s="146">
        <f>IFERROR(F34/F32,0)</f>
        <v/>
      </c>
      <c r="G35" s="146">
        <f>IFERROR(G34/G32,0)</f>
        <v/>
      </c>
      <c r="H35" s="146">
        <f>IFERROR(H34/H32,0)</f>
        <v/>
      </c>
      <c r="I35" s="146">
        <f>IFERROR(I34/I32,0)</f>
        <v/>
      </c>
      <c r="J35" s="146">
        <f>IFERROR(J34/J32,0)</f>
        <v/>
      </c>
      <c r="K35" s="146">
        <f>IFERROR(K34/K32,0)</f>
        <v/>
      </c>
      <c r="L35" s="146">
        <f>IFERROR(L34/L32,0)</f>
        <v/>
      </c>
      <c r="M35" s="146">
        <f>IFERROR(M34/M32,0)</f>
        <v/>
      </c>
      <c r="N35" s="146">
        <f>IFERROR(N34/N32,0)</f>
        <v/>
      </c>
      <c r="O35" s="146">
        <f>IFERROR(O34/O32,0)</f>
        <v/>
      </c>
      <c r="P35" s="147">
        <f>IFERROR(P34/P32,0)</f>
        <v/>
      </c>
    </row>
    <row r="36" ht="18" customHeight="1" s="104">
      <c r="B36" s="148" t="inlineStr">
        <is>
          <t>TikTok Shop</t>
        </is>
      </c>
      <c r="C36" s="149" t="inlineStr">
        <is>
          <t>Sales</t>
        </is>
      </c>
      <c r="D36" s="150">
        <f>SUMIFS('Sales Data'!$E$6:$E$10000,'Sales Data'!$B$6:$B$10000,"Tiktok",'Sales Data'!$BC$6:$BC$10000,"Jan",'Sales Data'!$BD$6:$BD$10000,$O$21)</f>
        <v/>
      </c>
      <c r="E36" s="150">
        <f>SUMIFS('Sales Data'!$E$6:$E$10000,'Sales Data'!$B$6:$B$10000,"Tiktok",'Sales Data'!$BC$6:$BC$10000,"Feb",'Sales Data'!$BD$6:$BD$10000,$O$21)</f>
        <v/>
      </c>
      <c r="F36" s="150">
        <f>SUMIFS('Sales Data'!$E$6:$E$10000,'Sales Data'!$B$6:$B$10000,"Tiktok",'Sales Data'!$BC$6:$BC$10000,"Mar",'Sales Data'!$BD$6:$BD$10000,$O$21)</f>
        <v/>
      </c>
      <c r="G36" s="150">
        <f>SUMIFS('Sales Data'!$E$6:$E$10000,'Sales Data'!$B$6:$B$10000,"Tiktok",'Sales Data'!$BC$6:$BC$10000,"Apr",'Sales Data'!$BD$6:$BD$10000,$O$21)</f>
        <v/>
      </c>
      <c r="H36" s="150">
        <f>SUMIFS('Sales Data'!$E$6:$E$10000,'Sales Data'!$B$6:$B$10000,"Tiktok",'Sales Data'!$BC$6:$BC$10000,"May",'Sales Data'!$BD$6:$BD$10000,$O$21)</f>
        <v/>
      </c>
      <c r="I36" s="150">
        <f>SUMIFS('Sales Data'!$E$6:$E$10000,'Sales Data'!$B$6:$B$10000,"Tiktok",'Sales Data'!$BC$6:$BC$10000,"Jun",'Sales Data'!$BD$6:$BD$10000,$O$21)</f>
        <v/>
      </c>
      <c r="J36" s="150">
        <f>SUMIFS('Sales Data'!$E$6:$E$10000,'Sales Data'!$B$6:$B$10000,"Tiktok",'Sales Data'!$BC$6:$BC$10000,"Jul",'Sales Data'!$BD$6:$BD$10000,$O$21)</f>
        <v/>
      </c>
      <c r="K36" s="150">
        <f>SUMIFS('Sales Data'!$E$6:$E$10000,'Sales Data'!$B$6:$B$10000,"Tiktok",'Sales Data'!$BC$6:$BC$10000,"Aug",'Sales Data'!$BD$6:$BD$10000,$O$21)</f>
        <v/>
      </c>
      <c r="L36" s="150">
        <f>SUMIFS('Sales Data'!$E$6:$E$10000,'Sales Data'!$B$6:$B$10000,"Tiktok",'Sales Data'!$BC$6:$BC$10000,"Sep",'Sales Data'!$BD$6:$BD$10000,$O$21)</f>
        <v/>
      </c>
      <c r="M36" s="150">
        <f>SUMIFS('Sales Data'!$E$6:$E$10000,'Sales Data'!$B$6:$B$10000,"Tiktok",'Sales Data'!$BC$6:$BC$10000,"Oct",'Sales Data'!$BD$6:$BD$10000,$O$21)</f>
        <v/>
      </c>
      <c r="N36" s="150">
        <f>SUMIFS('Sales Data'!$E$6:$E$10000,'Sales Data'!$B$6:$B$10000,"Tiktok",'Sales Data'!$BC$6:$BC$10000,"Nov",'Sales Data'!$BD$6:$BD$10000,$O$21)</f>
        <v/>
      </c>
      <c r="O36" s="150">
        <f>SUMIFS('Sales Data'!$E$6:$E$10000,'Sales Data'!$B$6:$B$10000,"Tiktok",'Sales Data'!$BC$6:$BC$10000,"Dec",'Sales Data'!$BD$6:$BD$10000,$O$21)</f>
        <v/>
      </c>
      <c r="P36" s="141">
        <f>SUM(D36:O36)</f>
        <v/>
      </c>
    </row>
    <row r="37" ht="18" customHeight="1" s="104">
      <c r="B37" s="142" t="n"/>
      <c r="C37" s="149" t="inlineStr">
        <is>
          <t>Expenses</t>
        </is>
      </c>
      <c r="D37" s="150">
        <f>SUMIFS('Main Expenses'!$E$6:$E$10000,'Main Expenses'!$B$6:$B$10000,"Tiktok",'Main Expenses'!$K$6:$K$10000,"Jan",'Main Expenses'!$L$6:$L$10000,$O$21)</f>
        <v/>
      </c>
      <c r="E37" s="150">
        <f>SUMIFS('Main Expenses'!$E$6:$E$10000,'Main Expenses'!$B$6:$B$10000,"Tiktok",'Main Expenses'!$K$6:$K$10000,"Feb",'Main Expenses'!$L$6:$L$10000,$O$21)</f>
        <v/>
      </c>
      <c r="F37" s="150">
        <f>SUMIFS('Main Expenses'!$E$6:$E$10000,'Main Expenses'!$B$6:$B$10000,"Tiktok",'Main Expenses'!$K$6:$K$10000,"Mar",'Main Expenses'!$L$6:$L$10000,$O$21)</f>
        <v/>
      </c>
      <c r="G37" s="150">
        <f>SUMIFS('Main Expenses'!$E$6:$E$10000,'Main Expenses'!$B$6:$B$10000,"Tiktok",'Main Expenses'!$K$6:$K$10000,"Apr",'Main Expenses'!$L$6:$L$10000,$O$21)</f>
        <v/>
      </c>
      <c r="H37" s="150">
        <f>SUMIFS('Main Expenses'!$E$6:$E$10000,'Main Expenses'!$B$6:$B$10000,"Tiktok",'Main Expenses'!$K$6:$K$10000,"May",'Main Expenses'!$L$6:$L$10000,$O$21)</f>
        <v/>
      </c>
      <c r="I37" s="150">
        <f>SUMIFS('Main Expenses'!$E$6:$E$10000,'Main Expenses'!$B$6:$B$10000,"Tiktok",'Main Expenses'!$K$6:$K$10000,"Jun",'Main Expenses'!$L$6:$L$10000,$O$21)</f>
        <v/>
      </c>
      <c r="J37" s="150">
        <f>SUMIFS('Main Expenses'!$E$6:$E$10000,'Main Expenses'!$B$6:$B$10000,"Tiktok",'Main Expenses'!$K$6:$K$10000,"Jul",'Main Expenses'!$L$6:$L$10000,$O$21)</f>
        <v/>
      </c>
      <c r="K37" s="150">
        <f>SUMIFS('Main Expenses'!$E$6:$E$10000,'Main Expenses'!$B$6:$B$10000,"Tiktok",'Main Expenses'!$K$6:$K$10000,"Aug",'Main Expenses'!$L$6:$L$10000,$O$21)</f>
        <v/>
      </c>
      <c r="L37" s="150">
        <f>SUMIFS('Main Expenses'!$E$6:$E$10000,'Main Expenses'!$B$6:$B$10000,"Tiktok",'Main Expenses'!$K$6:$K$10000,"Sep",'Main Expenses'!$L$6:$L$10000,$O$21)</f>
        <v/>
      </c>
      <c r="M37" s="150">
        <f>SUMIFS('Main Expenses'!$E$6:$E$10000,'Main Expenses'!$B$6:$B$10000,"Tiktok",'Main Expenses'!$K$6:$K$10000,"Oct",'Main Expenses'!$L$6:$L$10000,$O$21)</f>
        <v/>
      </c>
      <c r="N37" s="150">
        <f>SUMIFS('Main Expenses'!$E$6:$E$10000,'Main Expenses'!$B$6:$B$10000,"Tiktok",'Main Expenses'!$K$6:$K$10000,"Nov",'Main Expenses'!$L$6:$L$10000,$O$21)</f>
        <v/>
      </c>
      <c r="O37" s="150">
        <f>SUMIFS('Main Expenses'!$E$6:$E$10000,'Main Expenses'!$B$6:$B$10000,"Tiktok",'Main Expenses'!$K$6:$K$10000,"Dec",'Main Expenses'!$L$6:$L$10000,$O$21)</f>
        <v/>
      </c>
      <c r="P37" s="141">
        <f>SUM(D37:O37)</f>
        <v/>
      </c>
    </row>
    <row r="38" ht="18" customHeight="1" s="104">
      <c r="B38" s="142" t="n"/>
      <c r="C38" s="151" t="inlineStr">
        <is>
          <t>Net Profit</t>
        </is>
      </c>
      <c r="D38" s="152">
        <f>D36+D37</f>
        <v/>
      </c>
      <c r="E38" s="152">
        <f>E36+E37</f>
        <v/>
      </c>
      <c r="F38" s="152">
        <f>F36+F37</f>
        <v/>
      </c>
      <c r="G38" s="152">
        <f>G36+G37</f>
        <v/>
      </c>
      <c r="H38" s="152">
        <f>H36+H37</f>
        <v/>
      </c>
      <c r="I38" s="152">
        <f>I36+I37</f>
        <v/>
      </c>
      <c r="J38" s="152">
        <f>J36+J37</f>
        <v/>
      </c>
      <c r="K38" s="152">
        <f>K36+K37</f>
        <v/>
      </c>
      <c r="L38" s="152">
        <f>L36+L37</f>
        <v/>
      </c>
      <c r="M38" s="152">
        <f>M36+M37</f>
        <v/>
      </c>
      <c r="N38" s="152">
        <f>N36+N37</f>
        <v/>
      </c>
      <c r="O38" s="152">
        <f>O36+O37</f>
        <v/>
      </c>
      <c r="P38" s="141">
        <f>SUM(D38:O38)</f>
        <v/>
      </c>
    </row>
    <row r="39" ht="18" customHeight="1" s="104">
      <c r="B39" s="145" t="n"/>
      <c r="C39" s="149" t="inlineStr">
        <is>
          <t>Margin %</t>
        </is>
      </c>
      <c r="D39" s="153">
        <f>IFERROR(D38/D36,0)</f>
        <v/>
      </c>
      <c r="E39" s="153">
        <f>IFERROR(E38/E36,0)</f>
        <v/>
      </c>
      <c r="F39" s="153">
        <f>IFERROR(F38/F36,0)</f>
        <v/>
      </c>
      <c r="G39" s="153">
        <f>IFERROR(G38/G36,0)</f>
        <v/>
      </c>
      <c r="H39" s="153">
        <f>IFERROR(H38/H36,0)</f>
        <v/>
      </c>
      <c r="I39" s="153">
        <f>IFERROR(I38/I36,0)</f>
        <v/>
      </c>
      <c r="J39" s="153">
        <f>IFERROR(J38/J36,0)</f>
        <v/>
      </c>
      <c r="K39" s="153">
        <f>IFERROR(K38/K36,0)</f>
        <v/>
      </c>
      <c r="L39" s="153">
        <f>IFERROR(L38/L36,0)</f>
        <v/>
      </c>
      <c r="M39" s="153">
        <f>IFERROR(M38/M36,0)</f>
        <v/>
      </c>
      <c r="N39" s="153">
        <f>IFERROR(N38/N36,0)</f>
        <v/>
      </c>
      <c r="O39" s="153">
        <f>IFERROR(O38/O36,0)</f>
        <v/>
      </c>
      <c r="P39" s="147">
        <f>IFERROR(P38/P36,0)</f>
        <v/>
      </c>
    </row>
    <row r="40" ht="18" customHeight="1" s="104">
      <c r="B40" s="138" t="inlineStr">
        <is>
          <t>Shopify &amp; Faire</t>
        </is>
      </c>
      <c r="C40" s="139" t="inlineStr">
        <is>
          <t>Sales</t>
        </is>
      </c>
      <c r="D40" s="140">
        <f>SUMIFS('Sales Data'!$E$6:$E$10000,'Sales Data'!$B$6:$B$10000,"Shopify",'Sales Data'!$BC$6:$BC$10000,"Jan",'Sales Data'!$BD$6:$BD$10000,$O$21)</f>
        <v/>
      </c>
      <c r="E40" s="140">
        <f>SUMIFS('Sales Data'!$E$6:$E$10000,'Sales Data'!$B$6:$B$10000,"Shopify",'Sales Data'!$BC$6:$BC$10000,"Feb",'Sales Data'!$BD$6:$BD$10000,$O$21)</f>
        <v/>
      </c>
      <c r="F40" s="140">
        <f>SUMIFS('Sales Data'!$E$6:$E$10000,'Sales Data'!$B$6:$B$10000,"Shopify",'Sales Data'!$BC$6:$BC$10000,"Mar",'Sales Data'!$BD$6:$BD$10000,$O$21)</f>
        <v/>
      </c>
      <c r="G40" s="140">
        <f>SUMIFS('Sales Data'!$E$6:$E$10000,'Sales Data'!$B$6:$B$10000,"Shopify",'Sales Data'!$BC$6:$BC$10000,"Apr",'Sales Data'!$BD$6:$BD$10000,$O$21)</f>
        <v/>
      </c>
      <c r="H40" s="140">
        <f>SUMIFS('Sales Data'!$E$6:$E$10000,'Sales Data'!$B$6:$B$10000,"Shopify",'Sales Data'!$BC$6:$BC$10000,"May",'Sales Data'!$BD$6:$BD$10000,$O$21)</f>
        <v/>
      </c>
      <c r="I40" s="140">
        <f>SUMIFS('Sales Data'!$E$6:$E$10000,'Sales Data'!$B$6:$B$10000,"Shopify",'Sales Data'!$BC$6:$BC$10000,"Jun",'Sales Data'!$BD$6:$BD$10000,$O$21)</f>
        <v/>
      </c>
      <c r="J40" s="140">
        <f>SUMIFS('Sales Data'!$E$6:$E$10000,'Sales Data'!$B$6:$B$10000,"Shopify",'Sales Data'!$BC$6:$BC$10000,"Jul",'Sales Data'!$BD$6:$BD$10000,$O$21)</f>
        <v/>
      </c>
      <c r="K40" s="140">
        <f>SUMIFS('Sales Data'!$E$6:$E$10000,'Sales Data'!$B$6:$B$10000,"Shopify",'Sales Data'!$BC$6:$BC$10000,"Aug",'Sales Data'!$BD$6:$BD$10000,$O$21)</f>
        <v/>
      </c>
      <c r="L40" s="140">
        <f>SUMIFS('Sales Data'!$E$6:$E$10000,'Sales Data'!$B$6:$B$10000,"Shopify",'Sales Data'!$BC$6:$BC$10000,"Sep",'Sales Data'!$BD$6:$BD$10000,$O$21)</f>
        <v/>
      </c>
      <c r="M40" s="140">
        <f>SUMIFS('Sales Data'!$E$6:$E$10000,'Sales Data'!$B$6:$B$10000,"Shopify",'Sales Data'!$BC$6:$BC$10000,"Oct",'Sales Data'!$BD$6:$BD$10000,$O$21)</f>
        <v/>
      </c>
      <c r="N40" s="140">
        <f>SUMIFS('Sales Data'!$E$6:$E$10000,'Sales Data'!$B$6:$B$10000,"Shopify",'Sales Data'!$BC$6:$BC$10000,"Nov",'Sales Data'!$BD$6:$BD$10000,$O$21)</f>
        <v/>
      </c>
      <c r="O40" s="140">
        <f>SUMIFS('Sales Data'!$E$6:$E$10000,'Sales Data'!$B$6:$B$10000,"Shopify",'Sales Data'!$BC$6:$BC$10000,"Dec",'Sales Data'!$BD$6:$BD$10000,$O$21)</f>
        <v/>
      </c>
      <c r="P40" s="141">
        <f>SUM(D40:O40)</f>
        <v/>
      </c>
    </row>
    <row r="41" ht="18" customHeight="1" s="104">
      <c r="B41" s="142" t="n"/>
      <c r="C41" s="139" t="inlineStr">
        <is>
          <t>Expenses</t>
        </is>
      </c>
      <c r="D41" s="140">
        <f>SUMIFS('Main Expenses'!$E$6:$E$10000,'Main Expenses'!$B$6:$B$10000,"Shopify",'Main Expenses'!$K$6:$K$10000,"Jan",'Main Expenses'!$L$6:$L$10000,$O$21)</f>
        <v/>
      </c>
      <c r="E41" s="140">
        <f>SUMIFS('Main Expenses'!$E$6:$E$10000,'Main Expenses'!$B$6:$B$10000,"Shopify",'Main Expenses'!$K$6:$K$10000,"Feb",'Main Expenses'!$L$6:$L$10000,$O$21)</f>
        <v/>
      </c>
      <c r="F41" s="140">
        <f>SUMIFS('Main Expenses'!$E$6:$E$10000,'Main Expenses'!$B$6:$B$10000,"Shopify",'Main Expenses'!$K$6:$K$10000,"Mar",'Main Expenses'!$L$6:$L$10000,$O$21)</f>
        <v/>
      </c>
      <c r="G41" s="140">
        <f>SUMIFS('Main Expenses'!$E$6:$E$10000,'Main Expenses'!$B$6:$B$10000,"Shopify",'Main Expenses'!$K$6:$K$10000,"Apr",'Main Expenses'!$L$6:$L$10000,$O$21)</f>
        <v/>
      </c>
      <c r="H41" s="140">
        <f>SUMIFS('Main Expenses'!$E$6:$E$10000,'Main Expenses'!$B$6:$B$10000,"Shopify",'Main Expenses'!$K$6:$K$10000,"May",'Main Expenses'!$L$6:$L$10000,$O$21)</f>
        <v/>
      </c>
      <c r="I41" s="140">
        <f>SUMIFS('Main Expenses'!$E$6:$E$10000,'Main Expenses'!$B$6:$B$10000,"Shopify",'Main Expenses'!$K$6:$K$10000,"Jun",'Main Expenses'!$L$6:$L$10000,$O$21)</f>
        <v/>
      </c>
      <c r="J41" s="140">
        <f>SUMIFS('Main Expenses'!$E$6:$E$10000,'Main Expenses'!$B$6:$B$10000,"Shopify",'Main Expenses'!$K$6:$K$10000,"Jul",'Main Expenses'!$L$6:$L$10000,$O$21)</f>
        <v/>
      </c>
      <c r="K41" s="140">
        <f>SUMIFS('Main Expenses'!$E$6:$E$10000,'Main Expenses'!$B$6:$B$10000,"Shopify",'Main Expenses'!$K$6:$K$10000,"Aug",'Main Expenses'!$L$6:$L$10000,$O$21)</f>
        <v/>
      </c>
      <c r="L41" s="140">
        <f>SUMIFS('Main Expenses'!$E$6:$E$10000,'Main Expenses'!$B$6:$B$10000,"Shopify",'Main Expenses'!$K$6:$K$10000,"Sep",'Main Expenses'!$L$6:$L$10000,$O$21)</f>
        <v/>
      </c>
      <c r="M41" s="140">
        <f>SUMIFS('Main Expenses'!$E$6:$E$10000,'Main Expenses'!$B$6:$B$10000,"Shopify",'Main Expenses'!$K$6:$K$10000,"Oct",'Main Expenses'!$L$6:$L$10000,$O$21)</f>
        <v/>
      </c>
      <c r="N41" s="140">
        <f>SUMIFS('Main Expenses'!$E$6:$E$10000,'Main Expenses'!$B$6:$B$10000,"Shopify",'Main Expenses'!$K$6:$K$10000,"Nov",'Main Expenses'!$L$6:$L$10000,$O$21)</f>
        <v/>
      </c>
      <c r="O41" s="140">
        <f>SUMIFS('Main Expenses'!$E$6:$E$10000,'Main Expenses'!$B$6:$B$10000,"Shopify",'Main Expenses'!$K$6:$K$10000,"Dec",'Main Expenses'!$L$6:$L$10000,$O$21)</f>
        <v/>
      </c>
      <c r="P41" s="141">
        <f>SUM(D41:O41)</f>
        <v/>
      </c>
    </row>
    <row r="42" ht="18" customHeight="1" s="104">
      <c r="B42" s="142" t="n"/>
      <c r="C42" s="143" t="inlineStr">
        <is>
          <t>Net Profit</t>
        </is>
      </c>
      <c r="D42" s="144">
        <f>D40+D41</f>
        <v/>
      </c>
      <c r="E42" s="144">
        <f>E40+E41</f>
        <v/>
      </c>
      <c r="F42" s="144">
        <f>F40+F41</f>
        <v/>
      </c>
      <c r="G42" s="144">
        <f>G40+G41</f>
        <v/>
      </c>
      <c r="H42" s="144">
        <f>H40+H41</f>
        <v/>
      </c>
      <c r="I42" s="144">
        <f>I40+I41</f>
        <v/>
      </c>
      <c r="J42" s="144">
        <f>J40+J41</f>
        <v/>
      </c>
      <c r="K42" s="144">
        <f>K40+K41</f>
        <v/>
      </c>
      <c r="L42" s="144">
        <f>L40+L41</f>
        <v/>
      </c>
      <c r="M42" s="144">
        <f>M40+M41</f>
        <v/>
      </c>
      <c r="N42" s="144">
        <f>N40+N41</f>
        <v/>
      </c>
      <c r="O42" s="144">
        <f>O40+O41</f>
        <v/>
      </c>
      <c r="P42" s="141">
        <f>SUM(D42:O42)</f>
        <v/>
      </c>
    </row>
    <row r="43" ht="18" customHeight="1" s="104">
      <c r="B43" s="145" t="n"/>
      <c r="C43" s="139" t="inlineStr">
        <is>
          <t>Margin %</t>
        </is>
      </c>
      <c r="D43" s="146">
        <f>IFERROR(D42/D40,0)</f>
        <v/>
      </c>
      <c r="E43" s="146">
        <f>IFERROR(E42/E40,0)</f>
        <v/>
      </c>
      <c r="F43" s="146">
        <f>IFERROR(F42/F40,0)</f>
        <v/>
      </c>
      <c r="G43" s="146">
        <f>IFERROR(G42/G40,0)</f>
        <v/>
      </c>
      <c r="H43" s="146">
        <f>IFERROR(H42/H40,0)</f>
        <v/>
      </c>
      <c r="I43" s="146">
        <f>IFERROR(I42/I40,0)</f>
        <v/>
      </c>
      <c r="J43" s="146">
        <f>IFERROR(J42/J40,0)</f>
        <v/>
      </c>
      <c r="K43" s="146">
        <f>IFERROR(K42/K40,0)</f>
        <v/>
      </c>
      <c r="L43" s="146">
        <f>IFERROR(L42/L40,0)</f>
        <v/>
      </c>
      <c r="M43" s="146">
        <f>IFERROR(M42/M40,0)</f>
        <v/>
      </c>
      <c r="N43" s="146">
        <f>IFERROR(N42/N40,0)</f>
        <v/>
      </c>
      <c r="O43" s="146">
        <f>IFERROR(O42/O40,0)</f>
        <v/>
      </c>
      <c r="P43" s="147">
        <f>IFERROR(P42/P40,0)</f>
        <v/>
      </c>
    </row>
    <row r="44" ht="18" customHeight="1" s="104">
      <c r="B44" s="148" t="inlineStr">
        <is>
          <t>Walmart</t>
        </is>
      </c>
      <c r="C44" s="149" t="inlineStr">
        <is>
          <t>Sales</t>
        </is>
      </c>
      <c r="D44" s="150">
        <f>SUMIFS('Sales Data'!$E$6:$E$10000,'Sales Data'!$B$6:$B$10000,"Walmart",'Sales Data'!$BC$6:$BC$10000,"Jan",'Sales Data'!$BD$6:$BD$10000,$O$21)</f>
        <v/>
      </c>
      <c r="E44" s="150">
        <f>SUMIFS('Sales Data'!$E$6:$E$10000,'Sales Data'!$B$6:$B$10000,"Walmart",'Sales Data'!$BC$6:$BC$10000,"Feb",'Sales Data'!$BD$6:$BD$10000,$O$21)</f>
        <v/>
      </c>
      <c r="F44" s="150">
        <f>SUMIFS('Sales Data'!$E$6:$E$10000,'Sales Data'!$B$6:$B$10000,"Walmart",'Sales Data'!$BC$6:$BC$10000,"Mar",'Sales Data'!$BD$6:$BD$10000,$O$21)</f>
        <v/>
      </c>
      <c r="G44" s="150">
        <f>SUMIFS('Sales Data'!$E$6:$E$10000,'Sales Data'!$B$6:$B$10000,"Walmart",'Sales Data'!$BC$6:$BC$10000,"Apr",'Sales Data'!$BD$6:$BD$10000,$O$21)</f>
        <v/>
      </c>
      <c r="H44" s="150">
        <f>SUMIFS('Sales Data'!$E$6:$E$10000,'Sales Data'!$B$6:$B$10000,"Walmart",'Sales Data'!$BC$6:$BC$10000,"May",'Sales Data'!$BD$6:$BD$10000,$O$21)</f>
        <v/>
      </c>
      <c r="I44" s="150">
        <f>SUMIFS('Sales Data'!$E$6:$E$10000,'Sales Data'!$B$6:$B$10000,"Walmart",'Sales Data'!$BC$6:$BC$10000,"Jun",'Sales Data'!$BD$6:$BD$10000,$O$21)</f>
        <v/>
      </c>
      <c r="J44" s="150">
        <f>SUMIFS('Sales Data'!$E$6:$E$10000,'Sales Data'!$B$6:$B$10000,"Walmart",'Sales Data'!$BC$6:$BC$10000,"Jul",'Sales Data'!$BD$6:$BD$10000,$O$21)</f>
        <v/>
      </c>
      <c r="K44" s="150">
        <f>SUMIFS('Sales Data'!$E$6:$E$10000,'Sales Data'!$B$6:$B$10000,"Walmart",'Sales Data'!$BC$6:$BC$10000,"Aug",'Sales Data'!$BD$6:$BD$10000,$O$21)</f>
        <v/>
      </c>
      <c r="L44" s="150">
        <f>SUMIFS('Sales Data'!$E$6:$E$10000,'Sales Data'!$B$6:$B$10000,"Walmart",'Sales Data'!$BC$6:$BC$10000,"Sep",'Sales Data'!$BD$6:$BD$10000,$O$21)</f>
        <v/>
      </c>
      <c r="M44" s="150">
        <f>SUMIFS('Sales Data'!$E$6:$E$10000,'Sales Data'!$B$6:$B$10000,"Walmart",'Sales Data'!$BC$6:$BC$10000,"Oct",'Sales Data'!$BD$6:$BD$10000,$O$21)</f>
        <v/>
      </c>
      <c r="N44" s="150">
        <f>SUMIFS('Sales Data'!$E$6:$E$10000,'Sales Data'!$B$6:$B$10000,"Walmart",'Sales Data'!$BC$6:$BC$10000,"Nov",'Sales Data'!$BD$6:$BD$10000,$O$21)</f>
        <v/>
      </c>
      <c r="O44" s="150">
        <f>SUMIFS('Sales Data'!$E$6:$E$10000,'Sales Data'!$B$6:$B$10000,"Walmart",'Sales Data'!$BC$6:$BC$10000,"Dec",'Sales Data'!$BD$6:$BD$10000,$O$21)</f>
        <v/>
      </c>
      <c r="P44" s="141">
        <f>SUM(D44:O44)</f>
        <v/>
      </c>
    </row>
    <row r="45" ht="18" customHeight="1" s="104">
      <c r="B45" s="142" t="n"/>
      <c r="C45" s="149" t="inlineStr">
        <is>
          <t>Expenses</t>
        </is>
      </c>
      <c r="D45" s="150">
        <f>SUMIFS('Main Expenses'!$E$6:$E$10000,'Main Expenses'!$B$6:$B$10000,"Walmart",'Main Expenses'!$K$6:$K$10000,"Jan",'Main Expenses'!$L$6:$L$10000,$O$21)</f>
        <v/>
      </c>
      <c r="E45" s="150">
        <f>SUMIFS('Main Expenses'!$E$6:$E$10000,'Main Expenses'!$B$6:$B$10000,"Walmart",'Main Expenses'!$K$6:$K$10000,"Feb",'Main Expenses'!$L$6:$L$10000,$O$21)</f>
        <v/>
      </c>
      <c r="F45" s="150">
        <f>SUMIFS('Main Expenses'!$E$6:$E$10000,'Main Expenses'!$B$6:$B$10000,"Walmart",'Main Expenses'!$K$6:$K$10000,"Mar",'Main Expenses'!$L$6:$L$10000,$O$21)</f>
        <v/>
      </c>
      <c r="G45" s="150">
        <f>SUMIFS('Main Expenses'!$E$6:$E$10000,'Main Expenses'!$B$6:$B$10000,"Walmart",'Main Expenses'!$K$6:$K$10000,"Apr",'Main Expenses'!$L$6:$L$10000,$O$21)</f>
        <v/>
      </c>
      <c r="H45" s="150">
        <f>SUMIFS('Main Expenses'!$E$6:$E$10000,'Main Expenses'!$B$6:$B$10000,"Walmart",'Main Expenses'!$K$6:$K$10000,"May",'Main Expenses'!$L$6:$L$10000,$O$21)</f>
        <v/>
      </c>
      <c r="I45" s="150">
        <f>SUMIFS('Main Expenses'!$E$6:$E$10000,'Main Expenses'!$B$6:$B$10000,"Walmart",'Main Expenses'!$K$6:$K$10000,"Jun",'Main Expenses'!$L$6:$L$10000,$O$21)</f>
        <v/>
      </c>
      <c r="J45" s="150">
        <f>SUMIFS('Main Expenses'!$E$6:$E$10000,'Main Expenses'!$B$6:$B$10000,"Walmart",'Main Expenses'!$K$6:$K$10000,"Jul",'Main Expenses'!$L$6:$L$10000,$O$21)</f>
        <v/>
      </c>
      <c r="K45" s="150">
        <f>SUMIFS('Main Expenses'!$E$6:$E$10000,'Main Expenses'!$B$6:$B$10000,"Walmart",'Main Expenses'!$K$6:$K$10000,"Aug",'Main Expenses'!$L$6:$L$10000,$O$21)</f>
        <v/>
      </c>
      <c r="L45" s="150">
        <f>SUMIFS('Main Expenses'!$E$6:$E$10000,'Main Expenses'!$B$6:$B$10000,"Walmart",'Main Expenses'!$K$6:$K$10000,"Sep",'Main Expenses'!$L$6:$L$10000,$O$21)</f>
        <v/>
      </c>
      <c r="M45" s="150">
        <f>SUMIFS('Main Expenses'!$E$6:$E$10000,'Main Expenses'!$B$6:$B$10000,"Walmart",'Main Expenses'!$K$6:$K$10000,"Oct",'Main Expenses'!$L$6:$L$10000,$O$21)</f>
        <v/>
      </c>
      <c r="N45" s="150">
        <f>SUMIFS('Main Expenses'!$E$6:$E$10000,'Main Expenses'!$B$6:$B$10000,"Walmart",'Main Expenses'!$K$6:$K$10000,"Nov",'Main Expenses'!$L$6:$L$10000,$O$21)</f>
        <v/>
      </c>
      <c r="O45" s="150">
        <f>SUMIFS('Main Expenses'!$E$6:$E$10000,'Main Expenses'!$B$6:$B$10000,"Walmart",'Main Expenses'!$K$6:$K$10000,"Dec",'Main Expenses'!$L$6:$L$10000,$O$21)</f>
        <v/>
      </c>
      <c r="P45" s="141">
        <f>SUM(D45:O45)</f>
        <v/>
      </c>
    </row>
    <row r="46" ht="18" customHeight="1" s="104">
      <c r="B46" s="142" t="n"/>
      <c r="C46" s="151" t="inlineStr">
        <is>
          <t>Net Profit</t>
        </is>
      </c>
      <c r="D46" s="152">
        <f>D44+D45</f>
        <v/>
      </c>
      <c r="E46" s="152">
        <f>E44+E45</f>
        <v/>
      </c>
      <c r="F46" s="152">
        <f>F44+F45</f>
        <v/>
      </c>
      <c r="G46" s="152">
        <f>G44+G45</f>
        <v/>
      </c>
      <c r="H46" s="152">
        <f>H44+H45</f>
        <v/>
      </c>
      <c r="I46" s="152">
        <f>I44+I45</f>
        <v/>
      </c>
      <c r="J46" s="152">
        <f>J44+J45</f>
        <v/>
      </c>
      <c r="K46" s="152">
        <f>K44+K45</f>
        <v/>
      </c>
      <c r="L46" s="152">
        <f>L44+L45</f>
        <v/>
      </c>
      <c r="M46" s="152">
        <f>M44+M45</f>
        <v/>
      </c>
      <c r="N46" s="152">
        <f>N44+N45</f>
        <v/>
      </c>
      <c r="O46" s="152">
        <f>O44+O45</f>
        <v/>
      </c>
      <c r="P46" s="141">
        <f>SUM(D46:O46)</f>
        <v/>
      </c>
    </row>
    <row r="47" ht="18" customHeight="1" s="104">
      <c r="B47" s="145" t="n"/>
      <c r="C47" s="149" t="inlineStr">
        <is>
          <t>Margin %</t>
        </is>
      </c>
      <c r="D47" s="153">
        <f>IFERROR(D46/D44,0)</f>
        <v/>
      </c>
      <c r="E47" s="153">
        <f>IFERROR(E46/E44,0)</f>
        <v/>
      </c>
      <c r="F47" s="153">
        <f>IFERROR(F46/F44,0)</f>
        <v/>
      </c>
      <c r="G47" s="153">
        <f>IFERROR(G46/G44,0)</f>
        <v/>
      </c>
      <c r="H47" s="153">
        <f>IFERROR(H46/H44,0)</f>
        <v/>
      </c>
      <c r="I47" s="153">
        <f>IFERROR(I46/I44,0)</f>
        <v/>
      </c>
      <c r="J47" s="153">
        <f>IFERROR(J46/J44,0)</f>
        <v/>
      </c>
      <c r="K47" s="153">
        <f>IFERROR(K46/K44,0)</f>
        <v/>
      </c>
      <c r="L47" s="153">
        <f>IFERROR(L46/L44,0)</f>
        <v/>
      </c>
      <c r="M47" s="153">
        <f>IFERROR(M46/M44,0)</f>
        <v/>
      </c>
      <c r="N47" s="153">
        <f>IFERROR(N46/N44,0)</f>
        <v/>
      </c>
      <c r="O47" s="153">
        <f>IFERROR(O46/O44,0)</f>
        <v/>
      </c>
      <c r="P47" s="147">
        <f>IFERROR(P46/P44,0)</f>
        <v/>
      </c>
    </row>
  </sheetData>
  <mergeCells count="9">
    <mergeCell ref="B36:B39"/>
    <mergeCell ref="B44:B47"/>
    <mergeCell ref="B40:B43"/>
    <mergeCell ref="B10:J10"/>
    <mergeCell ref="B2:R2"/>
    <mergeCell ref="B3:R3"/>
    <mergeCell ref="B24:B27"/>
    <mergeCell ref="B32:B35"/>
    <mergeCell ref="B28:B31"/>
  </mergeCells>
  <dataValidations count="3">
    <dataValidation sqref="B7" showDropDown="0" showInputMessage="0" showErrorMessage="0" allowBlank="0" type="list" errorStyle="stop" operator="between">
      <formula1>MonthList</formula1>
      <formula2>0</formula2>
    </dataValidation>
    <dataValidation sqref="C7" showDropDown="0" showInputMessage="0" showErrorMessage="0" allowBlank="0" type="list" errorStyle="stop" operator="between">
      <formula1>YearList</formula1>
      <formula2>0</formula2>
    </dataValidation>
    <dataValidation sqref="O21" showDropDown="0" showInputMessage="0" showErrorMessage="0" allowBlank="0" type="list" errorStyle="stop" operator="between">
      <formula1>YearList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H1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103" min="1" max="1"/>
    <col width="18" customWidth="1" style="103" min="2" max="2"/>
    <col width="20" customWidth="1" style="103" min="3" max="3"/>
    <col width="16" customWidth="1" style="103" min="4" max="6"/>
    <col width="14" customWidth="1" style="103" min="7" max="8"/>
    <col width="2" customWidth="1" style="103" min="9" max="9"/>
  </cols>
  <sheetData>
    <row r="2" ht="31.5" customHeight="1" s="104">
      <c r="B2" s="154" t="inlineStr">
        <is>
          <t>MONTHLY DATA · ALL SALES CHANNELS</t>
        </is>
      </c>
    </row>
    <row r="3" ht="15" customHeight="1" s="104">
      <c r="B3" s="107" t="inlineStr">
        <is>
          <t>One block per month · Sales + Expenses + Net Profit + Margin per marketplace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</row>
    <row r="6" ht="24" customHeight="1" s="104">
      <c r="B6" s="155" t="inlineStr">
        <is>
          <t>JAN 2025</t>
        </is>
      </c>
      <c r="C6" s="156" t="n"/>
      <c r="D6" s="156" t="n"/>
      <c r="E6" s="156" t="n"/>
      <c r="F6" s="156" t="n"/>
      <c r="G6" s="156" t="n"/>
      <c r="H6" s="156" t="n"/>
    </row>
    <row r="7" ht="19.5" customHeight="1" s="104">
      <c r="B7" s="125" t="inlineStr">
        <is>
          <t>Date</t>
        </is>
      </c>
      <c r="C7" s="125" t="inlineStr">
        <is>
          <t>Marketplace</t>
        </is>
      </c>
      <c r="D7" s="125" t="inlineStr">
        <is>
          <t>Sales (USD)</t>
        </is>
      </c>
      <c r="E7" s="125" t="inlineStr">
        <is>
          <t>Expenses (USD)</t>
        </is>
      </c>
      <c r="F7" s="125" t="inlineStr">
        <is>
          <t>Net Profit</t>
        </is>
      </c>
      <c r="G7" s="125" t="inlineStr">
        <is>
          <t>Margin</t>
        </is>
      </c>
      <c r="H7" s="125" t="inlineStr">
        <is>
          <t>Sales %</t>
        </is>
      </c>
    </row>
    <row r="8" ht="19.5" customHeight="1" s="104">
      <c r="B8" s="157" t="n">
        <v>45688</v>
      </c>
      <c r="C8" s="143" t="inlineStr">
        <is>
          <t>Amazon US</t>
        </is>
      </c>
      <c r="D8" s="127">
        <f>SUMIFS('Sales Data'!$E$6:$E$10000,'Sales Data'!$B$6:$B$10000,"Amazon US",'Sales Data'!$BC$6:$BC$10000,"Jan",'Sales Data'!$BD$6:$BD$10000,2025)</f>
        <v/>
      </c>
      <c r="E8" s="127">
        <f>SUMIFS('Main Expenses'!$E$6:$E$10000,'Main Expenses'!$B$6:$B$10000,"Amazon US",'Main Expenses'!$K$6:$K$10000,"Jan",'Main Expenses'!$L$6:$L$10000,2025)</f>
        <v/>
      </c>
      <c r="F8" s="127">
        <f>D8+E8</f>
        <v/>
      </c>
      <c r="G8" s="128">
        <f>IFERROR(F8/D8,0)</f>
        <v/>
      </c>
      <c r="H8" s="128">
        <f>IFERROR(D8/SUMIFS('Sales Data'!$E$6:$E$10000,'Sales Data'!$BC$6:$BC$10000,"Jan",'Sales Data'!$BD$6:$BD$10000,2025),0)</f>
        <v/>
      </c>
    </row>
    <row r="9" ht="19.5" customHeight="1" s="104">
      <c r="B9" s="158" t="n"/>
      <c r="C9" s="151" t="inlineStr">
        <is>
          <t>Amazon CA</t>
        </is>
      </c>
      <c r="D9" s="130">
        <f>SUMIFS('Sales Data'!$E$6:$E$10000,'Sales Data'!$B$6:$B$10000,"Amazon CA",'Sales Data'!$BC$6:$BC$10000,"Jan",'Sales Data'!$BD$6:$BD$10000,2025)</f>
        <v/>
      </c>
      <c r="E9" s="130">
        <f>SUMIFS('Main Expenses'!$E$6:$E$10000,'Main Expenses'!$B$6:$B$10000,"Amazon CA",'Main Expenses'!$K$6:$K$10000,"Jan",'Main Expenses'!$L$6:$L$10000,2025)</f>
        <v/>
      </c>
      <c r="F9" s="130">
        <f>D9+E9</f>
        <v/>
      </c>
      <c r="G9" s="131">
        <f>IFERROR(F9/D9,0)</f>
        <v/>
      </c>
      <c r="H9" s="131">
        <f>IFERROR(D9/SUMIFS('Sales Data'!$E$6:$E$10000,'Sales Data'!$BC$6:$BC$10000,"Jan",'Sales Data'!$BD$6:$BD$10000,2025),0)</f>
        <v/>
      </c>
    </row>
    <row r="10" ht="19.5" customHeight="1" s="104">
      <c r="B10" s="159" t="n"/>
      <c r="C10" s="143" t="inlineStr">
        <is>
          <t>Amazon UK</t>
        </is>
      </c>
      <c r="D10" s="127">
        <f>SUMIFS('Sales Data'!$E$6:$E$10000,'Sales Data'!$B$6:$B$10000,"Amazon UK",'Sales Data'!$BC$6:$BC$10000,"Jan",'Sales Data'!$BD$6:$BD$10000,2025)</f>
        <v/>
      </c>
      <c r="E10" s="127">
        <f>SUMIFS('Main Expenses'!$E$6:$E$10000,'Main Expenses'!$B$6:$B$10000,"Amazon UK",'Main Expenses'!$K$6:$K$10000,"Jan",'Main Expenses'!$L$6:$L$10000,2025)</f>
        <v/>
      </c>
      <c r="F10" s="127">
        <f>D10+E10</f>
        <v/>
      </c>
      <c r="G10" s="128">
        <f>IFERROR(F10/D10,0)</f>
        <v/>
      </c>
      <c r="H10" s="128">
        <f>IFERROR(D10/SUMIFS('Sales Data'!$E$6:$E$10000,'Sales Data'!$BC$6:$BC$10000,"Jan",'Sales Data'!$BD$6:$BD$10000,2025),0)</f>
        <v/>
      </c>
    </row>
    <row r="11" ht="19.5" customHeight="1" s="104">
      <c r="B11" s="158" t="n"/>
      <c r="C11" s="151" t="inlineStr">
        <is>
          <t>TikTok Shop</t>
        </is>
      </c>
      <c r="D11" s="130">
        <f>SUMIFS('Sales Data'!$E$6:$E$10000,'Sales Data'!$B$6:$B$10000,"Tiktok",'Sales Data'!$BC$6:$BC$10000,"Jan",'Sales Data'!$BD$6:$BD$10000,2025)</f>
        <v/>
      </c>
      <c r="E11" s="130">
        <f>SUMIFS('Main Expenses'!$E$6:$E$10000,'Main Expenses'!$B$6:$B$10000,"Tiktok",'Main Expenses'!$K$6:$K$10000,"Jan",'Main Expenses'!$L$6:$L$10000,2025)</f>
        <v/>
      </c>
      <c r="F11" s="130">
        <f>D11+E11</f>
        <v/>
      </c>
      <c r="G11" s="131">
        <f>IFERROR(F11/D11,0)</f>
        <v/>
      </c>
      <c r="H11" s="131">
        <f>IFERROR(D11/SUMIFS('Sales Data'!$E$6:$E$10000,'Sales Data'!$BC$6:$BC$10000,"Jan",'Sales Data'!$BD$6:$BD$10000,2025),0)</f>
        <v/>
      </c>
    </row>
    <row r="12" ht="19.5" customHeight="1" s="104">
      <c r="B12" s="159" t="n"/>
      <c r="C12" s="143" t="inlineStr">
        <is>
          <t>Shopify &amp; Faire</t>
        </is>
      </c>
      <c r="D12" s="127">
        <f>SUMIFS('Sales Data'!$E$6:$E$10000,'Sales Data'!$B$6:$B$10000,"Shopify",'Sales Data'!$BC$6:$BC$10000,"Jan",'Sales Data'!$BD$6:$BD$10000,2025)</f>
        <v/>
      </c>
      <c r="E12" s="127">
        <f>SUMIFS('Main Expenses'!$E$6:$E$10000,'Main Expenses'!$B$6:$B$10000,"Shopify",'Main Expenses'!$K$6:$K$10000,"Jan",'Main Expenses'!$L$6:$L$10000,2025)</f>
        <v/>
      </c>
      <c r="F12" s="127">
        <f>D12+E12</f>
        <v/>
      </c>
      <c r="G12" s="128">
        <f>IFERROR(F12/D12,0)</f>
        <v/>
      </c>
      <c r="H12" s="128">
        <f>IFERROR(D12/SUMIFS('Sales Data'!$E$6:$E$10000,'Sales Data'!$BC$6:$BC$10000,"Jan",'Sales Data'!$BD$6:$BD$10000,2025),0)</f>
        <v/>
      </c>
    </row>
    <row r="13" ht="19.5" customHeight="1" s="104">
      <c r="B13" s="158" t="n"/>
      <c r="C13" s="151" t="inlineStr">
        <is>
          <t>Walmart</t>
        </is>
      </c>
      <c r="D13" s="130">
        <f>SUMIFS('Sales Data'!$E$6:$E$10000,'Sales Data'!$B$6:$B$10000,"Walmart",'Sales Data'!$BC$6:$BC$10000,"Jan",'Sales Data'!$BD$6:$BD$10000,2025)</f>
        <v/>
      </c>
      <c r="E13" s="130">
        <f>SUMIFS('Main Expenses'!$E$6:$E$10000,'Main Expenses'!$B$6:$B$10000,"Walmart",'Main Expenses'!$K$6:$K$10000,"Jan",'Main Expenses'!$L$6:$L$10000,2025)</f>
        <v/>
      </c>
      <c r="F13" s="130">
        <f>D13+E13</f>
        <v/>
      </c>
      <c r="G13" s="131">
        <f>IFERROR(F13/D13,0)</f>
        <v/>
      </c>
      <c r="H13" s="131">
        <f>IFERROR(D13/SUMIFS('Sales Data'!$E$6:$E$10000,'Sales Data'!$BC$6:$BC$10000,"Jan",'Sales Data'!$BD$6:$BD$10000,2025),0)</f>
        <v/>
      </c>
    </row>
    <row r="14" ht="21.75" customHeight="1" s="104">
      <c r="B14" s="160" t="inlineStr">
        <is>
          <t>TOTAL:</t>
        </is>
      </c>
      <c r="C14" s="161" t="n"/>
      <c r="D14" s="162">
        <f>SUM(D8:D13)</f>
        <v/>
      </c>
      <c r="E14" s="162">
        <f>SUM(E8:E13)</f>
        <v/>
      </c>
      <c r="F14" s="162">
        <f>SUM(F8:F13)</f>
        <v/>
      </c>
      <c r="G14" s="163">
        <f>IFERROR(F14/D14,0)</f>
        <v/>
      </c>
      <c r="H14" s="163" t="n">
        <v>1</v>
      </c>
    </row>
    <row r="16" ht="24" customHeight="1" s="104">
      <c r="B16" s="155" t="inlineStr">
        <is>
          <t>FEB 2025</t>
        </is>
      </c>
      <c r="C16" s="156" t="n"/>
      <c r="D16" s="156" t="n"/>
      <c r="E16" s="156" t="n"/>
      <c r="F16" s="156" t="n"/>
      <c r="G16" s="156" t="n"/>
      <c r="H16" s="156" t="n"/>
    </row>
    <row r="17" ht="19.5" customHeight="1" s="104">
      <c r="B17" s="125" t="inlineStr">
        <is>
          <t>Date</t>
        </is>
      </c>
      <c r="C17" s="125" t="inlineStr">
        <is>
          <t>Marketplace</t>
        </is>
      </c>
      <c r="D17" s="125" t="inlineStr">
        <is>
          <t>Sales (USD)</t>
        </is>
      </c>
      <c r="E17" s="125" t="inlineStr">
        <is>
          <t>Expenses (USD)</t>
        </is>
      </c>
      <c r="F17" s="125" t="inlineStr">
        <is>
          <t>Net Profit</t>
        </is>
      </c>
      <c r="G17" s="125" t="inlineStr">
        <is>
          <t>Margin</t>
        </is>
      </c>
      <c r="H17" s="125" t="inlineStr">
        <is>
          <t>Sales %</t>
        </is>
      </c>
    </row>
    <row r="18" ht="19.5" customHeight="1" s="104">
      <c r="B18" s="157" t="n">
        <v>45716</v>
      </c>
      <c r="C18" s="143" t="inlineStr">
        <is>
          <t>Amazon US</t>
        </is>
      </c>
      <c r="D18" s="127">
        <f>SUMIFS('Sales Data'!$E$6:$E$10000,'Sales Data'!$B$6:$B$10000,"Amazon US",'Sales Data'!$BC$6:$BC$10000,"Feb",'Sales Data'!$BD$6:$BD$10000,2025)</f>
        <v/>
      </c>
      <c r="E18" s="127">
        <f>SUMIFS('Main Expenses'!$E$6:$E$10000,'Main Expenses'!$B$6:$B$10000,"Amazon US",'Main Expenses'!$K$6:$K$10000,"Feb",'Main Expenses'!$L$6:$L$10000,2025)</f>
        <v/>
      </c>
      <c r="F18" s="127">
        <f>D18+E18</f>
        <v/>
      </c>
      <c r="G18" s="128">
        <f>IFERROR(F18/D18,0)</f>
        <v/>
      </c>
      <c r="H18" s="128">
        <f>IFERROR(D18/SUMIFS('Sales Data'!$E$6:$E$10000,'Sales Data'!$BC$6:$BC$10000,"Feb",'Sales Data'!$BD$6:$BD$10000,2025),0)</f>
        <v/>
      </c>
    </row>
    <row r="19" ht="19.5" customHeight="1" s="104">
      <c r="B19" s="158" t="n"/>
      <c r="C19" s="151" t="inlineStr">
        <is>
          <t>Amazon CA</t>
        </is>
      </c>
      <c r="D19" s="130">
        <f>SUMIFS('Sales Data'!$E$6:$E$10000,'Sales Data'!$B$6:$B$10000,"Amazon CA",'Sales Data'!$BC$6:$BC$10000,"Feb",'Sales Data'!$BD$6:$BD$10000,2025)</f>
        <v/>
      </c>
      <c r="E19" s="130">
        <f>SUMIFS('Main Expenses'!$E$6:$E$10000,'Main Expenses'!$B$6:$B$10000,"Amazon CA",'Main Expenses'!$K$6:$K$10000,"Feb",'Main Expenses'!$L$6:$L$10000,2025)</f>
        <v/>
      </c>
      <c r="F19" s="130">
        <f>D19+E19</f>
        <v/>
      </c>
      <c r="G19" s="131">
        <f>IFERROR(F19/D19,0)</f>
        <v/>
      </c>
      <c r="H19" s="131">
        <f>IFERROR(D19/SUMIFS('Sales Data'!$E$6:$E$10000,'Sales Data'!$BC$6:$BC$10000,"Feb",'Sales Data'!$BD$6:$BD$10000,2025),0)</f>
        <v/>
      </c>
    </row>
    <row r="20" ht="19.5" customHeight="1" s="104">
      <c r="B20" s="159" t="n"/>
      <c r="C20" s="143" t="inlineStr">
        <is>
          <t>Amazon UK</t>
        </is>
      </c>
      <c r="D20" s="127">
        <f>SUMIFS('Sales Data'!$E$6:$E$10000,'Sales Data'!$B$6:$B$10000,"Amazon UK",'Sales Data'!$BC$6:$BC$10000,"Feb",'Sales Data'!$BD$6:$BD$10000,2025)</f>
        <v/>
      </c>
      <c r="E20" s="127">
        <f>SUMIFS('Main Expenses'!$E$6:$E$10000,'Main Expenses'!$B$6:$B$10000,"Amazon UK",'Main Expenses'!$K$6:$K$10000,"Feb",'Main Expenses'!$L$6:$L$10000,2025)</f>
        <v/>
      </c>
      <c r="F20" s="127">
        <f>D20+E20</f>
        <v/>
      </c>
      <c r="G20" s="128">
        <f>IFERROR(F20/D20,0)</f>
        <v/>
      </c>
      <c r="H20" s="128">
        <f>IFERROR(D20/SUMIFS('Sales Data'!$E$6:$E$10000,'Sales Data'!$BC$6:$BC$10000,"Feb",'Sales Data'!$BD$6:$BD$10000,2025),0)</f>
        <v/>
      </c>
    </row>
    <row r="21" ht="19.5" customHeight="1" s="104">
      <c r="B21" s="158" t="n"/>
      <c r="C21" s="151" t="inlineStr">
        <is>
          <t>TikTok Shop</t>
        </is>
      </c>
      <c r="D21" s="130">
        <f>SUMIFS('Sales Data'!$E$6:$E$10000,'Sales Data'!$B$6:$B$10000,"Tiktok",'Sales Data'!$BC$6:$BC$10000,"Feb",'Sales Data'!$BD$6:$BD$10000,2025)</f>
        <v/>
      </c>
      <c r="E21" s="130">
        <f>SUMIFS('Main Expenses'!$E$6:$E$10000,'Main Expenses'!$B$6:$B$10000,"Tiktok",'Main Expenses'!$K$6:$K$10000,"Feb",'Main Expenses'!$L$6:$L$10000,2025)</f>
        <v/>
      </c>
      <c r="F21" s="130">
        <f>D21+E21</f>
        <v/>
      </c>
      <c r="G21" s="131">
        <f>IFERROR(F21/D21,0)</f>
        <v/>
      </c>
      <c r="H21" s="131">
        <f>IFERROR(D21/SUMIFS('Sales Data'!$E$6:$E$10000,'Sales Data'!$BC$6:$BC$10000,"Feb",'Sales Data'!$BD$6:$BD$10000,2025),0)</f>
        <v/>
      </c>
    </row>
    <row r="22" ht="19.5" customHeight="1" s="104">
      <c r="B22" s="159" t="n"/>
      <c r="C22" s="143" t="inlineStr">
        <is>
          <t>Shopify &amp; Faire</t>
        </is>
      </c>
      <c r="D22" s="127">
        <f>SUMIFS('Sales Data'!$E$6:$E$10000,'Sales Data'!$B$6:$B$10000,"Shopify",'Sales Data'!$BC$6:$BC$10000,"Feb",'Sales Data'!$BD$6:$BD$10000,2025)</f>
        <v/>
      </c>
      <c r="E22" s="127">
        <f>SUMIFS('Main Expenses'!$E$6:$E$10000,'Main Expenses'!$B$6:$B$10000,"Shopify",'Main Expenses'!$K$6:$K$10000,"Feb",'Main Expenses'!$L$6:$L$10000,2025)</f>
        <v/>
      </c>
      <c r="F22" s="127">
        <f>D22+E22</f>
        <v/>
      </c>
      <c r="G22" s="128">
        <f>IFERROR(F22/D22,0)</f>
        <v/>
      </c>
      <c r="H22" s="128">
        <f>IFERROR(D22/SUMIFS('Sales Data'!$E$6:$E$10000,'Sales Data'!$BC$6:$BC$10000,"Feb",'Sales Data'!$BD$6:$BD$10000,2025),0)</f>
        <v/>
      </c>
    </row>
    <row r="23" ht="19.5" customHeight="1" s="104">
      <c r="B23" s="158" t="n"/>
      <c r="C23" s="151" t="inlineStr">
        <is>
          <t>Walmart</t>
        </is>
      </c>
      <c r="D23" s="130">
        <f>SUMIFS('Sales Data'!$E$6:$E$10000,'Sales Data'!$B$6:$B$10000,"Walmart",'Sales Data'!$BC$6:$BC$10000,"Feb",'Sales Data'!$BD$6:$BD$10000,2025)</f>
        <v/>
      </c>
      <c r="E23" s="130">
        <f>SUMIFS('Main Expenses'!$E$6:$E$10000,'Main Expenses'!$B$6:$B$10000,"Walmart",'Main Expenses'!$K$6:$K$10000,"Feb",'Main Expenses'!$L$6:$L$10000,2025)</f>
        <v/>
      </c>
      <c r="F23" s="130">
        <f>D23+E23</f>
        <v/>
      </c>
      <c r="G23" s="131">
        <f>IFERROR(F23/D23,0)</f>
        <v/>
      </c>
      <c r="H23" s="131">
        <f>IFERROR(D23/SUMIFS('Sales Data'!$E$6:$E$10000,'Sales Data'!$BC$6:$BC$10000,"Feb",'Sales Data'!$BD$6:$BD$10000,2025),0)</f>
        <v/>
      </c>
    </row>
    <row r="24" ht="21.75" customHeight="1" s="104">
      <c r="B24" s="160" t="inlineStr">
        <is>
          <t>TOTAL:</t>
        </is>
      </c>
      <c r="C24" s="161" t="n"/>
      <c r="D24" s="162">
        <f>SUM(D18:D23)</f>
        <v/>
      </c>
      <c r="E24" s="162">
        <f>SUM(E18:E23)</f>
        <v/>
      </c>
      <c r="F24" s="162">
        <f>SUM(F18:F23)</f>
        <v/>
      </c>
      <c r="G24" s="163">
        <f>IFERROR(F24/D24,0)</f>
        <v/>
      </c>
      <c r="H24" s="163" t="n">
        <v>1</v>
      </c>
    </row>
    <row r="26" ht="24" customHeight="1" s="104">
      <c r="B26" s="155" t="inlineStr">
        <is>
          <t>MAR 2025</t>
        </is>
      </c>
      <c r="C26" s="156" t="n"/>
      <c r="D26" s="156" t="n"/>
      <c r="E26" s="156" t="n"/>
      <c r="F26" s="156" t="n"/>
      <c r="G26" s="156" t="n"/>
      <c r="H26" s="156" t="n"/>
    </row>
    <row r="27" ht="19.5" customHeight="1" s="104">
      <c r="B27" s="125" t="inlineStr">
        <is>
          <t>Date</t>
        </is>
      </c>
      <c r="C27" s="125" t="inlineStr">
        <is>
          <t>Marketplace</t>
        </is>
      </c>
      <c r="D27" s="125" t="inlineStr">
        <is>
          <t>Sales (USD)</t>
        </is>
      </c>
      <c r="E27" s="125" t="inlineStr">
        <is>
          <t>Expenses (USD)</t>
        </is>
      </c>
      <c r="F27" s="125" t="inlineStr">
        <is>
          <t>Net Profit</t>
        </is>
      </c>
      <c r="G27" s="125" t="inlineStr">
        <is>
          <t>Margin</t>
        </is>
      </c>
      <c r="H27" s="125" t="inlineStr">
        <is>
          <t>Sales %</t>
        </is>
      </c>
    </row>
    <row r="28" ht="19.5" customHeight="1" s="104">
      <c r="B28" s="157" t="n">
        <v>45747</v>
      </c>
      <c r="C28" s="143" t="inlineStr">
        <is>
          <t>Amazon US</t>
        </is>
      </c>
      <c r="D28" s="127">
        <f>SUMIFS('Sales Data'!$E$6:$E$10000,'Sales Data'!$B$6:$B$10000,"Amazon US",'Sales Data'!$BC$6:$BC$10000,"Mar",'Sales Data'!$BD$6:$BD$10000,2025)</f>
        <v/>
      </c>
      <c r="E28" s="127">
        <f>SUMIFS('Main Expenses'!$E$6:$E$10000,'Main Expenses'!$B$6:$B$10000,"Amazon US",'Main Expenses'!$K$6:$K$10000,"Mar",'Main Expenses'!$L$6:$L$10000,2025)</f>
        <v/>
      </c>
      <c r="F28" s="127">
        <f>D28+E28</f>
        <v/>
      </c>
      <c r="G28" s="128">
        <f>IFERROR(F28/D28,0)</f>
        <v/>
      </c>
      <c r="H28" s="128">
        <f>IFERROR(D28/SUMIFS('Sales Data'!$E$6:$E$10000,'Sales Data'!$BC$6:$BC$10000,"Mar",'Sales Data'!$BD$6:$BD$10000,2025),0)</f>
        <v/>
      </c>
    </row>
    <row r="29" ht="19.5" customHeight="1" s="104">
      <c r="B29" s="158" t="n"/>
      <c r="C29" s="151" t="inlineStr">
        <is>
          <t>Amazon CA</t>
        </is>
      </c>
      <c r="D29" s="130">
        <f>SUMIFS('Sales Data'!$E$6:$E$10000,'Sales Data'!$B$6:$B$10000,"Amazon CA",'Sales Data'!$BC$6:$BC$10000,"Mar",'Sales Data'!$BD$6:$BD$10000,2025)</f>
        <v/>
      </c>
      <c r="E29" s="130">
        <f>SUMIFS('Main Expenses'!$E$6:$E$10000,'Main Expenses'!$B$6:$B$10000,"Amazon CA",'Main Expenses'!$K$6:$K$10000,"Mar",'Main Expenses'!$L$6:$L$10000,2025)</f>
        <v/>
      </c>
      <c r="F29" s="130">
        <f>D29+E29</f>
        <v/>
      </c>
      <c r="G29" s="131">
        <f>IFERROR(F29/D29,0)</f>
        <v/>
      </c>
      <c r="H29" s="131">
        <f>IFERROR(D29/SUMIFS('Sales Data'!$E$6:$E$10000,'Sales Data'!$BC$6:$BC$10000,"Mar",'Sales Data'!$BD$6:$BD$10000,2025),0)</f>
        <v/>
      </c>
    </row>
    <row r="30" ht="19.5" customHeight="1" s="104">
      <c r="B30" s="159" t="n"/>
      <c r="C30" s="143" t="inlineStr">
        <is>
          <t>Amazon UK</t>
        </is>
      </c>
      <c r="D30" s="127">
        <f>SUMIFS('Sales Data'!$E$6:$E$10000,'Sales Data'!$B$6:$B$10000,"Amazon UK",'Sales Data'!$BC$6:$BC$10000,"Mar",'Sales Data'!$BD$6:$BD$10000,2025)</f>
        <v/>
      </c>
      <c r="E30" s="127">
        <f>SUMIFS('Main Expenses'!$E$6:$E$10000,'Main Expenses'!$B$6:$B$10000,"Amazon UK",'Main Expenses'!$K$6:$K$10000,"Mar",'Main Expenses'!$L$6:$L$10000,2025)</f>
        <v/>
      </c>
      <c r="F30" s="127">
        <f>D30+E30</f>
        <v/>
      </c>
      <c r="G30" s="128">
        <f>IFERROR(F30/D30,0)</f>
        <v/>
      </c>
      <c r="H30" s="128">
        <f>IFERROR(D30/SUMIFS('Sales Data'!$E$6:$E$10000,'Sales Data'!$BC$6:$BC$10000,"Mar",'Sales Data'!$BD$6:$BD$10000,2025),0)</f>
        <v/>
      </c>
    </row>
    <row r="31" ht="19.5" customHeight="1" s="104">
      <c r="B31" s="158" t="n"/>
      <c r="C31" s="151" t="inlineStr">
        <is>
          <t>TikTok Shop</t>
        </is>
      </c>
      <c r="D31" s="130">
        <f>SUMIFS('Sales Data'!$E$6:$E$10000,'Sales Data'!$B$6:$B$10000,"Tiktok",'Sales Data'!$BC$6:$BC$10000,"Mar",'Sales Data'!$BD$6:$BD$10000,2025)</f>
        <v/>
      </c>
      <c r="E31" s="130">
        <f>SUMIFS('Main Expenses'!$E$6:$E$10000,'Main Expenses'!$B$6:$B$10000,"Tiktok",'Main Expenses'!$K$6:$K$10000,"Mar",'Main Expenses'!$L$6:$L$10000,2025)</f>
        <v/>
      </c>
      <c r="F31" s="130">
        <f>D31+E31</f>
        <v/>
      </c>
      <c r="G31" s="131">
        <f>IFERROR(F31/D31,0)</f>
        <v/>
      </c>
      <c r="H31" s="131">
        <f>IFERROR(D31/SUMIFS('Sales Data'!$E$6:$E$10000,'Sales Data'!$BC$6:$BC$10000,"Mar",'Sales Data'!$BD$6:$BD$10000,2025),0)</f>
        <v/>
      </c>
    </row>
    <row r="32" ht="19.5" customHeight="1" s="104">
      <c r="B32" s="159" t="n"/>
      <c r="C32" s="143" t="inlineStr">
        <is>
          <t>Shopify &amp; Faire</t>
        </is>
      </c>
      <c r="D32" s="127">
        <f>SUMIFS('Sales Data'!$E$6:$E$10000,'Sales Data'!$B$6:$B$10000,"Shopify",'Sales Data'!$BC$6:$BC$10000,"Mar",'Sales Data'!$BD$6:$BD$10000,2025)</f>
        <v/>
      </c>
      <c r="E32" s="127">
        <f>SUMIFS('Main Expenses'!$E$6:$E$10000,'Main Expenses'!$B$6:$B$10000,"Shopify",'Main Expenses'!$K$6:$K$10000,"Mar",'Main Expenses'!$L$6:$L$10000,2025)</f>
        <v/>
      </c>
      <c r="F32" s="127">
        <f>D32+E32</f>
        <v/>
      </c>
      <c r="G32" s="128">
        <f>IFERROR(F32/D32,0)</f>
        <v/>
      </c>
      <c r="H32" s="128">
        <f>IFERROR(D32/SUMIFS('Sales Data'!$E$6:$E$10000,'Sales Data'!$BC$6:$BC$10000,"Mar",'Sales Data'!$BD$6:$BD$10000,2025),0)</f>
        <v/>
      </c>
    </row>
    <row r="33" ht="19.5" customHeight="1" s="104">
      <c r="B33" s="158" t="n"/>
      <c r="C33" s="151" t="inlineStr">
        <is>
          <t>Walmart</t>
        </is>
      </c>
      <c r="D33" s="130">
        <f>SUMIFS('Sales Data'!$E$6:$E$10000,'Sales Data'!$B$6:$B$10000,"Walmart",'Sales Data'!$BC$6:$BC$10000,"Mar",'Sales Data'!$BD$6:$BD$10000,2025)</f>
        <v/>
      </c>
      <c r="E33" s="130">
        <f>SUMIFS('Main Expenses'!$E$6:$E$10000,'Main Expenses'!$B$6:$B$10000,"Walmart",'Main Expenses'!$K$6:$K$10000,"Mar",'Main Expenses'!$L$6:$L$10000,2025)</f>
        <v/>
      </c>
      <c r="F33" s="130">
        <f>D33+E33</f>
        <v/>
      </c>
      <c r="G33" s="131">
        <f>IFERROR(F33/D33,0)</f>
        <v/>
      </c>
      <c r="H33" s="131">
        <f>IFERROR(D33/SUMIFS('Sales Data'!$E$6:$E$10000,'Sales Data'!$BC$6:$BC$10000,"Mar",'Sales Data'!$BD$6:$BD$10000,2025),0)</f>
        <v/>
      </c>
    </row>
    <row r="34" ht="21.75" customHeight="1" s="104">
      <c r="B34" s="160" t="inlineStr">
        <is>
          <t>TOTAL:</t>
        </is>
      </c>
      <c r="C34" s="161" t="n"/>
      <c r="D34" s="162">
        <f>SUM(D28:D33)</f>
        <v/>
      </c>
      <c r="E34" s="162">
        <f>SUM(E28:E33)</f>
        <v/>
      </c>
      <c r="F34" s="162">
        <f>SUM(F28:F33)</f>
        <v/>
      </c>
      <c r="G34" s="163">
        <f>IFERROR(F34/D34,0)</f>
        <v/>
      </c>
      <c r="H34" s="163" t="n">
        <v>1</v>
      </c>
    </row>
    <row r="36" ht="24" customHeight="1" s="104">
      <c r="B36" s="155" t="inlineStr">
        <is>
          <t>APR 2025</t>
        </is>
      </c>
      <c r="C36" s="156" t="n"/>
      <c r="D36" s="156" t="n"/>
      <c r="E36" s="156" t="n"/>
      <c r="F36" s="156" t="n"/>
      <c r="G36" s="156" t="n"/>
      <c r="H36" s="156" t="n"/>
    </row>
    <row r="37" ht="19.5" customHeight="1" s="104">
      <c r="B37" s="125" t="inlineStr">
        <is>
          <t>Date</t>
        </is>
      </c>
      <c r="C37" s="125" t="inlineStr">
        <is>
          <t>Marketplace</t>
        </is>
      </c>
      <c r="D37" s="125" t="inlineStr">
        <is>
          <t>Sales (USD)</t>
        </is>
      </c>
      <c r="E37" s="125" t="inlineStr">
        <is>
          <t>Expenses (USD)</t>
        </is>
      </c>
      <c r="F37" s="125" t="inlineStr">
        <is>
          <t>Net Profit</t>
        </is>
      </c>
      <c r="G37" s="125" t="inlineStr">
        <is>
          <t>Margin</t>
        </is>
      </c>
      <c r="H37" s="125" t="inlineStr">
        <is>
          <t>Sales %</t>
        </is>
      </c>
    </row>
    <row r="38" ht="19.5" customHeight="1" s="104">
      <c r="B38" s="157" t="n">
        <v>45777</v>
      </c>
      <c r="C38" s="143" t="inlineStr">
        <is>
          <t>Amazon US</t>
        </is>
      </c>
      <c r="D38" s="127">
        <f>SUMIFS('Sales Data'!$E$6:$E$10000,'Sales Data'!$B$6:$B$10000,"Amazon US",'Sales Data'!$BC$6:$BC$10000,"Apr",'Sales Data'!$BD$6:$BD$10000,2025)</f>
        <v/>
      </c>
      <c r="E38" s="127">
        <f>SUMIFS('Main Expenses'!$E$6:$E$10000,'Main Expenses'!$B$6:$B$10000,"Amazon US",'Main Expenses'!$K$6:$K$10000,"Apr",'Main Expenses'!$L$6:$L$10000,2025)</f>
        <v/>
      </c>
      <c r="F38" s="127">
        <f>D38+E38</f>
        <v/>
      </c>
      <c r="G38" s="128">
        <f>IFERROR(F38/D38,0)</f>
        <v/>
      </c>
      <c r="H38" s="128">
        <f>IFERROR(D38/SUMIFS('Sales Data'!$E$6:$E$10000,'Sales Data'!$BC$6:$BC$10000,"Apr",'Sales Data'!$BD$6:$BD$10000,2025),0)</f>
        <v/>
      </c>
    </row>
    <row r="39" ht="19.5" customHeight="1" s="104">
      <c r="B39" s="158" t="n"/>
      <c r="C39" s="151" t="inlineStr">
        <is>
          <t>Amazon CA</t>
        </is>
      </c>
      <c r="D39" s="130">
        <f>SUMIFS('Sales Data'!$E$6:$E$10000,'Sales Data'!$B$6:$B$10000,"Amazon CA",'Sales Data'!$BC$6:$BC$10000,"Apr",'Sales Data'!$BD$6:$BD$10000,2025)</f>
        <v/>
      </c>
      <c r="E39" s="130">
        <f>SUMIFS('Main Expenses'!$E$6:$E$10000,'Main Expenses'!$B$6:$B$10000,"Amazon CA",'Main Expenses'!$K$6:$K$10000,"Apr",'Main Expenses'!$L$6:$L$10000,2025)</f>
        <v/>
      </c>
      <c r="F39" s="130">
        <f>D39+E39</f>
        <v/>
      </c>
      <c r="G39" s="131">
        <f>IFERROR(F39/D39,0)</f>
        <v/>
      </c>
      <c r="H39" s="131">
        <f>IFERROR(D39/SUMIFS('Sales Data'!$E$6:$E$10000,'Sales Data'!$BC$6:$BC$10000,"Apr",'Sales Data'!$BD$6:$BD$10000,2025),0)</f>
        <v/>
      </c>
    </row>
    <row r="40" ht="19.5" customHeight="1" s="104">
      <c r="B40" s="159" t="n"/>
      <c r="C40" s="143" t="inlineStr">
        <is>
          <t>Amazon UK</t>
        </is>
      </c>
      <c r="D40" s="127">
        <f>SUMIFS('Sales Data'!$E$6:$E$10000,'Sales Data'!$B$6:$B$10000,"Amazon UK",'Sales Data'!$BC$6:$BC$10000,"Apr",'Sales Data'!$BD$6:$BD$10000,2025)</f>
        <v/>
      </c>
      <c r="E40" s="127">
        <f>SUMIFS('Main Expenses'!$E$6:$E$10000,'Main Expenses'!$B$6:$B$10000,"Amazon UK",'Main Expenses'!$K$6:$K$10000,"Apr",'Main Expenses'!$L$6:$L$10000,2025)</f>
        <v/>
      </c>
      <c r="F40" s="127">
        <f>D40+E40</f>
        <v/>
      </c>
      <c r="G40" s="128">
        <f>IFERROR(F40/D40,0)</f>
        <v/>
      </c>
      <c r="H40" s="128">
        <f>IFERROR(D40/SUMIFS('Sales Data'!$E$6:$E$10000,'Sales Data'!$BC$6:$BC$10000,"Apr",'Sales Data'!$BD$6:$BD$10000,2025),0)</f>
        <v/>
      </c>
    </row>
    <row r="41" ht="19.5" customHeight="1" s="104">
      <c r="B41" s="158" t="n"/>
      <c r="C41" s="151" t="inlineStr">
        <is>
          <t>TikTok Shop</t>
        </is>
      </c>
      <c r="D41" s="130">
        <f>SUMIFS('Sales Data'!$E$6:$E$10000,'Sales Data'!$B$6:$B$10000,"Tiktok",'Sales Data'!$BC$6:$BC$10000,"Apr",'Sales Data'!$BD$6:$BD$10000,2025)</f>
        <v/>
      </c>
      <c r="E41" s="130">
        <f>SUMIFS('Main Expenses'!$E$6:$E$10000,'Main Expenses'!$B$6:$B$10000,"Tiktok",'Main Expenses'!$K$6:$K$10000,"Apr",'Main Expenses'!$L$6:$L$10000,2025)</f>
        <v/>
      </c>
      <c r="F41" s="130">
        <f>D41+E41</f>
        <v/>
      </c>
      <c r="G41" s="131">
        <f>IFERROR(F41/D41,0)</f>
        <v/>
      </c>
      <c r="H41" s="131">
        <f>IFERROR(D41/SUMIFS('Sales Data'!$E$6:$E$10000,'Sales Data'!$BC$6:$BC$10000,"Apr",'Sales Data'!$BD$6:$BD$10000,2025),0)</f>
        <v/>
      </c>
    </row>
    <row r="42" ht="19.5" customHeight="1" s="104">
      <c r="B42" s="159" t="n"/>
      <c r="C42" s="143" t="inlineStr">
        <is>
          <t>Shopify &amp; Faire</t>
        </is>
      </c>
      <c r="D42" s="127">
        <f>SUMIFS('Sales Data'!$E$6:$E$10000,'Sales Data'!$B$6:$B$10000,"Shopify",'Sales Data'!$BC$6:$BC$10000,"Apr",'Sales Data'!$BD$6:$BD$10000,2025)</f>
        <v/>
      </c>
      <c r="E42" s="127">
        <f>SUMIFS('Main Expenses'!$E$6:$E$10000,'Main Expenses'!$B$6:$B$10000,"Shopify",'Main Expenses'!$K$6:$K$10000,"Apr",'Main Expenses'!$L$6:$L$10000,2025)</f>
        <v/>
      </c>
      <c r="F42" s="127">
        <f>D42+E42</f>
        <v/>
      </c>
      <c r="G42" s="128">
        <f>IFERROR(F42/D42,0)</f>
        <v/>
      </c>
      <c r="H42" s="128">
        <f>IFERROR(D42/SUMIFS('Sales Data'!$E$6:$E$10000,'Sales Data'!$BC$6:$BC$10000,"Apr",'Sales Data'!$BD$6:$BD$10000,2025),0)</f>
        <v/>
      </c>
    </row>
    <row r="43" ht="19.5" customHeight="1" s="104">
      <c r="B43" s="158" t="n"/>
      <c r="C43" s="151" t="inlineStr">
        <is>
          <t>Walmart</t>
        </is>
      </c>
      <c r="D43" s="130">
        <f>SUMIFS('Sales Data'!$E$6:$E$10000,'Sales Data'!$B$6:$B$10000,"Walmart",'Sales Data'!$BC$6:$BC$10000,"Apr",'Sales Data'!$BD$6:$BD$10000,2025)</f>
        <v/>
      </c>
      <c r="E43" s="130">
        <f>SUMIFS('Main Expenses'!$E$6:$E$10000,'Main Expenses'!$B$6:$B$10000,"Walmart",'Main Expenses'!$K$6:$K$10000,"Apr",'Main Expenses'!$L$6:$L$10000,2025)</f>
        <v/>
      </c>
      <c r="F43" s="130">
        <f>D43+E43</f>
        <v/>
      </c>
      <c r="G43" s="131">
        <f>IFERROR(F43/D43,0)</f>
        <v/>
      </c>
      <c r="H43" s="131">
        <f>IFERROR(D43/SUMIFS('Sales Data'!$E$6:$E$10000,'Sales Data'!$BC$6:$BC$10000,"Apr",'Sales Data'!$BD$6:$BD$10000,2025),0)</f>
        <v/>
      </c>
    </row>
    <row r="44" ht="21.75" customHeight="1" s="104">
      <c r="B44" s="160" t="inlineStr">
        <is>
          <t>TOTAL:</t>
        </is>
      </c>
      <c r="C44" s="161" t="n"/>
      <c r="D44" s="162">
        <f>SUM(D38:D43)</f>
        <v/>
      </c>
      <c r="E44" s="162">
        <f>SUM(E38:E43)</f>
        <v/>
      </c>
      <c r="F44" s="162">
        <f>SUM(F38:F43)</f>
        <v/>
      </c>
      <c r="G44" s="163">
        <f>IFERROR(F44/D44,0)</f>
        <v/>
      </c>
      <c r="H44" s="163" t="n">
        <v>1</v>
      </c>
    </row>
    <row r="46" ht="24" customHeight="1" s="104">
      <c r="B46" s="155" t="inlineStr">
        <is>
          <t>MAY 2025</t>
        </is>
      </c>
      <c r="C46" s="156" t="n"/>
      <c r="D46" s="156" t="n"/>
      <c r="E46" s="156" t="n"/>
      <c r="F46" s="156" t="n"/>
      <c r="G46" s="156" t="n"/>
      <c r="H46" s="156" t="n"/>
    </row>
    <row r="47" ht="19.5" customHeight="1" s="104">
      <c r="B47" s="125" t="inlineStr">
        <is>
          <t>Date</t>
        </is>
      </c>
      <c r="C47" s="125" t="inlineStr">
        <is>
          <t>Marketplace</t>
        </is>
      </c>
      <c r="D47" s="125" t="inlineStr">
        <is>
          <t>Sales (USD)</t>
        </is>
      </c>
      <c r="E47" s="125" t="inlineStr">
        <is>
          <t>Expenses (USD)</t>
        </is>
      </c>
      <c r="F47" s="125" t="inlineStr">
        <is>
          <t>Net Profit</t>
        </is>
      </c>
      <c r="G47" s="125" t="inlineStr">
        <is>
          <t>Margin</t>
        </is>
      </c>
      <c r="H47" s="125" t="inlineStr">
        <is>
          <t>Sales %</t>
        </is>
      </c>
    </row>
    <row r="48" ht="19.5" customHeight="1" s="104">
      <c r="B48" s="157" t="n">
        <v>45808</v>
      </c>
      <c r="C48" s="143" t="inlineStr">
        <is>
          <t>Amazon US</t>
        </is>
      </c>
      <c r="D48" s="127">
        <f>SUMIFS('Sales Data'!$E$6:$E$10000,'Sales Data'!$B$6:$B$10000,"Amazon US",'Sales Data'!$BC$6:$BC$10000,"May",'Sales Data'!$BD$6:$BD$10000,2025)</f>
        <v/>
      </c>
      <c r="E48" s="127">
        <f>SUMIFS('Main Expenses'!$E$6:$E$10000,'Main Expenses'!$B$6:$B$10000,"Amazon US",'Main Expenses'!$K$6:$K$10000,"May",'Main Expenses'!$L$6:$L$10000,2025)</f>
        <v/>
      </c>
      <c r="F48" s="127">
        <f>D48+E48</f>
        <v/>
      </c>
      <c r="G48" s="128">
        <f>IFERROR(F48/D48,0)</f>
        <v/>
      </c>
      <c r="H48" s="128">
        <f>IFERROR(D48/SUMIFS('Sales Data'!$E$6:$E$10000,'Sales Data'!$BC$6:$BC$10000,"May",'Sales Data'!$BD$6:$BD$10000,2025),0)</f>
        <v/>
      </c>
    </row>
    <row r="49" ht="19.5" customHeight="1" s="104">
      <c r="B49" s="158" t="n"/>
      <c r="C49" s="151" t="inlineStr">
        <is>
          <t>Amazon CA</t>
        </is>
      </c>
      <c r="D49" s="130">
        <f>SUMIFS('Sales Data'!$E$6:$E$10000,'Sales Data'!$B$6:$B$10000,"Amazon CA",'Sales Data'!$BC$6:$BC$10000,"May",'Sales Data'!$BD$6:$BD$10000,2025)</f>
        <v/>
      </c>
      <c r="E49" s="130">
        <f>SUMIFS('Main Expenses'!$E$6:$E$10000,'Main Expenses'!$B$6:$B$10000,"Amazon CA",'Main Expenses'!$K$6:$K$10000,"May",'Main Expenses'!$L$6:$L$10000,2025)</f>
        <v/>
      </c>
      <c r="F49" s="130">
        <f>D49+E49</f>
        <v/>
      </c>
      <c r="G49" s="131">
        <f>IFERROR(F49/D49,0)</f>
        <v/>
      </c>
      <c r="H49" s="131">
        <f>IFERROR(D49/SUMIFS('Sales Data'!$E$6:$E$10000,'Sales Data'!$BC$6:$BC$10000,"May",'Sales Data'!$BD$6:$BD$10000,2025),0)</f>
        <v/>
      </c>
    </row>
    <row r="50" ht="19.5" customHeight="1" s="104">
      <c r="B50" s="159" t="n"/>
      <c r="C50" s="143" t="inlineStr">
        <is>
          <t>Amazon UK</t>
        </is>
      </c>
      <c r="D50" s="127">
        <f>SUMIFS('Sales Data'!$E$6:$E$10000,'Sales Data'!$B$6:$B$10000,"Amazon UK",'Sales Data'!$BC$6:$BC$10000,"May",'Sales Data'!$BD$6:$BD$10000,2025)</f>
        <v/>
      </c>
      <c r="E50" s="127">
        <f>SUMIFS('Main Expenses'!$E$6:$E$10000,'Main Expenses'!$B$6:$B$10000,"Amazon UK",'Main Expenses'!$K$6:$K$10000,"May",'Main Expenses'!$L$6:$L$10000,2025)</f>
        <v/>
      </c>
      <c r="F50" s="127">
        <f>D50+E50</f>
        <v/>
      </c>
      <c r="G50" s="128">
        <f>IFERROR(F50/D50,0)</f>
        <v/>
      </c>
      <c r="H50" s="128">
        <f>IFERROR(D50/SUMIFS('Sales Data'!$E$6:$E$10000,'Sales Data'!$BC$6:$BC$10000,"May",'Sales Data'!$BD$6:$BD$10000,2025),0)</f>
        <v/>
      </c>
    </row>
    <row r="51" ht="19.5" customHeight="1" s="104">
      <c r="B51" s="158" t="n"/>
      <c r="C51" s="151" t="inlineStr">
        <is>
          <t>TikTok Shop</t>
        </is>
      </c>
      <c r="D51" s="130">
        <f>SUMIFS('Sales Data'!$E$6:$E$10000,'Sales Data'!$B$6:$B$10000,"Tiktok",'Sales Data'!$BC$6:$BC$10000,"May",'Sales Data'!$BD$6:$BD$10000,2025)</f>
        <v/>
      </c>
      <c r="E51" s="130">
        <f>SUMIFS('Main Expenses'!$E$6:$E$10000,'Main Expenses'!$B$6:$B$10000,"Tiktok",'Main Expenses'!$K$6:$K$10000,"May",'Main Expenses'!$L$6:$L$10000,2025)</f>
        <v/>
      </c>
      <c r="F51" s="130">
        <f>D51+E51</f>
        <v/>
      </c>
      <c r="G51" s="131">
        <f>IFERROR(F51/D51,0)</f>
        <v/>
      </c>
      <c r="H51" s="131">
        <f>IFERROR(D51/SUMIFS('Sales Data'!$E$6:$E$10000,'Sales Data'!$BC$6:$BC$10000,"May",'Sales Data'!$BD$6:$BD$10000,2025),0)</f>
        <v/>
      </c>
    </row>
    <row r="52" ht="19.5" customHeight="1" s="104">
      <c r="B52" s="159" t="n"/>
      <c r="C52" s="143" t="inlineStr">
        <is>
          <t>Shopify &amp; Faire</t>
        </is>
      </c>
      <c r="D52" s="127">
        <f>SUMIFS('Sales Data'!$E$6:$E$10000,'Sales Data'!$B$6:$B$10000,"Shopify",'Sales Data'!$BC$6:$BC$10000,"May",'Sales Data'!$BD$6:$BD$10000,2025)</f>
        <v/>
      </c>
      <c r="E52" s="127">
        <f>SUMIFS('Main Expenses'!$E$6:$E$10000,'Main Expenses'!$B$6:$B$10000,"Shopify",'Main Expenses'!$K$6:$K$10000,"May",'Main Expenses'!$L$6:$L$10000,2025)</f>
        <v/>
      </c>
      <c r="F52" s="127">
        <f>D52+E52</f>
        <v/>
      </c>
      <c r="G52" s="128">
        <f>IFERROR(F52/D52,0)</f>
        <v/>
      </c>
      <c r="H52" s="128">
        <f>IFERROR(D52/SUMIFS('Sales Data'!$E$6:$E$10000,'Sales Data'!$BC$6:$BC$10000,"May",'Sales Data'!$BD$6:$BD$10000,2025),0)</f>
        <v/>
      </c>
    </row>
    <row r="53" ht="19.5" customHeight="1" s="104">
      <c r="B53" s="158" t="n"/>
      <c r="C53" s="151" t="inlineStr">
        <is>
          <t>Walmart</t>
        </is>
      </c>
      <c r="D53" s="130">
        <f>SUMIFS('Sales Data'!$E$6:$E$10000,'Sales Data'!$B$6:$B$10000,"Walmart",'Sales Data'!$BC$6:$BC$10000,"May",'Sales Data'!$BD$6:$BD$10000,2025)</f>
        <v/>
      </c>
      <c r="E53" s="130">
        <f>SUMIFS('Main Expenses'!$E$6:$E$10000,'Main Expenses'!$B$6:$B$10000,"Walmart",'Main Expenses'!$K$6:$K$10000,"May",'Main Expenses'!$L$6:$L$10000,2025)</f>
        <v/>
      </c>
      <c r="F53" s="130">
        <f>D53+E53</f>
        <v/>
      </c>
      <c r="G53" s="131">
        <f>IFERROR(F53/D53,0)</f>
        <v/>
      </c>
      <c r="H53" s="131">
        <f>IFERROR(D53/SUMIFS('Sales Data'!$E$6:$E$10000,'Sales Data'!$BC$6:$BC$10000,"May",'Sales Data'!$BD$6:$BD$10000,2025),0)</f>
        <v/>
      </c>
    </row>
    <row r="54" ht="21.75" customHeight="1" s="104">
      <c r="B54" s="160" t="inlineStr">
        <is>
          <t>TOTAL:</t>
        </is>
      </c>
      <c r="C54" s="161" t="n"/>
      <c r="D54" s="162">
        <f>SUM(D48:D53)</f>
        <v/>
      </c>
      <c r="E54" s="162">
        <f>SUM(E48:E53)</f>
        <v/>
      </c>
      <c r="F54" s="162">
        <f>SUM(F48:F53)</f>
        <v/>
      </c>
      <c r="G54" s="163">
        <f>IFERROR(F54/D54,0)</f>
        <v/>
      </c>
      <c r="H54" s="163" t="n">
        <v>1</v>
      </c>
    </row>
    <row r="56" ht="24" customHeight="1" s="104">
      <c r="B56" s="155" t="inlineStr">
        <is>
          <t>JUN 2025</t>
        </is>
      </c>
      <c r="C56" s="156" t="n"/>
      <c r="D56" s="156" t="n"/>
      <c r="E56" s="156" t="n"/>
      <c r="F56" s="156" t="n"/>
      <c r="G56" s="156" t="n"/>
      <c r="H56" s="156" t="n"/>
    </row>
    <row r="57" ht="19.5" customHeight="1" s="104">
      <c r="B57" s="125" t="inlineStr">
        <is>
          <t>Date</t>
        </is>
      </c>
      <c r="C57" s="125" t="inlineStr">
        <is>
          <t>Marketplace</t>
        </is>
      </c>
      <c r="D57" s="125" t="inlineStr">
        <is>
          <t>Sales (USD)</t>
        </is>
      </c>
      <c r="E57" s="125" t="inlineStr">
        <is>
          <t>Expenses (USD)</t>
        </is>
      </c>
      <c r="F57" s="125" t="inlineStr">
        <is>
          <t>Net Profit</t>
        </is>
      </c>
      <c r="G57" s="125" t="inlineStr">
        <is>
          <t>Margin</t>
        </is>
      </c>
      <c r="H57" s="125" t="inlineStr">
        <is>
          <t>Sales %</t>
        </is>
      </c>
    </row>
    <row r="58" ht="19.5" customHeight="1" s="104">
      <c r="B58" s="157" t="n">
        <v>45838</v>
      </c>
      <c r="C58" s="143" t="inlineStr">
        <is>
          <t>Amazon US</t>
        </is>
      </c>
      <c r="D58" s="127">
        <f>SUMIFS('Sales Data'!$E$6:$E$10000,'Sales Data'!$B$6:$B$10000,"Amazon US",'Sales Data'!$BC$6:$BC$10000,"Jun",'Sales Data'!$BD$6:$BD$10000,2025)</f>
        <v/>
      </c>
      <c r="E58" s="127">
        <f>SUMIFS('Main Expenses'!$E$6:$E$10000,'Main Expenses'!$B$6:$B$10000,"Amazon US",'Main Expenses'!$K$6:$K$10000,"Jun",'Main Expenses'!$L$6:$L$10000,2025)</f>
        <v/>
      </c>
      <c r="F58" s="127">
        <f>D58+E58</f>
        <v/>
      </c>
      <c r="G58" s="128">
        <f>IFERROR(F58/D58,0)</f>
        <v/>
      </c>
      <c r="H58" s="128">
        <f>IFERROR(D58/SUMIFS('Sales Data'!$E$6:$E$10000,'Sales Data'!$BC$6:$BC$10000,"Jun",'Sales Data'!$BD$6:$BD$10000,2025),0)</f>
        <v/>
      </c>
    </row>
    <row r="59" ht="19.5" customHeight="1" s="104">
      <c r="B59" s="158" t="n"/>
      <c r="C59" s="151" t="inlineStr">
        <is>
          <t>Amazon CA</t>
        </is>
      </c>
      <c r="D59" s="130">
        <f>SUMIFS('Sales Data'!$E$6:$E$10000,'Sales Data'!$B$6:$B$10000,"Amazon CA",'Sales Data'!$BC$6:$BC$10000,"Jun",'Sales Data'!$BD$6:$BD$10000,2025)</f>
        <v/>
      </c>
      <c r="E59" s="130">
        <f>SUMIFS('Main Expenses'!$E$6:$E$10000,'Main Expenses'!$B$6:$B$10000,"Amazon CA",'Main Expenses'!$K$6:$K$10000,"Jun",'Main Expenses'!$L$6:$L$10000,2025)</f>
        <v/>
      </c>
      <c r="F59" s="130">
        <f>D59+E59</f>
        <v/>
      </c>
      <c r="G59" s="131">
        <f>IFERROR(F59/D59,0)</f>
        <v/>
      </c>
      <c r="H59" s="131">
        <f>IFERROR(D59/SUMIFS('Sales Data'!$E$6:$E$10000,'Sales Data'!$BC$6:$BC$10000,"Jun",'Sales Data'!$BD$6:$BD$10000,2025),0)</f>
        <v/>
      </c>
    </row>
    <row r="60" ht="19.5" customHeight="1" s="104">
      <c r="B60" s="159" t="n"/>
      <c r="C60" s="143" t="inlineStr">
        <is>
          <t>Amazon UK</t>
        </is>
      </c>
      <c r="D60" s="127">
        <f>SUMIFS('Sales Data'!$E$6:$E$10000,'Sales Data'!$B$6:$B$10000,"Amazon UK",'Sales Data'!$BC$6:$BC$10000,"Jun",'Sales Data'!$BD$6:$BD$10000,2025)</f>
        <v/>
      </c>
      <c r="E60" s="127">
        <f>SUMIFS('Main Expenses'!$E$6:$E$10000,'Main Expenses'!$B$6:$B$10000,"Amazon UK",'Main Expenses'!$K$6:$K$10000,"Jun",'Main Expenses'!$L$6:$L$10000,2025)</f>
        <v/>
      </c>
      <c r="F60" s="127">
        <f>D60+E60</f>
        <v/>
      </c>
      <c r="G60" s="128">
        <f>IFERROR(F60/D60,0)</f>
        <v/>
      </c>
      <c r="H60" s="128">
        <f>IFERROR(D60/SUMIFS('Sales Data'!$E$6:$E$10000,'Sales Data'!$BC$6:$BC$10000,"Jun",'Sales Data'!$BD$6:$BD$10000,2025),0)</f>
        <v/>
      </c>
    </row>
    <row r="61" ht="19.5" customHeight="1" s="104">
      <c r="B61" s="158" t="n"/>
      <c r="C61" s="151" t="inlineStr">
        <is>
          <t>TikTok Shop</t>
        </is>
      </c>
      <c r="D61" s="130">
        <f>SUMIFS('Sales Data'!$E$6:$E$10000,'Sales Data'!$B$6:$B$10000,"Tiktok",'Sales Data'!$BC$6:$BC$10000,"Jun",'Sales Data'!$BD$6:$BD$10000,2025)</f>
        <v/>
      </c>
      <c r="E61" s="130">
        <f>SUMIFS('Main Expenses'!$E$6:$E$10000,'Main Expenses'!$B$6:$B$10000,"Tiktok",'Main Expenses'!$K$6:$K$10000,"Jun",'Main Expenses'!$L$6:$L$10000,2025)</f>
        <v/>
      </c>
      <c r="F61" s="130">
        <f>D61+E61</f>
        <v/>
      </c>
      <c r="G61" s="131">
        <f>IFERROR(F61/D61,0)</f>
        <v/>
      </c>
      <c r="H61" s="131">
        <f>IFERROR(D61/SUMIFS('Sales Data'!$E$6:$E$10000,'Sales Data'!$BC$6:$BC$10000,"Jun",'Sales Data'!$BD$6:$BD$10000,2025),0)</f>
        <v/>
      </c>
    </row>
    <row r="62" ht="19.5" customHeight="1" s="104">
      <c r="B62" s="159" t="n"/>
      <c r="C62" s="143" t="inlineStr">
        <is>
          <t>Shopify &amp; Faire</t>
        </is>
      </c>
      <c r="D62" s="127">
        <f>SUMIFS('Sales Data'!$E$6:$E$10000,'Sales Data'!$B$6:$B$10000,"Shopify",'Sales Data'!$BC$6:$BC$10000,"Jun",'Sales Data'!$BD$6:$BD$10000,2025)</f>
        <v/>
      </c>
      <c r="E62" s="127">
        <f>SUMIFS('Main Expenses'!$E$6:$E$10000,'Main Expenses'!$B$6:$B$10000,"Shopify",'Main Expenses'!$K$6:$K$10000,"Jun",'Main Expenses'!$L$6:$L$10000,2025)</f>
        <v/>
      </c>
      <c r="F62" s="127">
        <f>D62+E62</f>
        <v/>
      </c>
      <c r="G62" s="128">
        <f>IFERROR(F62/D62,0)</f>
        <v/>
      </c>
      <c r="H62" s="128">
        <f>IFERROR(D62/SUMIFS('Sales Data'!$E$6:$E$10000,'Sales Data'!$BC$6:$BC$10000,"Jun",'Sales Data'!$BD$6:$BD$10000,2025),0)</f>
        <v/>
      </c>
    </row>
    <row r="63" ht="19.5" customHeight="1" s="104">
      <c r="B63" s="158" t="n"/>
      <c r="C63" s="151" t="inlineStr">
        <is>
          <t>Walmart</t>
        </is>
      </c>
      <c r="D63" s="130">
        <f>SUMIFS('Sales Data'!$E$6:$E$10000,'Sales Data'!$B$6:$B$10000,"Walmart",'Sales Data'!$BC$6:$BC$10000,"Jun",'Sales Data'!$BD$6:$BD$10000,2025)</f>
        <v/>
      </c>
      <c r="E63" s="130">
        <f>SUMIFS('Main Expenses'!$E$6:$E$10000,'Main Expenses'!$B$6:$B$10000,"Walmart",'Main Expenses'!$K$6:$K$10000,"Jun",'Main Expenses'!$L$6:$L$10000,2025)</f>
        <v/>
      </c>
      <c r="F63" s="130">
        <f>D63+E63</f>
        <v/>
      </c>
      <c r="G63" s="131">
        <f>IFERROR(F63/D63,0)</f>
        <v/>
      </c>
      <c r="H63" s="131">
        <f>IFERROR(D63/SUMIFS('Sales Data'!$E$6:$E$10000,'Sales Data'!$BC$6:$BC$10000,"Jun",'Sales Data'!$BD$6:$BD$10000,2025),0)</f>
        <v/>
      </c>
    </row>
    <row r="64" ht="21.75" customHeight="1" s="104">
      <c r="B64" s="160" t="inlineStr">
        <is>
          <t>TOTAL:</t>
        </is>
      </c>
      <c r="C64" s="161" t="n"/>
      <c r="D64" s="162">
        <f>SUM(D58:D63)</f>
        <v/>
      </c>
      <c r="E64" s="162">
        <f>SUM(E58:E63)</f>
        <v/>
      </c>
      <c r="F64" s="162">
        <f>SUM(F58:F63)</f>
        <v/>
      </c>
      <c r="G64" s="163">
        <f>IFERROR(F64/D64,0)</f>
        <v/>
      </c>
      <c r="H64" s="163" t="n">
        <v>1</v>
      </c>
    </row>
    <row r="66" ht="24" customHeight="1" s="104">
      <c r="B66" s="155" t="inlineStr">
        <is>
          <t>JUL 2025</t>
        </is>
      </c>
      <c r="C66" s="156" t="n"/>
      <c r="D66" s="156" t="n"/>
      <c r="E66" s="156" t="n"/>
      <c r="F66" s="156" t="n"/>
      <c r="G66" s="156" t="n"/>
      <c r="H66" s="156" t="n"/>
    </row>
    <row r="67" ht="19.5" customHeight="1" s="104">
      <c r="B67" s="125" t="inlineStr">
        <is>
          <t>Date</t>
        </is>
      </c>
      <c r="C67" s="125" t="inlineStr">
        <is>
          <t>Marketplace</t>
        </is>
      </c>
      <c r="D67" s="125" t="inlineStr">
        <is>
          <t>Sales (USD)</t>
        </is>
      </c>
      <c r="E67" s="125" t="inlineStr">
        <is>
          <t>Expenses (USD)</t>
        </is>
      </c>
      <c r="F67" s="125" t="inlineStr">
        <is>
          <t>Net Profit</t>
        </is>
      </c>
      <c r="G67" s="125" t="inlineStr">
        <is>
          <t>Margin</t>
        </is>
      </c>
      <c r="H67" s="125" t="inlineStr">
        <is>
          <t>Sales %</t>
        </is>
      </c>
    </row>
    <row r="68" ht="19.5" customHeight="1" s="104">
      <c r="B68" s="157" t="n">
        <v>45869</v>
      </c>
      <c r="C68" s="143" t="inlineStr">
        <is>
          <t>Amazon US</t>
        </is>
      </c>
      <c r="D68" s="127">
        <f>SUMIFS('Sales Data'!$E$6:$E$10000,'Sales Data'!$B$6:$B$10000,"Amazon US",'Sales Data'!$BC$6:$BC$10000,"Jul",'Sales Data'!$BD$6:$BD$10000,2025)</f>
        <v/>
      </c>
      <c r="E68" s="127">
        <f>SUMIFS('Main Expenses'!$E$6:$E$10000,'Main Expenses'!$B$6:$B$10000,"Amazon US",'Main Expenses'!$K$6:$K$10000,"Jul",'Main Expenses'!$L$6:$L$10000,2025)</f>
        <v/>
      </c>
      <c r="F68" s="127">
        <f>D68+E68</f>
        <v/>
      </c>
      <c r="G68" s="128">
        <f>IFERROR(F68/D68,0)</f>
        <v/>
      </c>
      <c r="H68" s="128">
        <f>IFERROR(D68/SUMIFS('Sales Data'!$E$6:$E$10000,'Sales Data'!$BC$6:$BC$10000,"Jul",'Sales Data'!$BD$6:$BD$10000,2025),0)</f>
        <v/>
      </c>
    </row>
    <row r="69" ht="19.5" customHeight="1" s="104">
      <c r="B69" s="158" t="n"/>
      <c r="C69" s="151" t="inlineStr">
        <is>
          <t>Amazon CA</t>
        </is>
      </c>
      <c r="D69" s="130">
        <f>SUMIFS('Sales Data'!$E$6:$E$10000,'Sales Data'!$B$6:$B$10000,"Amazon CA",'Sales Data'!$BC$6:$BC$10000,"Jul",'Sales Data'!$BD$6:$BD$10000,2025)</f>
        <v/>
      </c>
      <c r="E69" s="130">
        <f>SUMIFS('Main Expenses'!$E$6:$E$10000,'Main Expenses'!$B$6:$B$10000,"Amazon CA",'Main Expenses'!$K$6:$K$10000,"Jul",'Main Expenses'!$L$6:$L$10000,2025)</f>
        <v/>
      </c>
      <c r="F69" s="130">
        <f>D69+E69</f>
        <v/>
      </c>
      <c r="G69" s="131">
        <f>IFERROR(F69/D69,0)</f>
        <v/>
      </c>
      <c r="H69" s="131">
        <f>IFERROR(D69/SUMIFS('Sales Data'!$E$6:$E$10000,'Sales Data'!$BC$6:$BC$10000,"Jul",'Sales Data'!$BD$6:$BD$10000,2025),0)</f>
        <v/>
      </c>
    </row>
    <row r="70" ht="19.5" customHeight="1" s="104">
      <c r="B70" s="159" t="n"/>
      <c r="C70" s="143" t="inlineStr">
        <is>
          <t>Amazon UK</t>
        </is>
      </c>
      <c r="D70" s="127">
        <f>SUMIFS('Sales Data'!$E$6:$E$10000,'Sales Data'!$B$6:$B$10000,"Amazon UK",'Sales Data'!$BC$6:$BC$10000,"Jul",'Sales Data'!$BD$6:$BD$10000,2025)</f>
        <v/>
      </c>
      <c r="E70" s="127">
        <f>SUMIFS('Main Expenses'!$E$6:$E$10000,'Main Expenses'!$B$6:$B$10000,"Amazon UK",'Main Expenses'!$K$6:$K$10000,"Jul",'Main Expenses'!$L$6:$L$10000,2025)</f>
        <v/>
      </c>
      <c r="F70" s="127">
        <f>D70+E70</f>
        <v/>
      </c>
      <c r="G70" s="128">
        <f>IFERROR(F70/D70,0)</f>
        <v/>
      </c>
      <c r="H70" s="128">
        <f>IFERROR(D70/SUMIFS('Sales Data'!$E$6:$E$10000,'Sales Data'!$BC$6:$BC$10000,"Jul",'Sales Data'!$BD$6:$BD$10000,2025),0)</f>
        <v/>
      </c>
    </row>
    <row r="71" ht="19.5" customHeight="1" s="104">
      <c r="B71" s="158" t="n"/>
      <c r="C71" s="151" t="inlineStr">
        <is>
          <t>TikTok Shop</t>
        </is>
      </c>
      <c r="D71" s="130">
        <f>SUMIFS('Sales Data'!$E$6:$E$10000,'Sales Data'!$B$6:$B$10000,"Tiktok",'Sales Data'!$BC$6:$BC$10000,"Jul",'Sales Data'!$BD$6:$BD$10000,2025)</f>
        <v/>
      </c>
      <c r="E71" s="130">
        <f>SUMIFS('Main Expenses'!$E$6:$E$10000,'Main Expenses'!$B$6:$B$10000,"Tiktok",'Main Expenses'!$K$6:$K$10000,"Jul",'Main Expenses'!$L$6:$L$10000,2025)</f>
        <v/>
      </c>
      <c r="F71" s="130">
        <f>D71+E71</f>
        <v/>
      </c>
      <c r="G71" s="131">
        <f>IFERROR(F71/D71,0)</f>
        <v/>
      </c>
      <c r="H71" s="131">
        <f>IFERROR(D71/SUMIFS('Sales Data'!$E$6:$E$10000,'Sales Data'!$BC$6:$BC$10000,"Jul",'Sales Data'!$BD$6:$BD$10000,2025),0)</f>
        <v/>
      </c>
    </row>
    <row r="72" ht="19.5" customHeight="1" s="104">
      <c r="B72" s="159" t="n"/>
      <c r="C72" s="143" t="inlineStr">
        <is>
          <t>Shopify &amp; Faire</t>
        </is>
      </c>
      <c r="D72" s="127">
        <f>SUMIFS('Sales Data'!$E$6:$E$10000,'Sales Data'!$B$6:$B$10000,"Shopify",'Sales Data'!$BC$6:$BC$10000,"Jul",'Sales Data'!$BD$6:$BD$10000,2025)</f>
        <v/>
      </c>
      <c r="E72" s="127">
        <f>SUMIFS('Main Expenses'!$E$6:$E$10000,'Main Expenses'!$B$6:$B$10000,"Shopify",'Main Expenses'!$K$6:$K$10000,"Jul",'Main Expenses'!$L$6:$L$10000,2025)</f>
        <v/>
      </c>
      <c r="F72" s="127">
        <f>D72+E72</f>
        <v/>
      </c>
      <c r="G72" s="128">
        <f>IFERROR(F72/D72,0)</f>
        <v/>
      </c>
      <c r="H72" s="128">
        <f>IFERROR(D72/SUMIFS('Sales Data'!$E$6:$E$10000,'Sales Data'!$BC$6:$BC$10000,"Jul",'Sales Data'!$BD$6:$BD$10000,2025),0)</f>
        <v/>
      </c>
    </row>
    <row r="73" ht="19.5" customHeight="1" s="104">
      <c r="B73" s="158" t="n"/>
      <c r="C73" s="151" t="inlineStr">
        <is>
          <t>Walmart</t>
        </is>
      </c>
      <c r="D73" s="130">
        <f>SUMIFS('Sales Data'!$E$6:$E$10000,'Sales Data'!$B$6:$B$10000,"Walmart",'Sales Data'!$BC$6:$BC$10000,"Jul",'Sales Data'!$BD$6:$BD$10000,2025)</f>
        <v/>
      </c>
      <c r="E73" s="130">
        <f>SUMIFS('Main Expenses'!$E$6:$E$10000,'Main Expenses'!$B$6:$B$10000,"Walmart",'Main Expenses'!$K$6:$K$10000,"Jul",'Main Expenses'!$L$6:$L$10000,2025)</f>
        <v/>
      </c>
      <c r="F73" s="130">
        <f>D73+E73</f>
        <v/>
      </c>
      <c r="G73" s="131">
        <f>IFERROR(F73/D73,0)</f>
        <v/>
      </c>
      <c r="H73" s="131">
        <f>IFERROR(D73/SUMIFS('Sales Data'!$E$6:$E$10000,'Sales Data'!$BC$6:$BC$10000,"Jul",'Sales Data'!$BD$6:$BD$10000,2025),0)</f>
        <v/>
      </c>
    </row>
    <row r="74" ht="21.75" customHeight="1" s="104">
      <c r="B74" s="160" t="inlineStr">
        <is>
          <t>TOTAL:</t>
        </is>
      </c>
      <c r="C74" s="161" t="n"/>
      <c r="D74" s="162">
        <f>SUM(D68:D73)</f>
        <v/>
      </c>
      <c r="E74" s="162">
        <f>SUM(E68:E73)</f>
        <v/>
      </c>
      <c r="F74" s="162">
        <f>SUM(F68:F73)</f>
        <v/>
      </c>
      <c r="G74" s="163">
        <f>IFERROR(F74/D74,0)</f>
        <v/>
      </c>
      <c r="H74" s="163" t="n">
        <v>1</v>
      </c>
    </row>
    <row r="76" ht="24" customHeight="1" s="104">
      <c r="B76" s="155" t="inlineStr">
        <is>
          <t>AUG 2025</t>
        </is>
      </c>
      <c r="C76" s="156" t="n"/>
      <c r="D76" s="156" t="n"/>
      <c r="E76" s="156" t="n"/>
      <c r="F76" s="156" t="n"/>
      <c r="G76" s="156" t="n"/>
      <c r="H76" s="156" t="n"/>
    </row>
    <row r="77" ht="19.5" customHeight="1" s="104">
      <c r="B77" s="125" t="inlineStr">
        <is>
          <t>Date</t>
        </is>
      </c>
      <c r="C77" s="125" t="inlineStr">
        <is>
          <t>Marketplace</t>
        </is>
      </c>
      <c r="D77" s="125" t="inlineStr">
        <is>
          <t>Sales (USD)</t>
        </is>
      </c>
      <c r="E77" s="125" t="inlineStr">
        <is>
          <t>Expenses (USD)</t>
        </is>
      </c>
      <c r="F77" s="125" t="inlineStr">
        <is>
          <t>Net Profit</t>
        </is>
      </c>
      <c r="G77" s="125" t="inlineStr">
        <is>
          <t>Margin</t>
        </is>
      </c>
      <c r="H77" s="125" t="inlineStr">
        <is>
          <t>Sales %</t>
        </is>
      </c>
    </row>
    <row r="78" ht="19.5" customHeight="1" s="104">
      <c r="B78" s="157" t="n">
        <v>45900</v>
      </c>
      <c r="C78" s="143" t="inlineStr">
        <is>
          <t>Amazon US</t>
        </is>
      </c>
      <c r="D78" s="127">
        <f>SUMIFS('Sales Data'!$E$6:$E$10000,'Sales Data'!$B$6:$B$10000,"Amazon US",'Sales Data'!$BC$6:$BC$10000,"Aug",'Sales Data'!$BD$6:$BD$10000,2025)</f>
        <v/>
      </c>
      <c r="E78" s="127">
        <f>SUMIFS('Main Expenses'!$E$6:$E$10000,'Main Expenses'!$B$6:$B$10000,"Amazon US",'Main Expenses'!$K$6:$K$10000,"Aug",'Main Expenses'!$L$6:$L$10000,2025)</f>
        <v/>
      </c>
      <c r="F78" s="127">
        <f>D78+E78</f>
        <v/>
      </c>
      <c r="G78" s="128">
        <f>IFERROR(F78/D78,0)</f>
        <v/>
      </c>
      <c r="H78" s="128">
        <f>IFERROR(D78/SUMIFS('Sales Data'!$E$6:$E$10000,'Sales Data'!$BC$6:$BC$10000,"Aug",'Sales Data'!$BD$6:$BD$10000,2025),0)</f>
        <v/>
      </c>
    </row>
    <row r="79" ht="19.5" customHeight="1" s="104">
      <c r="B79" s="158" t="n"/>
      <c r="C79" s="151" t="inlineStr">
        <is>
          <t>Amazon CA</t>
        </is>
      </c>
      <c r="D79" s="130">
        <f>SUMIFS('Sales Data'!$E$6:$E$10000,'Sales Data'!$B$6:$B$10000,"Amazon CA",'Sales Data'!$BC$6:$BC$10000,"Aug",'Sales Data'!$BD$6:$BD$10000,2025)</f>
        <v/>
      </c>
      <c r="E79" s="130">
        <f>SUMIFS('Main Expenses'!$E$6:$E$10000,'Main Expenses'!$B$6:$B$10000,"Amazon CA",'Main Expenses'!$K$6:$K$10000,"Aug",'Main Expenses'!$L$6:$L$10000,2025)</f>
        <v/>
      </c>
      <c r="F79" s="130">
        <f>D79+E79</f>
        <v/>
      </c>
      <c r="G79" s="131">
        <f>IFERROR(F79/D79,0)</f>
        <v/>
      </c>
      <c r="H79" s="131">
        <f>IFERROR(D79/SUMIFS('Sales Data'!$E$6:$E$10000,'Sales Data'!$BC$6:$BC$10000,"Aug",'Sales Data'!$BD$6:$BD$10000,2025),0)</f>
        <v/>
      </c>
    </row>
    <row r="80" ht="19.5" customHeight="1" s="104">
      <c r="B80" s="159" t="n"/>
      <c r="C80" s="143" t="inlineStr">
        <is>
          <t>Amazon UK</t>
        </is>
      </c>
      <c r="D80" s="127">
        <f>SUMIFS('Sales Data'!$E$6:$E$10000,'Sales Data'!$B$6:$B$10000,"Amazon UK",'Sales Data'!$BC$6:$BC$10000,"Aug",'Sales Data'!$BD$6:$BD$10000,2025)</f>
        <v/>
      </c>
      <c r="E80" s="127">
        <f>SUMIFS('Main Expenses'!$E$6:$E$10000,'Main Expenses'!$B$6:$B$10000,"Amazon UK",'Main Expenses'!$K$6:$K$10000,"Aug",'Main Expenses'!$L$6:$L$10000,2025)</f>
        <v/>
      </c>
      <c r="F80" s="127">
        <f>D80+E80</f>
        <v/>
      </c>
      <c r="G80" s="128">
        <f>IFERROR(F80/D80,0)</f>
        <v/>
      </c>
      <c r="H80" s="128">
        <f>IFERROR(D80/SUMIFS('Sales Data'!$E$6:$E$10000,'Sales Data'!$BC$6:$BC$10000,"Aug",'Sales Data'!$BD$6:$BD$10000,2025),0)</f>
        <v/>
      </c>
    </row>
    <row r="81" ht="19.5" customHeight="1" s="104">
      <c r="B81" s="158" t="n"/>
      <c r="C81" s="151" t="inlineStr">
        <is>
          <t>TikTok Shop</t>
        </is>
      </c>
      <c r="D81" s="130">
        <f>SUMIFS('Sales Data'!$E$6:$E$10000,'Sales Data'!$B$6:$B$10000,"Tiktok",'Sales Data'!$BC$6:$BC$10000,"Aug",'Sales Data'!$BD$6:$BD$10000,2025)</f>
        <v/>
      </c>
      <c r="E81" s="130">
        <f>SUMIFS('Main Expenses'!$E$6:$E$10000,'Main Expenses'!$B$6:$B$10000,"Tiktok",'Main Expenses'!$K$6:$K$10000,"Aug",'Main Expenses'!$L$6:$L$10000,2025)</f>
        <v/>
      </c>
      <c r="F81" s="130">
        <f>D81+E81</f>
        <v/>
      </c>
      <c r="G81" s="131">
        <f>IFERROR(F81/D81,0)</f>
        <v/>
      </c>
      <c r="H81" s="131">
        <f>IFERROR(D81/SUMIFS('Sales Data'!$E$6:$E$10000,'Sales Data'!$BC$6:$BC$10000,"Aug",'Sales Data'!$BD$6:$BD$10000,2025),0)</f>
        <v/>
      </c>
    </row>
    <row r="82" ht="19.5" customHeight="1" s="104">
      <c r="B82" s="159" t="n"/>
      <c r="C82" s="143" t="inlineStr">
        <is>
          <t>Shopify &amp; Faire</t>
        </is>
      </c>
      <c r="D82" s="127">
        <f>SUMIFS('Sales Data'!$E$6:$E$10000,'Sales Data'!$B$6:$B$10000,"Shopify",'Sales Data'!$BC$6:$BC$10000,"Aug",'Sales Data'!$BD$6:$BD$10000,2025)</f>
        <v/>
      </c>
      <c r="E82" s="127">
        <f>SUMIFS('Main Expenses'!$E$6:$E$10000,'Main Expenses'!$B$6:$B$10000,"Shopify",'Main Expenses'!$K$6:$K$10000,"Aug",'Main Expenses'!$L$6:$L$10000,2025)</f>
        <v/>
      </c>
      <c r="F82" s="127">
        <f>D82+E82</f>
        <v/>
      </c>
      <c r="G82" s="128">
        <f>IFERROR(F82/D82,0)</f>
        <v/>
      </c>
      <c r="H82" s="128">
        <f>IFERROR(D82/SUMIFS('Sales Data'!$E$6:$E$10000,'Sales Data'!$BC$6:$BC$10000,"Aug",'Sales Data'!$BD$6:$BD$10000,2025),0)</f>
        <v/>
      </c>
    </row>
    <row r="83" ht="19.5" customHeight="1" s="104">
      <c r="B83" s="158" t="n"/>
      <c r="C83" s="151" t="inlineStr">
        <is>
          <t>Walmart</t>
        </is>
      </c>
      <c r="D83" s="130">
        <f>SUMIFS('Sales Data'!$E$6:$E$10000,'Sales Data'!$B$6:$B$10000,"Walmart",'Sales Data'!$BC$6:$BC$10000,"Aug",'Sales Data'!$BD$6:$BD$10000,2025)</f>
        <v/>
      </c>
      <c r="E83" s="130">
        <f>SUMIFS('Main Expenses'!$E$6:$E$10000,'Main Expenses'!$B$6:$B$10000,"Walmart",'Main Expenses'!$K$6:$K$10000,"Aug",'Main Expenses'!$L$6:$L$10000,2025)</f>
        <v/>
      </c>
      <c r="F83" s="130">
        <f>D83+E83</f>
        <v/>
      </c>
      <c r="G83" s="131">
        <f>IFERROR(F83/D83,0)</f>
        <v/>
      </c>
      <c r="H83" s="131">
        <f>IFERROR(D83/SUMIFS('Sales Data'!$E$6:$E$10000,'Sales Data'!$BC$6:$BC$10000,"Aug",'Sales Data'!$BD$6:$BD$10000,2025),0)</f>
        <v/>
      </c>
    </row>
    <row r="84" ht="21.75" customHeight="1" s="104">
      <c r="B84" s="160" t="inlineStr">
        <is>
          <t>TOTAL:</t>
        </is>
      </c>
      <c r="C84" s="161" t="n"/>
      <c r="D84" s="162">
        <f>SUM(D78:D83)</f>
        <v/>
      </c>
      <c r="E84" s="162">
        <f>SUM(E78:E83)</f>
        <v/>
      </c>
      <c r="F84" s="162">
        <f>SUM(F78:F83)</f>
        <v/>
      </c>
      <c r="G84" s="163">
        <f>IFERROR(F84/D84,0)</f>
        <v/>
      </c>
      <c r="H84" s="163" t="n">
        <v>1</v>
      </c>
    </row>
    <row r="86" ht="24" customHeight="1" s="104">
      <c r="B86" s="155" t="inlineStr">
        <is>
          <t>SEP 2025</t>
        </is>
      </c>
      <c r="C86" s="156" t="n"/>
      <c r="D86" s="156" t="n"/>
      <c r="E86" s="156" t="n"/>
      <c r="F86" s="156" t="n"/>
      <c r="G86" s="156" t="n"/>
      <c r="H86" s="156" t="n"/>
    </row>
    <row r="87" ht="19.5" customHeight="1" s="104">
      <c r="B87" s="125" t="inlineStr">
        <is>
          <t>Date</t>
        </is>
      </c>
      <c r="C87" s="125" t="inlineStr">
        <is>
          <t>Marketplace</t>
        </is>
      </c>
      <c r="D87" s="125" t="inlineStr">
        <is>
          <t>Sales (USD)</t>
        </is>
      </c>
      <c r="E87" s="125" t="inlineStr">
        <is>
          <t>Expenses (USD)</t>
        </is>
      </c>
      <c r="F87" s="125" t="inlineStr">
        <is>
          <t>Net Profit</t>
        </is>
      </c>
      <c r="G87" s="125" t="inlineStr">
        <is>
          <t>Margin</t>
        </is>
      </c>
      <c r="H87" s="125" t="inlineStr">
        <is>
          <t>Sales %</t>
        </is>
      </c>
    </row>
    <row r="88" ht="19.5" customHeight="1" s="104">
      <c r="B88" s="157" t="n">
        <v>45930</v>
      </c>
      <c r="C88" s="143" t="inlineStr">
        <is>
          <t>Amazon US</t>
        </is>
      </c>
      <c r="D88" s="127">
        <f>SUMIFS('Sales Data'!$E$6:$E$10000,'Sales Data'!$B$6:$B$10000,"Amazon US",'Sales Data'!$BC$6:$BC$10000,"Sep",'Sales Data'!$BD$6:$BD$10000,2025)</f>
        <v/>
      </c>
      <c r="E88" s="127">
        <f>SUMIFS('Main Expenses'!$E$6:$E$10000,'Main Expenses'!$B$6:$B$10000,"Amazon US",'Main Expenses'!$K$6:$K$10000,"Sep",'Main Expenses'!$L$6:$L$10000,2025)</f>
        <v/>
      </c>
      <c r="F88" s="127">
        <f>D88+E88</f>
        <v/>
      </c>
      <c r="G88" s="128">
        <f>IFERROR(F88/D88,0)</f>
        <v/>
      </c>
      <c r="H88" s="128">
        <f>IFERROR(D88/SUMIFS('Sales Data'!$E$6:$E$10000,'Sales Data'!$BC$6:$BC$10000,"Sep",'Sales Data'!$BD$6:$BD$10000,2025),0)</f>
        <v/>
      </c>
    </row>
    <row r="89" ht="19.5" customHeight="1" s="104">
      <c r="B89" s="158" t="n"/>
      <c r="C89" s="151" t="inlineStr">
        <is>
          <t>Amazon CA</t>
        </is>
      </c>
      <c r="D89" s="130">
        <f>SUMIFS('Sales Data'!$E$6:$E$10000,'Sales Data'!$B$6:$B$10000,"Amazon CA",'Sales Data'!$BC$6:$BC$10000,"Sep",'Sales Data'!$BD$6:$BD$10000,2025)</f>
        <v/>
      </c>
      <c r="E89" s="130">
        <f>SUMIFS('Main Expenses'!$E$6:$E$10000,'Main Expenses'!$B$6:$B$10000,"Amazon CA",'Main Expenses'!$K$6:$K$10000,"Sep",'Main Expenses'!$L$6:$L$10000,2025)</f>
        <v/>
      </c>
      <c r="F89" s="130">
        <f>D89+E89</f>
        <v/>
      </c>
      <c r="G89" s="131">
        <f>IFERROR(F89/D89,0)</f>
        <v/>
      </c>
      <c r="H89" s="131">
        <f>IFERROR(D89/SUMIFS('Sales Data'!$E$6:$E$10000,'Sales Data'!$BC$6:$BC$10000,"Sep",'Sales Data'!$BD$6:$BD$10000,2025),0)</f>
        <v/>
      </c>
    </row>
    <row r="90" ht="19.5" customHeight="1" s="104">
      <c r="B90" s="159" t="n"/>
      <c r="C90" s="143" t="inlineStr">
        <is>
          <t>Amazon UK</t>
        </is>
      </c>
      <c r="D90" s="127">
        <f>SUMIFS('Sales Data'!$E$6:$E$10000,'Sales Data'!$B$6:$B$10000,"Amazon UK",'Sales Data'!$BC$6:$BC$10000,"Sep",'Sales Data'!$BD$6:$BD$10000,2025)</f>
        <v/>
      </c>
      <c r="E90" s="127">
        <f>SUMIFS('Main Expenses'!$E$6:$E$10000,'Main Expenses'!$B$6:$B$10000,"Amazon UK",'Main Expenses'!$K$6:$K$10000,"Sep",'Main Expenses'!$L$6:$L$10000,2025)</f>
        <v/>
      </c>
      <c r="F90" s="127">
        <f>D90+E90</f>
        <v/>
      </c>
      <c r="G90" s="128">
        <f>IFERROR(F90/D90,0)</f>
        <v/>
      </c>
      <c r="H90" s="128">
        <f>IFERROR(D90/SUMIFS('Sales Data'!$E$6:$E$10000,'Sales Data'!$BC$6:$BC$10000,"Sep",'Sales Data'!$BD$6:$BD$10000,2025),0)</f>
        <v/>
      </c>
    </row>
    <row r="91" ht="19.5" customHeight="1" s="104">
      <c r="B91" s="158" t="n"/>
      <c r="C91" s="151" t="inlineStr">
        <is>
          <t>TikTok Shop</t>
        </is>
      </c>
      <c r="D91" s="130">
        <f>SUMIFS('Sales Data'!$E$6:$E$10000,'Sales Data'!$B$6:$B$10000,"Tiktok",'Sales Data'!$BC$6:$BC$10000,"Sep",'Sales Data'!$BD$6:$BD$10000,2025)</f>
        <v/>
      </c>
      <c r="E91" s="130">
        <f>SUMIFS('Main Expenses'!$E$6:$E$10000,'Main Expenses'!$B$6:$B$10000,"Tiktok",'Main Expenses'!$K$6:$K$10000,"Sep",'Main Expenses'!$L$6:$L$10000,2025)</f>
        <v/>
      </c>
      <c r="F91" s="130">
        <f>D91+E91</f>
        <v/>
      </c>
      <c r="G91" s="131">
        <f>IFERROR(F91/D91,0)</f>
        <v/>
      </c>
      <c r="H91" s="131">
        <f>IFERROR(D91/SUMIFS('Sales Data'!$E$6:$E$10000,'Sales Data'!$BC$6:$BC$10000,"Sep",'Sales Data'!$BD$6:$BD$10000,2025),0)</f>
        <v/>
      </c>
    </row>
    <row r="92" ht="19.5" customHeight="1" s="104">
      <c r="B92" s="159" t="n"/>
      <c r="C92" s="143" t="inlineStr">
        <is>
          <t>Shopify &amp; Faire</t>
        </is>
      </c>
      <c r="D92" s="127">
        <f>SUMIFS('Sales Data'!$E$6:$E$10000,'Sales Data'!$B$6:$B$10000,"Shopify",'Sales Data'!$BC$6:$BC$10000,"Sep",'Sales Data'!$BD$6:$BD$10000,2025)</f>
        <v/>
      </c>
      <c r="E92" s="127">
        <f>SUMIFS('Main Expenses'!$E$6:$E$10000,'Main Expenses'!$B$6:$B$10000,"Shopify",'Main Expenses'!$K$6:$K$10000,"Sep",'Main Expenses'!$L$6:$L$10000,2025)</f>
        <v/>
      </c>
      <c r="F92" s="127">
        <f>D92+E92</f>
        <v/>
      </c>
      <c r="G92" s="128">
        <f>IFERROR(F92/D92,0)</f>
        <v/>
      </c>
      <c r="H92" s="128">
        <f>IFERROR(D92/SUMIFS('Sales Data'!$E$6:$E$10000,'Sales Data'!$BC$6:$BC$10000,"Sep",'Sales Data'!$BD$6:$BD$10000,2025),0)</f>
        <v/>
      </c>
    </row>
    <row r="93" ht="19.5" customHeight="1" s="104">
      <c r="B93" s="158" t="n"/>
      <c r="C93" s="151" t="inlineStr">
        <is>
          <t>Walmart</t>
        </is>
      </c>
      <c r="D93" s="130">
        <f>SUMIFS('Sales Data'!$E$6:$E$10000,'Sales Data'!$B$6:$B$10000,"Walmart",'Sales Data'!$BC$6:$BC$10000,"Sep",'Sales Data'!$BD$6:$BD$10000,2025)</f>
        <v/>
      </c>
      <c r="E93" s="130">
        <f>SUMIFS('Main Expenses'!$E$6:$E$10000,'Main Expenses'!$B$6:$B$10000,"Walmart",'Main Expenses'!$K$6:$K$10000,"Sep",'Main Expenses'!$L$6:$L$10000,2025)</f>
        <v/>
      </c>
      <c r="F93" s="130">
        <f>D93+E93</f>
        <v/>
      </c>
      <c r="G93" s="131">
        <f>IFERROR(F93/D93,0)</f>
        <v/>
      </c>
      <c r="H93" s="131">
        <f>IFERROR(D93/SUMIFS('Sales Data'!$E$6:$E$10000,'Sales Data'!$BC$6:$BC$10000,"Sep",'Sales Data'!$BD$6:$BD$10000,2025),0)</f>
        <v/>
      </c>
    </row>
    <row r="94" ht="21.75" customHeight="1" s="104">
      <c r="B94" s="160" t="inlineStr">
        <is>
          <t>TOTAL:</t>
        </is>
      </c>
      <c r="C94" s="161" t="n"/>
      <c r="D94" s="162">
        <f>SUM(D88:D93)</f>
        <v/>
      </c>
      <c r="E94" s="162">
        <f>SUM(E88:E93)</f>
        <v/>
      </c>
      <c r="F94" s="162">
        <f>SUM(F88:F93)</f>
        <v/>
      </c>
      <c r="G94" s="163">
        <f>IFERROR(F94/D94,0)</f>
        <v/>
      </c>
      <c r="H94" s="163" t="n">
        <v>1</v>
      </c>
    </row>
    <row r="96" ht="24" customHeight="1" s="104">
      <c r="B96" s="155" t="inlineStr">
        <is>
          <t>OCT 2025</t>
        </is>
      </c>
      <c r="C96" s="156" t="n"/>
      <c r="D96" s="156" t="n"/>
      <c r="E96" s="156" t="n"/>
      <c r="F96" s="156" t="n"/>
      <c r="G96" s="156" t="n"/>
      <c r="H96" s="156" t="n"/>
    </row>
    <row r="97" ht="19.5" customHeight="1" s="104">
      <c r="B97" s="125" t="inlineStr">
        <is>
          <t>Date</t>
        </is>
      </c>
      <c r="C97" s="125" t="inlineStr">
        <is>
          <t>Marketplace</t>
        </is>
      </c>
      <c r="D97" s="125" t="inlineStr">
        <is>
          <t>Sales (USD)</t>
        </is>
      </c>
      <c r="E97" s="125" t="inlineStr">
        <is>
          <t>Expenses (USD)</t>
        </is>
      </c>
      <c r="F97" s="125" t="inlineStr">
        <is>
          <t>Net Profit</t>
        </is>
      </c>
      <c r="G97" s="125" t="inlineStr">
        <is>
          <t>Margin</t>
        </is>
      </c>
      <c r="H97" s="125" t="inlineStr">
        <is>
          <t>Sales %</t>
        </is>
      </c>
    </row>
    <row r="98" ht="19.5" customHeight="1" s="104">
      <c r="B98" s="157" t="n">
        <v>45961</v>
      </c>
      <c r="C98" s="143" t="inlineStr">
        <is>
          <t>Amazon US</t>
        </is>
      </c>
      <c r="D98" s="127">
        <f>SUMIFS('Sales Data'!$E$6:$E$10000,'Sales Data'!$B$6:$B$10000,"Amazon US",'Sales Data'!$BC$6:$BC$10000,"Oct",'Sales Data'!$BD$6:$BD$10000,2025)</f>
        <v/>
      </c>
      <c r="E98" s="127">
        <f>SUMIFS('Main Expenses'!$E$6:$E$10000,'Main Expenses'!$B$6:$B$10000,"Amazon US",'Main Expenses'!$K$6:$K$10000,"Oct",'Main Expenses'!$L$6:$L$10000,2025)</f>
        <v/>
      </c>
      <c r="F98" s="127">
        <f>D98+E98</f>
        <v/>
      </c>
      <c r="G98" s="128">
        <f>IFERROR(F98/D98,0)</f>
        <v/>
      </c>
      <c r="H98" s="128">
        <f>IFERROR(D98/SUMIFS('Sales Data'!$E$6:$E$10000,'Sales Data'!$BC$6:$BC$10000,"Oct",'Sales Data'!$BD$6:$BD$10000,2025),0)</f>
        <v/>
      </c>
    </row>
    <row r="99" ht="19.5" customHeight="1" s="104">
      <c r="B99" s="158" t="n"/>
      <c r="C99" s="151" t="inlineStr">
        <is>
          <t>Amazon CA</t>
        </is>
      </c>
      <c r="D99" s="130">
        <f>SUMIFS('Sales Data'!$E$6:$E$10000,'Sales Data'!$B$6:$B$10000,"Amazon CA",'Sales Data'!$BC$6:$BC$10000,"Oct",'Sales Data'!$BD$6:$BD$10000,2025)</f>
        <v/>
      </c>
      <c r="E99" s="130">
        <f>SUMIFS('Main Expenses'!$E$6:$E$10000,'Main Expenses'!$B$6:$B$10000,"Amazon CA",'Main Expenses'!$K$6:$K$10000,"Oct",'Main Expenses'!$L$6:$L$10000,2025)</f>
        <v/>
      </c>
      <c r="F99" s="130">
        <f>D99+E99</f>
        <v/>
      </c>
      <c r="G99" s="131">
        <f>IFERROR(F99/D99,0)</f>
        <v/>
      </c>
      <c r="H99" s="131">
        <f>IFERROR(D99/SUMIFS('Sales Data'!$E$6:$E$10000,'Sales Data'!$BC$6:$BC$10000,"Oct",'Sales Data'!$BD$6:$BD$10000,2025),0)</f>
        <v/>
      </c>
    </row>
    <row r="100" ht="19.5" customHeight="1" s="104">
      <c r="B100" s="159" t="n"/>
      <c r="C100" s="143" t="inlineStr">
        <is>
          <t>Amazon UK</t>
        </is>
      </c>
      <c r="D100" s="127">
        <f>SUMIFS('Sales Data'!$E$6:$E$10000,'Sales Data'!$B$6:$B$10000,"Amazon UK",'Sales Data'!$BC$6:$BC$10000,"Oct",'Sales Data'!$BD$6:$BD$10000,2025)</f>
        <v/>
      </c>
      <c r="E100" s="127">
        <f>SUMIFS('Main Expenses'!$E$6:$E$10000,'Main Expenses'!$B$6:$B$10000,"Amazon UK",'Main Expenses'!$K$6:$K$10000,"Oct",'Main Expenses'!$L$6:$L$10000,2025)</f>
        <v/>
      </c>
      <c r="F100" s="127">
        <f>D100+E100</f>
        <v/>
      </c>
      <c r="G100" s="128">
        <f>IFERROR(F100/D100,0)</f>
        <v/>
      </c>
      <c r="H100" s="128">
        <f>IFERROR(D100/SUMIFS('Sales Data'!$E$6:$E$10000,'Sales Data'!$BC$6:$BC$10000,"Oct",'Sales Data'!$BD$6:$BD$10000,2025),0)</f>
        <v/>
      </c>
    </row>
    <row r="101" ht="19.5" customHeight="1" s="104">
      <c r="B101" s="158" t="n"/>
      <c r="C101" s="151" t="inlineStr">
        <is>
          <t>TikTok Shop</t>
        </is>
      </c>
      <c r="D101" s="130">
        <f>SUMIFS('Sales Data'!$E$6:$E$10000,'Sales Data'!$B$6:$B$10000,"Tiktok",'Sales Data'!$BC$6:$BC$10000,"Oct",'Sales Data'!$BD$6:$BD$10000,2025)</f>
        <v/>
      </c>
      <c r="E101" s="130">
        <f>SUMIFS('Main Expenses'!$E$6:$E$10000,'Main Expenses'!$B$6:$B$10000,"Tiktok",'Main Expenses'!$K$6:$K$10000,"Oct",'Main Expenses'!$L$6:$L$10000,2025)</f>
        <v/>
      </c>
      <c r="F101" s="130">
        <f>D101+E101</f>
        <v/>
      </c>
      <c r="G101" s="131">
        <f>IFERROR(F101/D101,0)</f>
        <v/>
      </c>
      <c r="H101" s="131">
        <f>IFERROR(D101/SUMIFS('Sales Data'!$E$6:$E$10000,'Sales Data'!$BC$6:$BC$10000,"Oct",'Sales Data'!$BD$6:$BD$10000,2025),0)</f>
        <v/>
      </c>
    </row>
    <row r="102" ht="19.5" customHeight="1" s="104">
      <c r="B102" s="159" t="n"/>
      <c r="C102" s="143" t="inlineStr">
        <is>
          <t>Shopify &amp; Faire</t>
        </is>
      </c>
      <c r="D102" s="127">
        <f>SUMIFS('Sales Data'!$E$6:$E$10000,'Sales Data'!$B$6:$B$10000,"Shopify",'Sales Data'!$BC$6:$BC$10000,"Oct",'Sales Data'!$BD$6:$BD$10000,2025)</f>
        <v/>
      </c>
      <c r="E102" s="127">
        <f>SUMIFS('Main Expenses'!$E$6:$E$10000,'Main Expenses'!$B$6:$B$10000,"Shopify",'Main Expenses'!$K$6:$K$10000,"Oct",'Main Expenses'!$L$6:$L$10000,2025)</f>
        <v/>
      </c>
      <c r="F102" s="127">
        <f>D102+E102</f>
        <v/>
      </c>
      <c r="G102" s="128">
        <f>IFERROR(F102/D102,0)</f>
        <v/>
      </c>
      <c r="H102" s="128">
        <f>IFERROR(D102/SUMIFS('Sales Data'!$E$6:$E$10000,'Sales Data'!$BC$6:$BC$10000,"Oct",'Sales Data'!$BD$6:$BD$10000,2025),0)</f>
        <v/>
      </c>
    </row>
    <row r="103" ht="19.5" customHeight="1" s="104">
      <c r="B103" s="158" t="n"/>
      <c r="C103" s="151" t="inlineStr">
        <is>
          <t>Walmart</t>
        </is>
      </c>
      <c r="D103" s="130">
        <f>SUMIFS('Sales Data'!$E$6:$E$10000,'Sales Data'!$B$6:$B$10000,"Walmart",'Sales Data'!$BC$6:$BC$10000,"Oct",'Sales Data'!$BD$6:$BD$10000,2025)</f>
        <v/>
      </c>
      <c r="E103" s="130">
        <f>SUMIFS('Main Expenses'!$E$6:$E$10000,'Main Expenses'!$B$6:$B$10000,"Walmart",'Main Expenses'!$K$6:$K$10000,"Oct",'Main Expenses'!$L$6:$L$10000,2025)</f>
        <v/>
      </c>
      <c r="F103" s="130">
        <f>D103+E103</f>
        <v/>
      </c>
      <c r="G103" s="131">
        <f>IFERROR(F103/D103,0)</f>
        <v/>
      </c>
      <c r="H103" s="131">
        <f>IFERROR(D103/SUMIFS('Sales Data'!$E$6:$E$10000,'Sales Data'!$BC$6:$BC$10000,"Oct",'Sales Data'!$BD$6:$BD$10000,2025),0)</f>
        <v/>
      </c>
    </row>
    <row r="104" ht="21.75" customHeight="1" s="104">
      <c r="B104" s="160" t="inlineStr">
        <is>
          <t>TOTAL:</t>
        </is>
      </c>
      <c r="C104" s="161" t="n"/>
      <c r="D104" s="162">
        <f>SUM(D98:D103)</f>
        <v/>
      </c>
      <c r="E104" s="162">
        <f>SUM(E98:E103)</f>
        <v/>
      </c>
      <c r="F104" s="162">
        <f>SUM(F98:F103)</f>
        <v/>
      </c>
      <c r="G104" s="163">
        <f>IFERROR(F104/D104,0)</f>
        <v/>
      </c>
      <c r="H104" s="163" t="n">
        <v>1</v>
      </c>
    </row>
    <row r="106" ht="24" customHeight="1" s="104">
      <c r="B106" s="155" t="inlineStr">
        <is>
          <t>NOV 2025</t>
        </is>
      </c>
      <c r="C106" s="156" t="n"/>
      <c r="D106" s="156" t="n"/>
      <c r="E106" s="156" t="n"/>
      <c r="F106" s="156" t="n"/>
      <c r="G106" s="156" t="n"/>
      <c r="H106" s="156" t="n"/>
    </row>
    <row r="107" ht="19.5" customHeight="1" s="104">
      <c r="B107" s="125" t="inlineStr">
        <is>
          <t>Date</t>
        </is>
      </c>
      <c r="C107" s="125" t="inlineStr">
        <is>
          <t>Marketplace</t>
        </is>
      </c>
      <c r="D107" s="125" t="inlineStr">
        <is>
          <t>Sales (USD)</t>
        </is>
      </c>
      <c r="E107" s="125" t="inlineStr">
        <is>
          <t>Expenses (USD)</t>
        </is>
      </c>
      <c r="F107" s="125" t="inlineStr">
        <is>
          <t>Net Profit</t>
        </is>
      </c>
      <c r="G107" s="125" t="inlineStr">
        <is>
          <t>Margin</t>
        </is>
      </c>
      <c r="H107" s="125" t="inlineStr">
        <is>
          <t>Sales %</t>
        </is>
      </c>
    </row>
    <row r="108" ht="19.5" customHeight="1" s="104">
      <c r="B108" s="157" t="n">
        <v>45991</v>
      </c>
      <c r="C108" s="143" t="inlineStr">
        <is>
          <t>Amazon US</t>
        </is>
      </c>
      <c r="D108" s="127">
        <f>SUMIFS('Sales Data'!$E$6:$E$10000,'Sales Data'!$B$6:$B$10000,"Amazon US",'Sales Data'!$BC$6:$BC$10000,"Nov",'Sales Data'!$BD$6:$BD$10000,2025)</f>
        <v/>
      </c>
      <c r="E108" s="127">
        <f>SUMIFS('Main Expenses'!$E$6:$E$10000,'Main Expenses'!$B$6:$B$10000,"Amazon US",'Main Expenses'!$K$6:$K$10000,"Nov",'Main Expenses'!$L$6:$L$10000,2025)</f>
        <v/>
      </c>
      <c r="F108" s="127">
        <f>D108+E108</f>
        <v/>
      </c>
      <c r="G108" s="128">
        <f>IFERROR(F108/D108,0)</f>
        <v/>
      </c>
      <c r="H108" s="128">
        <f>IFERROR(D108/SUMIFS('Sales Data'!$E$6:$E$10000,'Sales Data'!$BC$6:$BC$10000,"Nov",'Sales Data'!$BD$6:$BD$10000,2025),0)</f>
        <v/>
      </c>
    </row>
    <row r="109" ht="19.5" customHeight="1" s="104">
      <c r="B109" s="158" t="n"/>
      <c r="C109" s="151" t="inlineStr">
        <is>
          <t>Amazon CA</t>
        </is>
      </c>
      <c r="D109" s="130">
        <f>SUMIFS('Sales Data'!$E$6:$E$10000,'Sales Data'!$B$6:$B$10000,"Amazon CA",'Sales Data'!$BC$6:$BC$10000,"Nov",'Sales Data'!$BD$6:$BD$10000,2025)</f>
        <v/>
      </c>
      <c r="E109" s="130">
        <f>SUMIFS('Main Expenses'!$E$6:$E$10000,'Main Expenses'!$B$6:$B$10000,"Amazon CA",'Main Expenses'!$K$6:$K$10000,"Nov",'Main Expenses'!$L$6:$L$10000,2025)</f>
        <v/>
      </c>
      <c r="F109" s="130">
        <f>D109+E109</f>
        <v/>
      </c>
      <c r="G109" s="131">
        <f>IFERROR(F109/D109,0)</f>
        <v/>
      </c>
      <c r="H109" s="131">
        <f>IFERROR(D109/SUMIFS('Sales Data'!$E$6:$E$10000,'Sales Data'!$BC$6:$BC$10000,"Nov",'Sales Data'!$BD$6:$BD$10000,2025),0)</f>
        <v/>
      </c>
    </row>
    <row r="110" ht="19.5" customHeight="1" s="104">
      <c r="B110" s="159" t="n"/>
      <c r="C110" s="143" t="inlineStr">
        <is>
          <t>Amazon UK</t>
        </is>
      </c>
      <c r="D110" s="127">
        <f>SUMIFS('Sales Data'!$E$6:$E$10000,'Sales Data'!$B$6:$B$10000,"Amazon UK",'Sales Data'!$BC$6:$BC$10000,"Nov",'Sales Data'!$BD$6:$BD$10000,2025)</f>
        <v/>
      </c>
      <c r="E110" s="127">
        <f>SUMIFS('Main Expenses'!$E$6:$E$10000,'Main Expenses'!$B$6:$B$10000,"Amazon UK",'Main Expenses'!$K$6:$K$10000,"Nov",'Main Expenses'!$L$6:$L$10000,2025)</f>
        <v/>
      </c>
      <c r="F110" s="127">
        <f>D110+E110</f>
        <v/>
      </c>
      <c r="G110" s="128">
        <f>IFERROR(F110/D110,0)</f>
        <v/>
      </c>
      <c r="H110" s="128">
        <f>IFERROR(D110/SUMIFS('Sales Data'!$E$6:$E$10000,'Sales Data'!$BC$6:$BC$10000,"Nov",'Sales Data'!$BD$6:$BD$10000,2025),0)</f>
        <v/>
      </c>
    </row>
    <row r="111" ht="19.5" customHeight="1" s="104">
      <c r="B111" s="158" t="n"/>
      <c r="C111" s="151" t="inlineStr">
        <is>
          <t>TikTok Shop</t>
        </is>
      </c>
      <c r="D111" s="130">
        <f>SUMIFS('Sales Data'!$E$6:$E$10000,'Sales Data'!$B$6:$B$10000,"Tiktok",'Sales Data'!$BC$6:$BC$10000,"Nov",'Sales Data'!$BD$6:$BD$10000,2025)</f>
        <v/>
      </c>
      <c r="E111" s="130">
        <f>SUMIFS('Main Expenses'!$E$6:$E$10000,'Main Expenses'!$B$6:$B$10000,"Tiktok",'Main Expenses'!$K$6:$K$10000,"Nov",'Main Expenses'!$L$6:$L$10000,2025)</f>
        <v/>
      </c>
      <c r="F111" s="130">
        <f>D111+E111</f>
        <v/>
      </c>
      <c r="G111" s="131">
        <f>IFERROR(F111/D111,0)</f>
        <v/>
      </c>
      <c r="H111" s="131">
        <f>IFERROR(D111/SUMIFS('Sales Data'!$E$6:$E$10000,'Sales Data'!$BC$6:$BC$10000,"Nov",'Sales Data'!$BD$6:$BD$10000,2025),0)</f>
        <v/>
      </c>
    </row>
    <row r="112" ht="19.5" customHeight="1" s="104">
      <c r="B112" s="159" t="n"/>
      <c r="C112" s="143" t="inlineStr">
        <is>
          <t>Shopify &amp; Faire</t>
        </is>
      </c>
      <c r="D112" s="127">
        <f>SUMIFS('Sales Data'!$E$6:$E$10000,'Sales Data'!$B$6:$B$10000,"Shopify",'Sales Data'!$BC$6:$BC$10000,"Nov",'Sales Data'!$BD$6:$BD$10000,2025)</f>
        <v/>
      </c>
      <c r="E112" s="127">
        <f>SUMIFS('Main Expenses'!$E$6:$E$10000,'Main Expenses'!$B$6:$B$10000,"Shopify",'Main Expenses'!$K$6:$K$10000,"Nov",'Main Expenses'!$L$6:$L$10000,2025)</f>
        <v/>
      </c>
      <c r="F112" s="127">
        <f>D112+E112</f>
        <v/>
      </c>
      <c r="G112" s="128">
        <f>IFERROR(F112/D112,0)</f>
        <v/>
      </c>
      <c r="H112" s="128">
        <f>IFERROR(D112/SUMIFS('Sales Data'!$E$6:$E$10000,'Sales Data'!$BC$6:$BC$10000,"Nov",'Sales Data'!$BD$6:$BD$10000,2025),0)</f>
        <v/>
      </c>
    </row>
    <row r="113" ht="19.5" customHeight="1" s="104">
      <c r="B113" s="158" t="n"/>
      <c r="C113" s="151" t="inlineStr">
        <is>
          <t>Walmart</t>
        </is>
      </c>
      <c r="D113" s="130">
        <f>SUMIFS('Sales Data'!$E$6:$E$10000,'Sales Data'!$B$6:$B$10000,"Walmart",'Sales Data'!$BC$6:$BC$10000,"Nov",'Sales Data'!$BD$6:$BD$10000,2025)</f>
        <v/>
      </c>
      <c r="E113" s="130">
        <f>SUMIFS('Main Expenses'!$E$6:$E$10000,'Main Expenses'!$B$6:$B$10000,"Walmart",'Main Expenses'!$K$6:$K$10000,"Nov",'Main Expenses'!$L$6:$L$10000,2025)</f>
        <v/>
      </c>
      <c r="F113" s="130">
        <f>D113+E113</f>
        <v/>
      </c>
      <c r="G113" s="131">
        <f>IFERROR(F113/D113,0)</f>
        <v/>
      </c>
      <c r="H113" s="131">
        <f>IFERROR(D113/SUMIFS('Sales Data'!$E$6:$E$10000,'Sales Data'!$BC$6:$BC$10000,"Nov",'Sales Data'!$BD$6:$BD$10000,2025),0)</f>
        <v/>
      </c>
    </row>
    <row r="114" ht="21.75" customHeight="1" s="104">
      <c r="B114" s="160" t="inlineStr">
        <is>
          <t>TOTAL:</t>
        </is>
      </c>
      <c r="C114" s="161" t="n"/>
      <c r="D114" s="162">
        <f>SUM(D108:D113)</f>
        <v/>
      </c>
      <c r="E114" s="162">
        <f>SUM(E108:E113)</f>
        <v/>
      </c>
      <c r="F114" s="162">
        <f>SUM(F108:F113)</f>
        <v/>
      </c>
      <c r="G114" s="163">
        <f>IFERROR(F114/D114,0)</f>
        <v/>
      </c>
      <c r="H114" s="163" t="n">
        <v>1</v>
      </c>
    </row>
    <row r="116" ht="24" customHeight="1" s="104">
      <c r="B116" s="155" t="inlineStr">
        <is>
          <t>DEC 2025</t>
        </is>
      </c>
      <c r="C116" s="156" t="n"/>
      <c r="D116" s="156" t="n"/>
      <c r="E116" s="156" t="n"/>
      <c r="F116" s="156" t="n"/>
      <c r="G116" s="156" t="n"/>
      <c r="H116" s="156" t="n"/>
    </row>
    <row r="117" ht="19.5" customHeight="1" s="104">
      <c r="B117" s="125" t="inlineStr">
        <is>
          <t>Date</t>
        </is>
      </c>
      <c r="C117" s="125" t="inlineStr">
        <is>
          <t>Marketplace</t>
        </is>
      </c>
      <c r="D117" s="125" t="inlineStr">
        <is>
          <t>Sales (USD)</t>
        </is>
      </c>
      <c r="E117" s="125" t="inlineStr">
        <is>
          <t>Expenses (USD)</t>
        </is>
      </c>
      <c r="F117" s="125" t="inlineStr">
        <is>
          <t>Net Profit</t>
        </is>
      </c>
      <c r="G117" s="125" t="inlineStr">
        <is>
          <t>Margin</t>
        </is>
      </c>
      <c r="H117" s="125" t="inlineStr">
        <is>
          <t>Sales %</t>
        </is>
      </c>
    </row>
    <row r="118" ht="19.5" customHeight="1" s="104">
      <c r="B118" s="157" t="n">
        <v>46022</v>
      </c>
      <c r="C118" s="143" t="inlineStr">
        <is>
          <t>Amazon US</t>
        </is>
      </c>
      <c r="D118" s="127">
        <f>SUMIFS('Sales Data'!$E$6:$E$10000,'Sales Data'!$B$6:$B$10000,"Amazon US",'Sales Data'!$BC$6:$BC$10000,"Dec",'Sales Data'!$BD$6:$BD$10000,2025)</f>
        <v/>
      </c>
      <c r="E118" s="127">
        <f>SUMIFS('Main Expenses'!$E$6:$E$10000,'Main Expenses'!$B$6:$B$10000,"Amazon US",'Main Expenses'!$K$6:$K$10000,"Dec",'Main Expenses'!$L$6:$L$10000,2025)</f>
        <v/>
      </c>
      <c r="F118" s="127">
        <f>D118+E118</f>
        <v/>
      </c>
      <c r="G118" s="128">
        <f>IFERROR(F118/D118,0)</f>
        <v/>
      </c>
      <c r="H118" s="128">
        <f>IFERROR(D118/SUMIFS('Sales Data'!$E$6:$E$10000,'Sales Data'!$BC$6:$BC$10000,"Dec",'Sales Data'!$BD$6:$BD$10000,2025),0)</f>
        <v/>
      </c>
    </row>
    <row r="119" ht="19.5" customHeight="1" s="104">
      <c r="B119" s="158" t="n"/>
      <c r="C119" s="151" t="inlineStr">
        <is>
          <t>Amazon CA</t>
        </is>
      </c>
      <c r="D119" s="130">
        <f>SUMIFS('Sales Data'!$E$6:$E$10000,'Sales Data'!$B$6:$B$10000,"Amazon CA",'Sales Data'!$BC$6:$BC$10000,"Dec",'Sales Data'!$BD$6:$BD$10000,2025)</f>
        <v/>
      </c>
      <c r="E119" s="130">
        <f>SUMIFS('Main Expenses'!$E$6:$E$10000,'Main Expenses'!$B$6:$B$10000,"Amazon CA",'Main Expenses'!$K$6:$K$10000,"Dec",'Main Expenses'!$L$6:$L$10000,2025)</f>
        <v/>
      </c>
      <c r="F119" s="130">
        <f>D119+E119</f>
        <v/>
      </c>
      <c r="G119" s="131">
        <f>IFERROR(F119/D119,0)</f>
        <v/>
      </c>
      <c r="H119" s="131">
        <f>IFERROR(D119/SUMIFS('Sales Data'!$E$6:$E$10000,'Sales Data'!$BC$6:$BC$10000,"Dec",'Sales Data'!$BD$6:$BD$10000,2025),0)</f>
        <v/>
      </c>
    </row>
    <row r="120" ht="19.5" customHeight="1" s="104">
      <c r="B120" s="159" t="n"/>
      <c r="C120" s="143" t="inlineStr">
        <is>
          <t>Amazon UK</t>
        </is>
      </c>
      <c r="D120" s="127">
        <f>SUMIFS('Sales Data'!$E$6:$E$10000,'Sales Data'!$B$6:$B$10000,"Amazon UK",'Sales Data'!$BC$6:$BC$10000,"Dec",'Sales Data'!$BD$6:$BD$10000,2025)</f>
        <v/>
      </c>
      <c r="E120" s="127">
        <f>SUMIFS('Main Expenses'!$E$6:$E$10000,'Main Expenses'!$B$6:$B$10000,"Amazon UK",'Main Expenses'!$K$6:$K$10000,"Dec",'Main Expenses'!$L$6:$L$10000,2025)</f>
        <v/>
      </c>
      <c r="F120" s="127">
        <f>D120+E120</f>
        <v/>
      </c>
      <c r="G120" s="128">
        <f>IFERROR(F120/D120,0)</f>
        <v/>
      </c>
      <c r="H120" s="128">
        <f>IFERROR(D120/SUMIFS('Sales Data'!$E$6:$E$10000,'Sales Data'!$BC$6:$BC$10000,"Dec",'Sales Data'!$BD$6:$BD$10000,2025),0)</f>
        <v/>
      </c>
    </row>
    <row r="121" ht="19.5" customHeight="1" s="104">
      <c r="B121" s="158" t="n"/>
      <c r="C121" s="151" t="inlineStr">
        <is>
          <t>TikTok Shop</t>
        </is>
      </c>
      <c r="D121" s="130">
        <f>SUMIFS('Sales Data'!$E$6:$E$10000,'Sales Data'!$B$6:$B$10000,"Tiktok",'Sales Data'!$BC$6:$BC$10000,"Dec",'Sales Data'!$BD$6:$BD$10000,2025)</f>
        <v/>
      </c>
      <c r="E121" s="130">
        <f>SUMIFS('Main Expenses'!$E$6:$E$10000,'Main Expenses'!$B$6:$B$10000,"Tiktok",'Main Expenses'!$K$6:$K$10000,"Dec",'Main Expenses'!$L$6:$L$10000,2025)</f>
        <v/>
      </c>
      <c r="F121" s="130">
        <f>D121+E121</f>
        <v/>
      </c>
      <c r="G121" s="131">
        <f>IFERROR(F121/D121,0)</f>
        <v/>
      </c>
      <c r="H121" s="131">
        <f>IFERROR(D121/SUMIFS('Sales Data'!$E$6:$E$10000,'Sales Data'!$BC$6:$BC$10000,"Dec",'Sales Data'!$BD$6:$BD$10000,2025),0)</f>
        <v/>
      </c>
    </row>
    <row r="122" ht="19.5" customHeight="1" s="104">
      <c r="B122" s="159" t="n"/>
      <c r="C122" s="143" t="inlineStr">
        <is>
          <t>Shopify &amp; Faire</t>
        </is>
      </c>
      <c r="D122" s="127">
        <f>SUMIFS('Sales Data'!$E$6:$E$10000,'Sales Data'!$B$6:$B$10000,"Shopify",'Sales Data'!$BC$6:$BC$10000,"Dec",'Sales Data'!$BD$6:$BD$10000,2025)</f>
        <v/>
      </c>
      <c r="E122" s="127">
        <f>SUMIFS('Main Expenses'!$E$6:$E$10000,'Main Expenses'!$B$6:$B$10000,"Shopify",'Main Expenses'!$K$6:$K$10000,"Dec",'Main Expenses'!$L$6:$L$10000,2025)</f>
        <v/>
      </c>
      <c r="F122" s="127">
        <f>D122+E122</f>
        <v/>
      </c>
      <c r="G122" s="128">
        <f>IFERROR(F122/D122,0)</f>
        <v/>
      </c>
      <c r="H122" s="128">
        <f>IFERROR(D122/SUMIFS('Sales Data'!$E$6:$E$10000,'Sales Data'!$BC$6:$BC$10000,"Dec",'Sales Data'!$BD$6:$BD$10000,2025),0)</f>
        <v/>
      </c>
    </row>
    <row r="123" ht="19.5" customHeight="1" s="104">
      <c r="B123" s="158" t="n"/>
      <c r="C123" s="151" t="inlineStr">
        <is>
          <t>Walmart</t>
        </is>
      </c>
      <c r="D123" s="130">
        <f>SUMIFS('Sales Data'!$E$6:$E$10000,'Sales Data'!$B$6:$B$10000,"Walmart",'Sales Data'!$BC$6:$BC$10000,"Dec",'Sales Data'!$BD$6:$BD$10000,2025)</f>
        <v/>
      </c>
      <c r="E123" s="130">
        <f>SUMIFS('Main Expenses'!$E$6:$E$10000,'Main Expenses'!$B$6:$B$10000,"Walmart",'Main Expenses'!$K$6:$K$10000,"Dec",'Main Expenses'!$L$6:$L$10000,2025)</f>
        <v/>
      </c>
      <c r="F123" s="130">
        <f>D123+E123</f>
        <v/>
      </c>
      <c r="G123" s="131">
        <f>IFERROR(F123/D123,0)</f>
        <v/>
      </c>
      <c r="H123" s="131">
        <f>IFERROR(D123/SUMIFS('Sales Data'!$E$6:$E$10000,'Sales Data'!$BC$6:$BC$10000,"Dec",'Sales Data'!$BD$6:$BD$10000,2025),0)</f>
        <v/>
      </c>
    </row>
    <row r="124" ht="21.75" customHeight="1" s="104">
      <c r="B124" s="160" t="inlineStr">
        <is>
          <t>TOTAL:</t>
        </is>
      </c>
      <c r="C124" s="161" t="n"/>
      <c r="D124" s="162">
        <f>SUM(D118:D123)</f>
        <v/>
      </c>
      <c r="E124" s="162">
        <f>SUM(E118:E123)</f>
        <v/>
      </c>
      <c r="F124" s="162">
        <f>SUM(F118:F123)</f>
        <v/>
      </c>
      <c r="G124" s="163">
        <f>IFERROR(F124/D124,0)</f>
        <v/>
      </c>
      <c r="H124" s="163" t="n">
        <v>1</v>
      </c>
    </row>
    <row r="126" ht="24" customHeight="1" s="104">
      <c r="B126" s="155" t="inlineStr">
        <is>
          <t>JAN 2026</t>
        </is>
      </c>
      <c r="C126" s="156" t="n"/>
      <c r="D126" s="156" t="n"/>
      <c r="E126" s="156" t="n"/>
      <c r="F126" s="156" t="n"/>
      <c r="G126" s="156" t="n"/>
      <c r="H126" s="156" t="n"/>
    </row>
    <row r="127" ht="19.5" customHeight="1" s="104">
      <c r="B127" s="125" t="inlineStr">
        <is>
          <t>Date</t>
        </is>
      </c>
      <c r="C127" s="125" t="inlineStr">
        <is>
          <t>Marketplace</t>
        </is>
      </c>
      <c r="D127" s="125" t="inlineStr">
        <is>
          <t>Sales (USD)</t>
        </is>
      </c>
      <c r="E127" s="125" t="inlineStr">
        <is>
          <t>Expenses (USD)</t>
        </is>
      </c>
      <c r="F127" s="125" t="inlineStr">
        <is>
          <t>Net Profit</t>
        </is>
      </c>
      <c r="G127" s="125" t="inlineStr">
        <is>
          <t>Margin</t>
        </is>
      </c>
      <c r="H127" s="125" t="inlineStr">
        <is>
          <t>Sales %</t>
        </is>
      </c>
    </row>
    <row r="128" ht="19.5" customHeight="1" s="104">
      <c r="B128" s="157" t="n">
        <v>46053</v>
      </c>
      <c r="C128" s="143" t="inlineStr">
        <is>
          <t>Amazon US</t>
        </is>
      </c>
      <c r="D128" s="127">
        <f>SUMIFS('Sales Data'!$E$6:$E$10000,'Sales Data'!$B$6:$B$10000,"Amazon US",'Sales Data'!$BC$6:$BC$10000,"Jan",'Sales Data'!$BD$6:$BD$10000,2026)</f>
        <v/>
      </c>
      <c r="E128" s="127">
        <f>SUMIFS('Main Expenses'!$E$6:$E$10000,'Main Expenses'!$B$6:$B$10000,"Amazon US",'Main Expenses'!$K$6:$K$10000,"Jan",'Main Expenses'!$L$6:$L$10000,2026)</f>
        <v/>
      </c>
      <c r="F128" s="127">
        <f>D128+E128</f>
        <v/>
      </c>
      <c r="G128" s="128">
        <f>IFERROR(F128/D128,0)</f>
        <v/>
      </c>
      <c r="H128" s="128">
        <f>IFERROR(D128/SUMIFS('Sales Data'!$E$6:$E$10000,'Sales Data'!$BC$6:$BC$10000,"Jan",'Sales Data'!$BD$6:$BD$10000,2026),0)</f>
        <v/>
      </c>
    </row>
    <row r="129" ht="19.5" customHeight="1" s="104">
      <c r="B129" s="158" t="n"/>
      <c r="C129" s="151" t="inlineStr">
        <is>
          <t>Amazon CA</t>
        </is>
      </c>
      <c r="D129" s="130">
        <f>SUMIFS('Sales Data'!$E$6:$E$10000,'Sales Data'!$B$6:$B$10000,"Amazon CA",'Sales Data'!$BC$6:$BC$10000,"Jan",'Sales Data'!$BD$6:$BD$10000,2026)</f>
        <v/>
      </c>
      <c r="E129" s="130">
        <f>SUMIFS('Main Expenses'!$E$6:$E$10000,'Main Expenses'!$B$6:$B$10000,"Amazon CA",'Main Expenses'!$K$6:$K$10000,"Jan",'Main Expenses'!$L$6:$L$10000,2026)</f>
        <v/>
      </c>
      <c r="F129" s="130">
        <f>D129+E129</f>
        <v/>
      </c>
      <c r="G129" s="131">
        <f>IFERROR(F129/D129,0)</f>
        <v/>
      </c>
      <c r="H129" s="131">
        <f>IFERROR(D129/SUMIFS('Sales Data'!$E$6:$E$10000,'Sales Data'!$BC$6:$BC$10000,"Jan",'Sales Data'!$BD$6:$BD$10000,2026),0)</f>
        <v/>
      </c>
    </row>
    <row r="130" ht="19.5" customHeight="1" s="104">
      <c r="B130" s="159" t="n"/>
      <c r="C130" s="143" t="inlineStr">
        <is>
          <t>Amazon UK</t>
        </is>
      </c>
      <c r="D130" s="127">
        <f>SUMIFS('Sales Data'!$E$6:$E$10000,'Sales Data'!$B$6:$B$10000,"Amazon UK",'Sales Data'!$BC$6:$BC$10000,"Jan",'Sales Data'!$BD$6:$BD$10000,2026)</f>
        <v/>
      </c>
      <c r="E130" s="127">
        <f>SUMIFS('Main Expenses'!$E$6:$E$10000,'Main Expenses'!$B$6:$B$10000,"Amazon UK",'Main Expenses'!$K$6:$K$10000,"Jan",'Main Expenses'!$L$6:$L$10000,2026)</f>
        <v/>
      </c>
      <c r="F130" s="127">
        <f>D130+E130</f>
        <v/>
      </c>
      <c r="G130" s="128">
        <f>IFERROR(F130/D130,0)</f>
        <v/>
      </c>
      <c r="H130" s="128">
        <f>IFERROR(D130/SUMIFS('Sales Data'!$E$6:$E$10000,'Sales Data'!$BC$6:$BC$10000,"Jan",'Sales Data'!$BD$6:$BD$10000,2026),0)</f>
        <v/>
      </c>
    </row>
    <row r="131" ht="19.5" customHeight="1" s="104">
      <c r="B131" s="158" t="n"/>
      <c r="C131" s="151" t="inlineStr">
        <is>
          <t>TikTok Shop</t>
        </is>
      </c>
      <c r="D131" s="130">
        <f>SUMIFS('Sales Data'!$E$6:$E$10000,'Sales Data'!$B$6:$B$10000,"Tiktok",'Sales Data'!$BC$6:$BC$10000,"Jan",'Sales Data'!$BD$6:$BD$10000,2026)</f>
        <v/>
      </c>
      <c r="E131" s="130">
        <f>SUMIFS('Main Expenses'!$E$6:$E$10000,'Main Expenses'!$B$6:$B$10000,"Tiktok",'Main Expenses'!$K$6:$K$10000,"Jan",'Main Expenses'!$L$6:$L$10000,2026)</f>
        <v/>
      </c>
      <c r="F131" s="130">
        <f>D131+E131</f>
        <v/>
      </c>
      <c r="G131" s="131">
        <f>IFERROR(F131/D131,0)</f>
        <v/>
      </c>
      <c r="H131" s="131">
        <f>IFERROR(D131/SUMIFS('Sales Data'!$E$6:$E$10000,'Sales Data'!$BC$6:$BC$10000,"Jan",'Sales Data'!$BD$6:$BD$10000,2026),0)</f>
        <v/>
      </c>
    </row>
    <row r="132" ht="19.5" customHeight="1" s="104">
      <c r="B132" s="159" t="n"/>
      <c r="C132" s="143" t="inlineStr">
        <is>
          <t>Shopify &amp; Faire</t>
        </is>
      </c>
      <c r="D132" s="127">
        <f>SUMIFS('Sales Data'!$E$6:$E$10000,'Sales Data'!$B$6:$B$10000,"Shopify",'Sales Data'!$BC$6:$BC$10000,"Jan",'Sales Data'!$BD$6:$BD$10000,2026)</f>
        <v/>
      </c>
      <c r="E132" s="127">
        <f>SUMIFS('Main Expenses'!$E$6:$E$10000,'Main Expenses'!$B$6:$B$10000,"Shopify",'Main Expenses'!$K$6:$K$10000,"Jan",'Main Expenses'!$L$6:$L$10000,2026)</f>
        <v/>
      </c>
      <c r="F132" s="127">
        <f>D132+E132</f>
        <v/>
      </c>
      <c r="G132" s="128">
        <f>IFERROR(F132/D132,0)</f>
        <v/>
      </c>
      <c r="H132" s="128">
        <f>IFERROR(D132/SUMIFS('Sales Data'!$E$6:$E$10000,'Sales Data'!$BC$6:$BC$10000,"Jan",'Sales Data'!$BD$6:$BD$10000,2026),0)</f>
        <v/>
      </c>
    </row>
    <row r="133" ht="19.5" customHeight="1" s="104">
      <c r="B133" s="158" t="n"/>
      <c r="C133" s="151" t="inlineStr">
        <is>
          <t>Walmart</t>
        </is>
      </c>
      <c r="D133" s="130">
        <f>SUMIFS('Sales Data'!$E$6:$E$10000,'Sales Data'!$B$6:$B$10000,"Walmart",'Sales Data'!$BC$6:$BC$10000,"Jan",'Sales Data'!$BD$6:$BD$10000,2026)</f>
        <v/>
      </c>
      <c r="E133" s="130">
        <f>SUMIFS('Main Expenses'!$E$6:$E$10000,'Main Expenses'!$B$6:$B$10000,"Walmart",'Main Expenses'!$K$6:$K$10000,"Jan",'Main Expenses'!$L$6:$L$10000,2026)</f>
        <v/>
      </c>
      <c r="F133" s="130">
        <f>D133+E133</f>
        <v/>
      </c>
      <c r="G133" s="131">
        <f>IFERROR(F133/D133,0)</f>
        <v/>
      </c>
      <c r="H133" s="131">
        <f>IFERROR(D133/SUMIFS('Sales Data'!$E$6:$E$10000,'Sales Data'!$BC$6:$BC$10000,"Jan",'Sales Data'!$BD$6:$BD$10000,2026),0)</f>
        <v/>
      </c>
    </row>
    <row r="134" ht="21.75" customHeight="1" s="104">
      <c r="B134" s="160" t="inlineStr">
        <is>
          <t>TOTAL:</t>
        </is>
      </c>
      <c r="C134" s="161" t="n"/>
      <c r="D134" s="162">
        <f>SUM(D128:D133)</f>
        <v/>
      </c>
      <c r="E134" s="162">
        <f>SUM(E128:E133)</f>
        <v/>
      </c>
      <c r="F134" s="162">
        <f>SUM(F128:F133)</f>
        <v/>
      </c>
      <c r="G134" s="163">
        <f>IFERROR(F134/D134,0)</f>
        <v/>
      </c>
      <c r="H134" s="163" t="n">
        <v>1</v>
      </c>
    </row>
    <row r="136" ht="24" customHeight="1" s="104">
      <c r="B136" s="155" t="inlineStr">
        <is>
          <t>FEB 2026</t>
        </is>
      </c>
      <c r="C136" s="156" t="n"/>
      <c r="D136" s="156" t="n"/>
      <c r="E136" s="156" t="n"/>
      <c r="F136" s="156" t="n"/>
      <c r="G136" s="156" t="n"/>
      <c r="H136" s="156" t="n"/>
    </row>
    <row r="137" ht="19.5" customHeight="1" s="104">
      <c r="B137" s="125" t="inlineStr">
        <is>
          <t>Date</t>
        </is>
      </c>
      <c r="C137" s="125" t="inlineStr">
        <is>
          <t>Marketplace</t>
        </is>
      </c>
      <c r="D137" s="125" t="inlineStr">
        <is>
          <t>Sales (USD)</t>
        </is>
      </c>
      <c r="E137" s="125" t="inlineStr">
        <is>
          <t>Expenses (USD)</t>
        </is>
      </c>
      <c r="F137" s="125" t="inlineStr">
        <is>
          <t>Net Profit</t>
        </is>
      </c>
      <c r="G137" s="125" t="inlineStr">
        <is>
          <t>Margin</t>
        </is>
      </c>
      <c r="H137" s="125" t="inlineStr">
        <is>
          <t>Sales %</t>
        </is>
      </c>
    </row>
    <row r="138" ht="19.5" customHeight="1" s="104">
      <c r="B138" s="157" t="n">
        <v>46081</v>
      </c>
      <c r="C138" s="143" t="inlineStr">
        <is>
          <t>Amazon US</t>
        </is>
      </c>
      <c r="D138" s="127">
        <f>SUMIFS('Sales Data'!$E$6:$E$10000,'Sales Data'!$B$6:$B$10000,"Amazon US",'Sales Data'!$BC$6:$BC$10000,"Feb",'Sales Data'!$BD$6:$BD$10000,2026)</f>
        <v/>
      </c>
      <c r="E138" s="127">
        <f>SUMIFS('Main Expenses'!$E$6:$E$10000,'Main Expenses'!$B$6:$B$10000,"Amazon US",'Main Expenses'!$K$6:$K$10000,"Feb",'Main Expenses'!$L$6:$L$10000,2026)</f>
        <v/>
      </c>
      <c r="F138" s="127">
        <f>D138+E138</f>
        <v/>
      </c>
      <c r="G138" s="128">
        <f>IFERROR(F138/D138,0)</f>
        <v/>
      </c>
      <c r="H138" s="128">
        <f>IFERROR(D138/SUMIFS('Sales Data'!$E$6:$E$10000,'Sales Data'!$BC$6:$BC$10000,"Feb",'Sales Data'!$BD$6:$BD$10000,2026),0)</f>
        <v/>
      </c>
    </row>
    <row r="139" ht="19.5" customHeight="1" s="104">
      <c r="B139" s="158" t="n"/>
      <c r="C139" s="151" t="inlineStr">
        <is>
          <t>Amazon CA</t>
        </is>
      </c>
      <c r="D139" s="130">
        <f>SUMIFS('Sales Data'!$E$6:$E$10000,'Sales Data'!$B$6:$B$10000,"Amazon CA",'Sales Data'!$BC$6:$BC$10000,"Feb",'Sales Data'!$BD$6:$BD$10000,2026)</f>
        <v/>
      </c>
      <c r="E139" s="130">
        <f>SUMIFS('Main Expenses'!$E$6:$E$10000,'Main Expenses'!$B$6:$B$10000,"Amazon CA",'Main Expenses'!$K$6:$K$10000,"Feb",'Main Expenses'!$L$6:$L$10000,2026)</f>
        <v/>
      </c>
      <c r="F139" s="130">
        <f>D139+E139</f>
        <v/>
      </c>
      <c r="G139" s="131">
        <f>IFERROR(F139/D139,0)</f>
        <v/>
      </c>
      <c r="H139" s="131">
        <f>IFERROR(D139/SUMIFS('Sales Data'!$E$6:$E$10000,'Sales Data'!$BC$6:$BC$10000,"Feb",'Sales Data'!$BD$6:$BD$10000,2026),0)</f>
        <v/>
      </c>
    </row>
    <row r="140" ht="19.5" customHeight="1" s="104">
      <c r="B140" s="159" t="n"/>
      <c r="C140" s="143" t="inlineStr">
        <is>
          <t>Amazon UK</t>
        </is>
      </c>
      <c r="D140" s="127">
        <f>SUMIFS('Sales Data'!$E$6:$E$10000,'Sales Data'!$B$6:$B$10000,"Amazon UK",'Sales Data'!$BC$6:$BC$10000,"Feb",'Sales Data'!$BD$6:$BD$10000,2026)</f>
        <v/>
      </c>
      <c r="E140" s="127">
        <f>SUMIFS('Main Expenses'!$E$6:$E$10000,'Main Expenses'!$B$6:$B$10000,"Amazon UK",'Main Expenses'!$K$6:$K$10000,"Feb",'Main Expenses'!$L$6:$L$10000,2026)</f>
        <v/>
      </c>
      <c r="F140" s="127">
        <f>D140+E140</f>
        <v/>
      </c>
      <c r="G140" s="128">
        <f>IFERROR(F140/D140,0)</f>
        <v/>
      </c>
      <c r="H140" s="128">
        <f>IFERROR(D140/SUMIFS('Sales Data'!$E$6:$E$10000,'Sales Data'!$BC$6:$BC$10000,"Feb",'Sales Data'!$BD$6:$BD$10000,2026),0)</f>
        <v/>
      </c>
    </row>
    <row r="141" ht="19.5" customHeight="1" s="104">
      <c r="B141" s="158" t="n"/>
      <c r="C141" s="151" t="inlineStr">
        <is>
          <t>TikTok Shop</t>
        </is>
      </c>
      <c r="D141" s="130">
        <f>SUMIFS('Sales Data'!$E$6:$E$10000,'Sales Data'!$B$6:$B$10000,"Tiktok",'Sales Data'!$BC$6:$BC$10000,"Feb",'Sales Data'!$BD$6:$BD$10000,2026)</f>
        <v/>
      </c>
      <c r="E141" s="130">
        <f>SUMIFS('Main Expenses'!$E$6:$E$10000,'Main Expenses'!$B$6:$B$10000,"Tiktok",'Main Expenses'!$K$6:$K$10000,"Feb",'Main Expenses'!$L$6:$L$10000,2026)</f>
        <v/>
      </c>
      <c r="F141" s="130">
        <f>D141+E141</f>
        <v/>
      </c>
      <c r="G141" s="131">
        <f>IFERROR(F141/D141,0)</f>
        <v/>
      </c>
      <c r="H141" s="131">
        <f>IFERROR(D141/SUMIFS('Sales Data'!$E$6:$E$10000,'Sales Data'!$BC$6:$BC$10000,"Feb",'Sales Data'!$BD$6:$BD$10000,2026),0)</f>
        <v/>
      </c>
    </row>
    <row r="142" ht="19.5" customHeight="1" s="104">
      <c r="B142" s="159" t="n"/>
      <c r="C142" s="143" t="inlineStr">
        <is>
          <t>Shopify &amp; Faire</t>
        </is>
      </c>
      <c r="D142" s="127">
        <f>SUMIFS('Sales Data'!$E$6:$E$10000,'Sales Data'!$B$6:$B$10000,"Shopify",'Sales Data'!$BC$6:$BC$10000,"Feb",'Sales Data'!$BD$6:$BD$10000,2026)</f>
        <v/>
      </c>
      <c r="E142" s="127">
        <f>SUMIFS('Main Expenses'!$E$6:$E$10000,'Main Expenses'!$B$6:$B$10000,"Shopify",'Main Expenses'!$K$6:$K$10000,"Feb",'Main Expenses'!$L$6:$L$10000,2026)</f>
        <v/>
      </c>
      <c r="F142" s="127">
        <f>D142+E142</f>
        <v/>
      </c>
      <c r="G142" s="128">
        <f>IFERROR(F142/D142,0)</f>
        <v/>
      </c>
      <c r="H142" s="128">
        <f>IFERROR(D142/SUMIFS('Sales Data'!$E$6:$E$10000,'Sales Data'!$BC$6:$BC$10000,"Feb",'Sales Data'!$BD$6:$BD$10000,2026),0)</f>
        <v/>
      </c>
    </row>
    <row r="143" ht="19.5" customHeight="1" s="104">
      <c r="B143" s="158" t="n"/>
      <c r="C143" s="151" t="inlineStr">
        <is>
          <t>Walmart</t>
        </is>
      </c>
      <c r="D143" s="130">
        <f>SUMIFS('Sales Data'!$E$6:$E$10000,'Sales Data'!$B$6:$B$10000,"Walmart",'Sales Data'!$BC$6:$BC$10000,"Feb",'Sales Data'!$BD$6:$BD$10000,2026)</f>
        <v/>
      </c>
      <c r="E143" s="130">
        <f>SUMIFS('Main Expenses'!$E$6:$E$10000,'Main Expenses'!$B$6:$B$10000,"Walmart",'Main Expenses'!$K$6:$K$10000,"Feb",'Main Expenses'!$L$6:$L$10000,2026)</f>
        <v/>
      </c>
      <c r="F143" s="130">
        <f>D143+E143</f>
        <v/>
      </c>
      <c r="G143" s="131">
        <f>IFERROR(F143/D143,0)</f>
        <v/>
      </c>
      <c r="H143" s="131">
        <f>IFERROR(D143/SUMIFS('Sales Data'!$E$6:$E$10000,'Sales Data'!$BC$6:$BC$10000,"Feb",'Sales Data'!$BD$6:$BD$10000,2026),0)</f>
        <v/>
      </c>
    </row>
    <row r="144" ht="21.75" customHeight="1" s="104">
      <c r="B144" s="160" t="inlineStr">
        <is>
          <t>TOTAL:</t>
        </is>
      </c>
      <c r="C144" s="161" t="n"/>
      <c r="D144" s="162">
        <f>SUM(D138:D143)</f>
        <v/>
      </c>
      <c r="E144" s="162">
        <f>SUM(E138:E143)</f>
        <v/>
      </c>
      <c r="F144" s="162">
        <f>SUM(F138:F143)</f>
        <v/>
      </c>
      <c r="G144" s="163">
        <f>IFERROR(F144/D144,0)</f>
        <v/>
      </c>
      <c r="H144" s="163" t="n">
        <v>1</v>
      </c>
    </row>
    <row r="146" ht="24" customHeight="1" s="104">
      <c r="B146" s="155" t="inlineStr">
        <is>
          <t>MAR 2026</t>
        </is>
      </c>
      <c r="C146" s="156" t="n"/>
      <c r="D146" s="156" t="n"/>
      <c r="E146" s="156" t="n"/>
      <c r="F146" s="156" t="n"/>
      <c r="G146" s="156" t="n"/>
      <c r="H146" s="156" t="n"/>
    </row>
    <row r="147" ht="19.5" customHeight="1" s="104">
      <c r="B147" s="125" t="inlineStr">
        <is>
          <t>Date</t>
        </is>
      </c>
      <c r="C147" s="125" t="inlineStr">
        <is>
          <t>Marketplace</t>
        </is>
      </c>
      <c r="D147" s="125" t="inlineStr">
        <is>
          <t>Sales (USD)</t>
        </is>
      </c>
      <c r="E147" s="125" t="inlineStr">
        <is>
          <t>Expenses (USD)</t>
        </is>
      </c>
      <c r="F147" s="125" t="inlineStr">
        <is>
          <t>Net Profit</t>
        </is>
      </c>
      <c r="G147" s="125" t="inlineStr">
        <is>
          <t>Margin</t>
        </is>
      </c>
      <c r="H147" s="125" t="inlineStr">
        <is>
          <t>Sales %</t>
        </is>
      </c>
    </row>
    <row r="148" ht="19.5" customHeight="1" s="104">
      <c r="B148" s="157" t="n">
        <v>46112</v>
      </c>
      <c r="C148" s="143" t="inlineStr">
        <is>
          <t>Amazon US</t>
        </is>
      </c>
      <c r="D148" s="127">
        <f>SUMIFS('Sales Data'!$E$6:$E$10000,'Sales Data'!$B$6:$B$10000,"Amazon US",'Sales Data'!$BC$6:$BC$10000,"Mar",'Sales Data'!$BD$6:$BD$10000,2026)</f>
        <v/>
      </c>
      <c r="E148" s="127">
        <f>SUMIFS('Main Expenses'!$E$6:$E$10000,'Main Expenses'!$B$6:$B$10000,"Amazon US",'Main Expenses'!$K$6:$K$10000,"Mar",'Main Expenses'!$L$6:$L$10000,2026)</f>
        <v/>
      </c>
      <c r="F148" s="127">
        <f>D148+E148</f>
        <v/>
      </c>
      <c r="G148" s="128">
        <f>IFERROR(F148/D148,0)</f>
        <v/>
      </c>
      <c r="H148" s="128">
        <f>IFERROR(D148/SUMIFS('Sales Data'!$E$6:$E$10000,'Sales Data'!$BC$6:$BC$10000,"Mar",'Sales Data'!$BD$6:$BD$10000,2026),0)</f>
        <v/>
      </c>
    </row>
    <row r="149" ht="19.5" customHeight="1" s="104">
      <c r="B149" s="158" t="n"/>
      <c r="C149" s="151" t="inlineStr">
        <is>
          <t>Amazon CA</t>
        </is>
      </c>
      <c r="D149" s="130">
        <f>SUMIFS('Sales Data'!$E$6:$E$10000,'Sales Data'!$B$6:$B$10000,"Amazon CA",'Sales Data'!$BC$6:$BC$10000,"Mar",'Sales Data'!$BD$6:$BD$10000,2026)</f>
        <v/>
      </c>
      <c r="E149" s="130">
        <f>SUMIFS('Main Expenses'!$E$6:$E$10000,'Main Expenses'!$B$6:$B$10000,"Amazon CA",'Main Expenses'!$K$6:$K$10000,"Mar",'Main Expenses'!$L$6:$L$10000,2026)</f>
        <v/>
      </c>
      <c r="F149" s="130">
        <f>D149+E149</f>
        <v/>
      </c>
      <c r="G149" s="131">
        <f>IFERROR(F149/D149,0)</f>
        <v/>
      </c>
      <c r="H149" s="131">
        <f>IFERROR(D149/SUMIFS('Sales Data'!$E$6:$E$10000,'Sales Data'!$BC$6:$BC$10000,"Mar",'Sales Data'!$BD$6:$BD$10000,2026),0)</f>
        <v/>
      </c>
    </row>
    <row r="150" ht="19.5" customHeight="1" s="104">
      <c r="B150" s="159" t="n"/>
      <c r="C150" s="143" t="inlineStr">
        <is>
          <t>Amazon UK</t>
        </is>
      </c>
      <c r="D150" s="127">
        <f>SUMIFS('Sales Data'!$E$6:$E$10000,'Sales Data'!$B$6:$B$10000,"Amazon UK",'Sales Data'!$BC$6:$BC$10000,"Mar",'Sales Data'!$BD$6:$BD$10000,2026)</f>
        <v/>
      </c>
      <c r="E150" s="127">
        <f>SUMIFS('Main Expenses'!$E$6:$E$10000,'Main Expenses'!$B$6:$B$10000,"Amazon UK",'Main Expenses'!$K$6:$K$10000,"Mar",'Main Expenses'!$L$6:$L$10000,2026)</f>
        <v/>
      </c>
      <c r="F150" s="127">
        <f>D150+E150</f>
        <v/>
      </c>
      <c r="G150" s="128">
        <f>IFERROR(F150/D150,0)</f>
        <v/>
      </c>
      <c r="H150" s="128">
        <f>IFERROR(D150/SUMIFS('Sales Data'!$E$6:$E$10000,'Sales Data'!$BC$6:$BC$10000,"Mar",'Sales Data'!$BD$6:$BD$10000,2026),0)</f>
        <v/>
      </c>
    </row>
    <row r="151" ht="19.5" customHeight="1" s="104">
      <c r="B151" s="158" t="n"/>
      <c r="C151" s="151" t="inlineStr">
        <is>
          <t>TikTok Shop</t>
        </is>
      </c>
      <c r="D151" s="130">
        <f>SUMIFS('Sales Data'!$E$6:$E$10000,'Sales Data'!$B$6:$B$10000,"Tiktok",'Sales Data'!$BC$6:$BC$10000,"Mar",'Sales Data'!$BD$6:$BD$10000,2026)</f>
        <v/>
      </c>
      <c r="E151" s="130">
        <f>SUMIFS('Main Expenses'!$E$6:$E$10000,'Main Expenses'!$B$6:$B$10000,"Tiktok",'Main Expenses'!$K$6:$K$10000,"Mar",'Main Expenses'!$L$6:$L$10000,2026)</f>
        <v/>
      </c>
      <c r="F151" s="130">
        <f>D151+E151</f>
        <v/>
      </c>
      <c r="G151" s="131">
        <f>IFERROR(F151/D151,0)</f>
        <v/>
      </c>
      <c r="H151" s="131">
        <f>IFERROR(D151/SUMIFS('Sales Data'!$E$6:$E$10000,'Sales Data'!$BC$6:$BC$10000,"Mar",'Sales Data'!$BD$6:$BD$10000,2026),0)</f>
        <v/>
      </c>
    </row>
    <row r="152" ht="19.5" customHeight="1" s="104">
      <c r="B152" s="159" t="n"/>
      <c r="C152" s="143" t="inlineStr">
        <is>
          <t>Shopify &amp; Faire</t>
        </is>
      </c>
      <c r="D152" s="127">
        <f>SUMIFS('Sales Data'!$E$6:$E$10000,'Sales Data'!$B$6:$B$10000,"Shopify",'Sales Data'!$BC$6:$BC$10000,"Mar",'Sales Data'!$BD$6:$BD$10000,2026)</f>
        <v/>
      </c>
      <c r="E152" s="127">
        <f>SUMIFS('Main Expenses'!$E$6:$E$10000,'Main Expenses'!$B$6:$B$10000,"Shopify",'Main Expenses'!$K$6:$K$10000,"Mar",'Main Expenses'!$L$6:$L$10000,2026)</f>
        <v/>
      </c>
      <c r="F152" s="127">
        <f>D152+E152</f>
        <v/>
      </c>
      <c r="G152" s="128">
        <f>IFERROR(F152/D152,0)</f>
        <v/>
      </c>
      <c r="H152" s="128">
        <f>IFERROR(D152/SUMIFS('Sales Data'!$E$6:$E$10000,'Sales Data'!$BC$6:$BC$10000,"Mar",'Sales Data'!$BD$6:$BD$10000,2026),0)</f>
        <v/>
      </c>
    </row>
    <row r="153" ht="19.5" customHeight="1" s="104">
      <c r="B153" s="158" t="n"/>
      <c r="C153" s="151" t="inlineStr">
        <is>
          <t>Walmart</t>
        </is>
      </c>
      <c r="D153" s="130">
        <f>SUMIFS('Sales Data'!$E$6:$E$10000,'Sales Data'!$B$6:$B$10000,"Walmart",'Sales Data'!$BC$6:$BC$10000,"Mar",'Sales Data'!$BD$6:$BD$10000,2026)</f>
        <v/>
      </c>
      <c r="E153" s="130">
        <f>SUMIFS('Main Expenses'!$E$6:$E$10000,'Main Expenses'!$B$6:$B$10000,"Walmart",'Main Expenses'!$K$6:$K$10000,"Mar",'Main Expenses'!$L$6:$L$10000,2026)</f>
        <v/>
      </c>
      <c r="F153" s="130">
        <f>D153+E153</f>
        <v/>
      </c>
      <c r="G153" s="131">
        <f>IFERROR(F153/D153,0)</f>
        <v/>
      </c>
      <c r="H153" s="131">
        <f>IFERROR(D153/SUMIFS('Sales Data'!$E$6:$E$10000,'Sales Data'!$BC$6:$BC$10000,"Mar",'Sales Data'!$BD$6:$BD$10000,2026),0)</f>
        <v/>
      </c>
    </row>
    <row r="154" ht="21.75" customHeight="1" s="104">
      <c r="B154" s="160" t="inlineStr">
        <is>
          <t>TOTAL:</t>
        </is>
      </c>
      <c r="C154" s="161" t="n"/>
      <c r="D154" s="162">
        <f>SUM(D148:D153)</f>
        <v/>
      </c>
      <c r="E154" s="162">
        <f>SUM(E148:E153)</f>
        <v/>
      </c>
      <c r="F154" s="162">
        <f>SUM(F148:F153)</f>
        <v/>
      </c>
      <c r="G154" s="163">
        <f>IFERROR(F154/D154,0)</f>
        <v/>
      </c>
      <c r="H154" s="163" t="n">
        <v>1</v>
      </c>
    </row>
  </sheetData>
  <mergeCells count="2">
    <mergeCell ref="B3:H3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B2:R8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1"/>
  <cols>
    <col width="2" customWidth="1" style="103" min="1" max="1"/>
    <col width="32" customWidth="1" style="103" min="2" max="2"/>
    <col width="18" customWidth="1" style="103" min="3" max="6"/>
    <col width="12" customWidth="1" style="103" min="7" max="18"/>
    <col width="14" customWidth="1" style="103" min="19" max="19"/>
    <col width="2" customWidth="1" style="103" min="20" max="20"/>
  </cols>
  <sheetData>
    <row r="2" ht="33.75" customHeight="1" s="104">
      <c r="B2" s="121" t="inlineStr">
        <is>
          <t>AMAZON DASHBOARD</t>
        </is>
      </c>
    </row>
    <row r="3" ht="15" customHeight="1" s="104">
      <c r="B3" s="107" t="inlineStr">
        <is>
          <t>Click the + symbol on the left margin to expand sub-categories · all KPIs update live via SUMIFS formulas.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</row>
    <row r="6" ht="21.75" customHeight="1" s="104">
      <c r="B6" s="122" t="inlineStr">
        <is>
          <t>MONTH</t>
        </is>
      </c>
      <c r="C6" s="122" t="inlineStr">
        <is>
          <t>YEAR</t>
        </is>
      </c>
      <c r="D6" s="122" t="inlineStr">
        <is>
          <t>MARKETPLACE</t>
        </is>
      </c>
      <c r="E6" s="122" t="inlineStr">
        <is>
          <t>CATEGORY</t>
        </is>
      </c>
    </row>
    <row r="7" ht="27.75" customHeight="1" s="104">
      <c r="B7" s="123" t="inlineStr">
        <is>
          <t>Mar</t>
        </is>
      </c>
      <c r="C7" s="123" t="n">
        <v>2026</v>
      </c>
      <c r="D7" s="123" t="inlineStr">
        <is>
          <t>Amazon US</t>
        </is>
      </c>
      <c r="E7" s="123" t="inlineStr">
        <is>
          <t>All Categories</t>
        </is>
      </c>
    </row>
    <row r="9" ht="15" customHeight="1" s="104">
      <c r="B9" s="164" t="inlineStr">
        <is>
          <t>KEY METRICS</t>
        </is>
      </c>
    </row>
    <row r="11" ht="21.75" customHeight="1" s="104">
      <c r="B11" s="114" t="inlineStr">
        <is>
          <t>SALES</t>
        </is>
      </c>
      <c r="C11" s="112" t="n"/>
      <c r="D11" s="165">
        <f>SUMIFS('Sales Data'!$E$6:$E$10000,'Sales Data'!$B$6:$B$10000,$D$7,'Sales Data'!$BC$6:$BC$10000,$B$7,'Sales Data'!$BD$6:$BD$10000,$C$7)</f>
        <v/>
      </c>
      <c r="E11" s="111" t="n"/>
      <c r="F11" s="112" t="n"/>
    </row>
    <row r="12" ht="21.75" customHeight="1" s="104">
      <c r="B12" s="117" t="inlineStr">
        <is>
          <t>EXPENSES</t>
        </is>
      </c>
      <c r="C12" s="112" t="n"/>
      <c r="D12" s="166">
        <f>SUMIFS('Main Expenses'!$E$6:$E$10000,'Main Expenses'!$B$6:$B$10000,$D$7,'Main Expenses'!$K$6:$K$10000,$B$7,'Main Expenses'!$L$6:$L$10000,$C$7)</f>
        <v/>
      </c>
      <c r="E12" s="111" t="n"/>
      <c r="F12" s="112" t="n"/>
    </row>
    <row r="13" ht="21.75" customHeight="1" s="104">
      <c r="B13" s="114" t="inlineStr">
        <is>
          <t>UNIT SALES</t>
        </is>
      </c>
      <c r="C13" s="112" t="n"/>
      <c r="D13" s="167">
        <f>SUMIFS('Sales Data'!$G$6:$G$10000,'Sales Data'!$B$6:$B$10000,$D$7,'Sales Data'!$BC$6:$BC$10000,$B$7,'Sales Data'!$BD$6:$BD$10000,$C$7)</f>
        <v/>
      </c>
      <c r="E13" s="111" t="n"/>
      <c r="F13" s="112" t="n"/>
    </row>
    <row r="14" ht="21.75" customHeight="1" s="104">
      <c r="B14" s="117" t="inlineStr">
        <is>
          <t>VAT</t>
        </is>
      </c>
      <c r="C14" s="112" t="n"/>
      <c r="D14" s="166">
        <f>SUMIFS('Sales Data'!$J$6:$J$10000,'Sales Data'!$B$6:$B$10000,$D$7,'Sales Data'!$BC$6:$BC$10000,$B$7,'Sales Data'!$BD$6:$BD$10000,$C$7)</f>
        <v/>
      </c>
      <c r="E14" s="111" t="n"/>
      <c r="F14" s="112" t="n"/>
    </row>
    <row r="15" ht="21.75" customHeight="1" s="104">
      <c r="B15" s="114" t="inlineStr">
        <is>
          <t>NET PROFIT</t>
        </is>
      </c>
      <c r="C15" s="112" t="n"/>
      <c r="D15" s="165">
        <f>SUMIFS('Sales Data'!$L$6:$L$10000,'Sales Data'!$B$6:$B$10000,$D$7,'Sales Data'!$BC$6:$BC$10000,$B$7,'Sales Data'!$BD$6:$BD$10000,$C$7)</f>
        <v/>
      </c>
      <c r="E15" s="111" t="n"/>
      <c r="F15" s="112" t="n"/>
    </row>
    <row r="16" ht="21.75" customHeight="1" s="104">
      <c r="B16" s="117" t="inlineStr">
        <is>
          <t>TACOS</t>
        </is>
      </c>
      <c r="C16" s="112" t="n"/>
      <c r="D16" s="168">
        <f>SUMIFS('Sales Data'!$M$6:$M$10000,'Sales Data'!$B$6:$B$10000,$D$7,'Sales Data'!$BC$6:$BC$10000,$B$7,'Sales Data'!$BD$6:$BD$10000,$C$7)</f>
        <v/>
      </c>
      <c r="E16" s="111" t="n"/>
      <c r="F16" s="112" t="n"/>
    </row>
    <row r="17" ht="21.75" customHeight="1" s="104">
      <c r="B17" s="114" t="inlineStr">
        <is>
          <t>% REFUNDS</t>
        </is>
      </c>
      <c r="C17" s="112" t="n"/>
      <c r="D17" s="169">
        <f>SUMIFS('Sales Data'!$N$6:$N$10000,'Sales Data'!$B$6:$B$10000,$D$7,'Sales Data'!$BC$6:$BC$10000,$B$7,'Sales Data'!$BD$6:$BD$10000,$C$7)</f>
        <v/>
      </c>
      <c r="E17" s="111" t="n"/>
      <c r="F17" s="112" t="n"/>
    </row>
    <row r="18" ht="21.75" customHeight="1" s="104">
      <c r="B18" s="117" t="inlineStr">
        <is>
          <t>SELLABLE RETURNS %</t>
        </is>
      </c>
      <c r="C18" s="112" t="n"/>
      <c r="D18" s="168">
        <f>SUMIFS('Sales Data'!$O$6:$O$10000,'Sales Data'!$B$6:$B$10000,$D$7,'Sales Data'!$BC$6:$BC$10000,$B$7,'Sales Data'!$BD$6:$BD$10000,$C$7)</f>
        <v/>
      </c>
      <c r="E18" s="111" t="n"/>
      <c r="F18" s="112" t="n"/>
    </row>
    <row r="19" ht="21.75" customHeight="1" s="104">
      <c r="B19" s="114" t="inlineStr">
        <is>
          <t>MARGIN</t>
        </is>
      </c>
      <c r="C19" s="112" t="n"/>
      <c r="D19" s="169">
        <f>SUMIFS('Sales Data'!$P$6:$P$10000,'Sales Data'!$B$6:$B$10000,$D$7,'Sales Data'!$BC$6:$BC$10000,$B$7,'Sales Data'!$BD$6:$BD$10000,$C$7)</f>
        <v/>
      </c>
      <c r="E19" s="111" t="n"/>
      <c r="F19" s="112" t="n"/>
    </row>
    <row r="20" ht="21.75" customHeight="1" s="104">
      <c r="B20" s="117" t="inlineStr">
        <is>
          <t>ROI</t>
        </is>
      </c>
      <c r="C20" s="112" t="n"/>
      <c r="D20" s="168">
        <f>SUMIFS('Sales Data'!$Q$6:$Q$10000,'Sales Data'!$B$6:$B$10000,$D$7,'Sales Data'!$BC$6:$BC$10000,$B$7,'Sales Data'!$BD$6:$BD$10000,$C$7)</f>
        <v/>
      </c>
      <c r="E20" s="111" t="n"/>
      <c r="F20" s="112" t="n"/>
    </row>
    <row r="23" ht="25.5" customHeight="1" s="104">
      <c r="B23" s="164" t="inlineStr">
        <is>
          <t>MONTHLY TREND</t>
        </is>
      </c>
      <c r="I23" s="135" t="inlineStr">
        <is>
          <t>Trend Year:</t>
        </is>
      </c>
      <c r="J23" s="123" t="n">
        <v>2026</v>
      </c>
    </row>
    <row r="25" ht="21.75" customHeight="1" s="104">
      <c r="B25" s="136" t="inlineStr">
        <is>
          <t>METRIC</t>
        </is>
      </c>
      <c r="C25" s="125" t="inlineStr">
        <is>
          <t>Jan</t>
        </is>
      </c>
      <c r="D25" s="125" t="inlineStr">
        <is>
          <t>Feb</t>
        </is>
      </c>
      <c r="E25" s="125" t="inlineStr">
        <is>
          <t>Mar</t>
        </is>
      </c>
      <c r="F25" s="125" t="inlineStr">
        <is>
          <t>Apr</t>
        </is>
      </c>
      <c r="G25" s="125" t="inlineStr">
        <is>
          <t>May</t>
        </is>
      </c>
      <c r="H25" s="125" t="inlineStr">
        <is>
          <t>Jun</t>
        </is>
      </c>
      <c r="I25" s="125" t="inlineStr">
        <is>
          <t>Jul</t>
        </is>
      </c>
      <c r="J25" s="125" t="inlineStr">
        <is>
          <t>Aug</t>
        </is>
      </c>
      <c r="K25" s="125" t="inlineStr">
        <is>
          <t>Sep</t>
        </is>
      </c>
      <c r="L25" s="125" t="inlineStr">
        <is>
          <t>Oct</t>
        </is>
      </c>
      <c r="M25" s="125" t="inlineStr">
        <is>
          <t>Nov</t>
        </is>
      </c>
      <c r="N25" s="125" t="inlineStr">
        <is>
          <t>Dec</t>
        </is>
      </c>
      <c r="O25" s="137" t="inlineStr">
        <is>
          <t>YEAR TOTAL</t>
        </is>
      </c>
    </row>
    <row r="26" ht="19.5" customHeight="1" s="104">
      <c r="B26" s="170" t="inlineStr">
        <is>
          <t>Sales (USD)</t>
        </is>
      </c>
      <c r="C26" s="144">
        <f>SUMIFS('Sales Data'!$E$6:$E$10000,'Sales Data'!$B$6:$B$10000,$D$7,'Sales Data'!$BC$6:$BC$10000,"Jan",'Sales Data'!$BD$6:$BD$10000,$J$23)</f>
        <v/>
      </c>
      <c r="D26" s="144">
        <f>SUMIFS('Sales Data'!$E$6:$E$10000,'Sales Data'!$B$6:$B$10000,$D$7,'Sales Data'!$BC$6:$BC$10000,"Feb",'Sales Data'!$BD$6:$BD$10000,$J$23)</f>
        <v/>
      </c>
      <c r="E26" s="144">
        <f>SUMIFS('Sales Data'!$E$6:$E$10000,'Sales Data'!$B$6:$B$10000,$D$7,'Sales Data'!$BC$6:$BC$10000,"Mar",'Sales Data'!$BD$6:$BD$10000,$J$23)</f>
        <v/>
      </c>
      <c r="F26" s="144">
        <f>SUMIFS('Sales Data'!$E$6:$E$10000,'Sales Data'!$B$6:$B$10000,$D$7,'Sales Data'!$BC$6:$BC$10000,"Apr",'Sales Data'!$BD$6:$BD$10000,$J$23)</f>
        <v/>
      </c>
      <c r="G26" s="144">
        <f>SUMIFS('Sales Data'!$E$6:$E$10000,'Sales Data'!$B$6:$B$10000,$D$7,'Sales Data'!$BC$6:$BC$10000,"May",'Sales Data'!$BD$6:$BD$10000,$J$23)</f>
        <v/>
      </c>
      <c r="H26" s="144">
        <f>SUMIFS('Sales Data'!$E$6:$E$10000,'Sales Data'!$B$6:$B$10000,$D$7,'Sales Data'!$BC$6:$BC$10000,"Jun",'Sales Data'!$BD$6:$BD$10000,$J$23)</f>
        <v/>
      </c>
      <c r="I26" s="144">
        <f>SUMIFS('Sales Data'!$E$6:$E$10000,'Sales Data'!$B$6:$B$10000,$D$7,'Sales Data'!$BC$6:$BC$10000,"Jul",'Sales Data'!$BD$6:$BD$10000,$J$23)</f>
        <v/>
      </c>
      <c r="J26" s="144">
        <f>SUMIFS('Sales Data'!$E$6:$E$10000,'Sales Data'!$B$6:$B$10000,$D$7,'Sales Data'!$BC$6:$BC$10000,"Aug",'Sales Data'!$BD$6:$BD$10000,$J$23)</f>
        <v/>
      </c>
      <c r="K26" s="144">
        <f>SUMIFS('Sales Data'!$E$6:$E$10000,'Sales Data'!$B$6:$B$10000,$D$7,'Sales Data'!$BC$6:$BC$10000,"Sep",'Sales Data'!$BD$6:$BD$10000,$J$23)</f>
        <v/>
      </c>
      <c r="L26" s="144">
        <f>SUMIFS('Sales Data'!$E$6:$E$10000,'Sales Data'!$B$6:$B$10000,$D$7,'Sales Data'!$BC$6:$BC$10000,"Oct",'Sales Data'!$BD$6:$BD$10000,$J$23)</f>
        <v/>
      </c>
      <c r="M26" s="144">
        <f>SUMIFS('Sales Data'!$E$6:$E$10000,'Sales Data'!$B$6:$B$10000,$D$7,'Sales Data'!$BC$6:$BC$10000,"Nov",'Sales Data'!$BD$6:$BD$10000,$J$23)</f>
        <v/>
      </c>
      <c r="N26" s="144">
        <f>SUMIFS('Sales Data'!$E$6:$E$10000,'Sales Data'!$B$6:$B$10000,$D$7,'Sales Data'!$BC$6:$BC$10000,"Dec",'Sales Data'!$BD$6:$BD$10000,$J$23)</f>
        <v/>
      </c>
      <c r="O26" s="141">
        <f>SUM(C26:N26)</f>
        <v/>
      </c>
    </row>
    <row r="27" ht="19.5" customHeight="1" s="104">
      <c r="B27" s="149" t="inlineStr">
        <is>
          <t>Units</t>
        </is>
      </c>
      <c r="C27" s="171">
        <f>SUMIFS('Sales Data'!$G$6:$G$10000,'Sales Data'!$B$6:$B$10000,$D$7,'Sales Data'!$BC$6:$BC$10000,"Jan",'Sales Data'!$BD$6:$BD$10000,$J$23)</f>
        <v/>
      </c>
      <c r="D27" s="171">
        <f>SUMIFS('Sales Data'!$G$6:$G$10000,'Sales Data'!$B$6:$B$10000,$D$7,'Sales Data'!$BC$6:$BC$10000,"Feb",'Sales Data'!$BD$6:$BD$10000,$J$23)</f>
        <v/>
      </c>
      <c r="E27" s="171">
        <f>SUMIFS('Sales Data'!$G$6:$G$10000,'Sales Data'!$B$6:$B$10000,$D$7,'Sales Data'!$BC$6:$BC$10000,"Mar",'Sales Data'!$BD$6:$BD$10000,$J$23)</f>
        <v/>
      </c>
      <c r="F27" s="171">
        <f>SUMIFS('Sales Data'!$G$6:$G$10000,'Sales Data'!$B$6:$B$10000,$D$7,'Sales Data'!$BC$6:$BC$10000,"Apr",'Sales Data'!$BD$6:$BD$10000,$J$23)</f>
        <v/>
      </c>
      <c r="G27" s="171">
        <f>SUMIFS('Sales Data'!$G$6:$G$10000,'Sales Data'!$B$6:$B$10000,$D$7,'Sales Data'!$BC$6:$BC$10000,"May",'Sales Data'!$BD$6:$BD$10000,$J$23)</f>
        <v/>
      </c>
      <c r="H27" s="171">
        <f>SUMIFS('Sales Data'!$G$6:$G$10000,'Sales Data'!$B$6:$B$10000,$D$7,'Sales Data'!$BC$6:$BC$10000,"Jun",'Sales Data'!$BD$6:$BD$10000,$J$23)</f>
        <v/>
      </c>
      <c r="I27" s="171">
        <f>SUMIFS('Sales Data'!$G$6:$G$10000,'Sales Data'!$B$6:$B$10000,$D$7,'Sales Data'!$BC$6:$BC$10000,"Jul",'Sales Data'!$BD$6:$BD$10000,$J$23)</f>
        <v/>
      </c>
      <c r="J27" s="171">
        <f>SUMIFS('Sales Data'!$G$6:$G$10000,'Sales Data'!$B$6:$B$10000,$D$7,'Sales Data'!$BC$6:$BC$10000,"Aug",'Sales Data'!$BD$6:$BD$10000,$J$23)</f>
        <v/>
      </c>
      <c r="K27" s="171">
        <f>SUMIFS('Sales Data'!$G$6:$G$10000,'Sales Data'!$B$6:$B$10000,$D$7,'Sales Data'!$BC$6:$BC$10000,"Sep",'Sales Data'!$BD$6:$BD$10000,$J$23)</f>
        <v/>
      </c>
      <c r="L27" s="171">
        <f>SUMIFS('Sales Data'!$G$6:$G$10000,'Sales Data'!$B$6:$B$10000,$D$7,'Sales Data'!$BC$6:$BC$10000,"Oct",'Sales Data'!$BD$6:$BD$10000,$J$23)</f>
        <v/>
      </c>
      <c r="M27" s="171">
        <f>SUMIFS('Sales Data'!$G$6:$G$10000,'Sales Data'!$B$6:$B$10000,$D$7,'Sales Data'!$BC$6:$BC$10000,"Nov",'Sales Data'!$BD$6:$BD$10000,$J$23)</f>
        <v/>
      </c>
      <c r="N27" s="171">
        <f>SUMIFS('Sales Data'!$G$6:$G$10000,'Sales Data'!$B$6:$B$10000,$D$7,'Sales Data'!$BC$6:$BC$10000,"Dec",'Sales Data'!$BD$6:$BD$10000,$J$23)</f>
        <v/>
      </c>
      <c r="O27" s="172">
        <f>SUM(C27:N27)</f>
        <v/>
      </c>
    </row>
    <row r="28" ht="19.5" customHeight="1" s="104">
      <c r="B28" s="170" t="inlineStr">
        <is>
          <t>Net Profit</t>
        </is>
      </c>
      <c r="C28" s="144">
        <f>SUMIFS('Sales Data'!$L$6:$L$10000,'Sales Data'!$B$6:$B$10000,$D$7,'Sales Data'!$BC$6:$BC$10000,"Jan",'Sales Data'!$BD$6:$BD$10000,$J$23)</f>
        <v/>
      </c>
      <c r="D28" s="144">
        <f>SUMIFS('Sales Data'!$L$6:$L$10000,'Sales Data'!$B$6:$B$10000,$D$7,'Sales Data'!$BC$6:$BC$10000,"Feb",'Sales Data'!$BD$6:$BD$10000,$J$23)</f>
        <v/>
      </c>
      <c r="E28" s="144">
        <f>SUMIFS('Sales Data'!$L$6:$L$10000,'Sales Data'!$B$6:$B$10000,$D$7,'Sales Data'!$BC$6:$BC$10000,"Mar",'Sales Data'!$BD$6:$BD$10000,$J$23)</f>
        <v/>
      </c>
      <c r="F28" s="144">
        <f>SUMIFS('Sales Data'!$L$6:$L$10000,'Sales Data'!$B$6:$B$10000,$D$7,'Sales Data'!$BC$6:$BC$10000,"Apr",'Sales Data'!$BD$6:$BD$10000,$J$23)</f>
        <v/>
      </c>
      <c r="G28" s="144">
        <f>SUMIFS('Sales Data'!$L$6:$L$10000,'Sales Data'!$B$6:$B$10000,$D$7,'Sales Data'!$BC$6:$BC$10000,"May",'Sales Data'!$BD$6:$BD$10000,$J$23)</f>
        <v/>
      </c>
      <c r="H28" s="144">
        <f>SUMIFS('Sales Data'!$L$6:$L$10000,'Sales Data'!$B$6:$B$10000,$D$7,'Sales Data'!$BC$6:$BC$10000,"Jun",'Sales Data'!$BD$6:$BD$10000,$J$23)</f>
        <v/>
      </c>
      <c r="I28" s="144">
        <f>SUMIFS('Sales Data'!$L$6:$L$10000,'Sales Data'!$B$6:$B$10000,$D$7,'Sales Data'!$BC$6:$BC$10000,"Jul",'Sales Data'!$BD$6:$BD$10000,$J$23)</f>
        <v/>
      </c>
      <c r="J28" s="144">
        <f>SUMIFS('Sales Data'!$L$6:$L$10000,'Sales Data'!$B$6:$B$10000,$D$7,'Sales Data'!$BC$6:$BC$10000,"Aug",'Sales Data'!$BD$6:$BD$10000,$J$23)</f>
        <v/>
      </c>
      <c r="K28" s="144">
        <f>SUMIFS('Sales Data'!$L$6:$L$10000,'Sales Data'!$B$6:$B$10000,$D$7,'Sales Data'!$BC$6:$BC$10000,"Sep",'Sales Data'!$BD$6:$BD$10000,$J$23)</f>
        <v/>
      </c>
      <c r="L28" s="144">
        <f>SUMIFS('Sales Data'!$L$6:$L$10000,'Sales Data'!$B$6:$B$10000,$D$7,'Sales Data'!$BC$6:$BC$10000,"Oct",'Sales Data'!$BD$6:$BD$10000,$J$23)</f>
        <v/>
      </c>
      <c r="M28" s="144">
        <f>SUMIFS('Sales Data'!$L$6:$L$10000,'Sales Data'!$B$6:$B$10000,$D$7,'Sales Data'!$BC$6:$BC$10000,"Nov",'Sales Data'!$BD$6:$BD$10000,$J$23)</f>
        <v/>
      </c>
      <c r="N28" s="144">
        <f>SUMIFS('Sales Data'!$L$6:$L$10000,'Sales Data'!$B$6:$B$10000,$D$7,'Sales Data'!$BC$6:$BC$10000,"Dec",'Sales Data'!$BD$6:$BD$10000,$J$23)</f>
        <v/>
      </c>
      <c r="O28" s="141">
        <f>SUM(C28:N28)</f>
        <v/>
      </c>
    </row>
    <row r="29" ht="19.5" customHeight="1" s="104">
      <c r="B29" s="149" t="inlineStr">
        <is>
          <t>TACOS</t>
        </is>
      </c>
      <c r="C29" s="153">
        <f>SUMIFS('Sales Data'!$M$6:$M$10000,'Sales Data'!$B$6:$B$10000,$D$7,'Sales Data'!$BC$6:$BC$10000,"Jan",'Sales Data'!$BD$6:$BD$10000,$J$23)</f>
        <v/>
      </c>
      <c r="D29" s="153">
        <f>SUMIFS('Sales Data'!$M$6:$M$10000,'Sales Data'!$B$6:$B$10000,$D$7,'Sales Data'!$BC$6:$BC$10000,"Feb",'Sales Data'!$BD$6:$BD$10000,$J$23)</f>
        <v/>
      </c>
      <c r="E29" s="153">
        <f>SUMIFS('Sales Data'!$M$6:$M$10000,'Sales Data'!$B$6:$B$10000,$D$7,'Sales Data'!$BC$6:$BC$10000,"Mar",'Sales Data'!$BD$6:$BD$10000,$J$23)</f>
        <v/>
      </c>
      <c r="F29" s="153">
        <f>SUMIFS('Sales Data'!$M$6:$M$10000,'Sales Data'!$B$6:$B$10000,$D$7,'Sales Data'!$BC$6:$BC$10000,"Apr",'Sales Data'!$BD$6:$BD$10000,$J$23)</f>
        <v/>
      </c>
      <c r="G29" s="153">
        <f>SUMIFS('Sales Data'!$M$6:$M$10000,'Sales Data'!$B$6:$B$10000,$D$7,'Sales Data'!$BC$6:$BC$10000,"May",'Sales Data'!$BD$6:$BD$10000,$J$23)</f>
        <v/>
      </c>
      <c r="H29" s="153">
        <f>SUMIFS('Sales Data'!$M$6:$M$10000,'Sales Data'!$B$6:$B$10000,$D$7,'Sales Data'!$BC$6:$BC$10000,"Jun",'Sales Data'!$BD$6:$BD$10000,$J$23)</f>
        <v/>
      </c>
      <c r="I29" s="153">
        <f>SUMIFS('Sales Data'!$M$6:$M$10000,'Sales Data'!$B$6:$B$10000,$D$7,'Sales Data'!$BC$6:$BC$10000,"Jul",'Sales Data'!$BD$6:$BD$10000,$J$23)</f>
        <v/>
      </c>
      <c r="J29" s="153">
        <f>SUMIFS('Sales Data'!$M$6:$M$10000,'Sales Data'!$B$6:$B$10000,$D$7,'Sales Data'!$BC$6:$BC$10000,"Aug",'Sales Data'!$BD$6:$BD$10000,$J$23)</f>
        <v/>
      </c>
      <c r="K29" s="153">
        <f>SUMIFS('Sales Data'!$M$6:$M$10000,'Sales Data'!$B$6:$B$10000,$D$7,'Sales Data'!$BC$6:$BC$10000,"Sep",'Sales Data'!$BD$6:$BD$10000,$J$23)</f>
        <v/>
      </c>
      <c r="L29" s="153">
        <f>SUMIFS('Sales Data'!$M$6:$M$10000,'Sales Data'!$B$6:$B$10000,$D$7,'Sales Data'!$BC$6:$BC$10000,"Oct",'Sales Data'!$BD$6:$BD$10000,$J$23)</f>
        <v/>
      </c>
      <c r="M29" s="153">
        <f>SUMIFS('Sales Data'!$M$6:$M$10000,'Sales Data'!$B$6:$B$10000,$D$7,'Sales Data'!$BC$6:$BC$10000,"Nov",'Sales Data'!$BD$6:$BD$10000,$J$23)</f>
        <v/>
      </c>
      <c r="N29" s="153">
        <f>SUMIFS('Sales Data'!$M$6:$M$10000,'Sales Data'!$B$6:$B$10000,$D$7,'Sales Data'!$BC$6:$BC$10000,"Dec",'Sales Data'!$BD$6:$BD$10000,$J$23)</f>
        <v/>
      </c>
      <c r="O29" s="147">
        <f>IFERROR(AVERAGE(C29:N29),0)</f>
        <v/>
      </c>
    </row>
    <row r="30" ht="19.5" customHeight="1" s="104">
      <c r="B30" s="170" t="inlineStr">
        <is>
          <t>Margin</t>
        </is>
      </c>
      <c r="C30" s="173">
        <f>SUMIFS('Sales Data'!$P$6:$P$10000,'Sales Data'!$B$6:$B$10000,$D$7,'Sales Data'!$BC$6:$BC$10000,"Jan",'Sales Data'!$BD$6:$BD$10000,$J$23)</f>
        <v/>
      </c>
      <c r="D30" s="173">
        <f>SUMIFS('Sales Data'!$P$6:$P$10000,'Sales Data'!$B$6:$B$10000,$D$7,'Sales Data'!$BC$6:$BC$10000,"Feb",'Sales Data'!$BD$6:$BD$10000,$J$23)</f>
        <v/>
      </c>
      <c r="E30" s="173">
        <f>SUMIFS('Sales Data'!$P$6:$P$10000,'Sales Data'!$B$6:$B$10000,$D$7,'Sales Data'!$BC$6:$BC$10000,"Mar",'Sales Data'!$BD$6:$BD$10000,$J$23)</f>
        <v/>
      </c>
      <c r="F30" s="173">
        <f>SUMIFS('Sales Data'!$P$6:$P$10000,'Sales Data'!$B$6:$B$10000,$D$7,'Sales Data'!$BC$6:$BC$10000,"Apr",'Sales Data'!$BD$6:$BD$10000,$J$23)</f>
        <v/>
      </c>
      <c r="G30" s="173">
        <f>SUMIFS('Sales Data'!$P$6:$P$10000,'Sales Data'!$B$6:$B$10000,$D$7,'Sales Data'!$BC$6:$BC$10000,"May",'Sales Data'!$BD$6:$BD$10000,$J$23)</f>
        <v/>
      </c>
      <c r="H30" s="173">
        <f>SUMIFS('Sales Data'!$P$6:$P$10000,'Sales Data'!$B$6:$B$10000,$D$7,'Sales Data'!$BC$6:$BC$10000,"Jun",'Sales Data'!$BD$6:$BD$10000,$J$23)</f>
        <v/>
      </c>
      <c r="I30" s="173">
        <f>SUMIFS('Sales Data'!$P$6:$P$10000,'Sales Data'!$B$6:$B$10000,$D$7,'Sales Data'!$BC$6:$BC$10000,"Jul",'Sales Data'!$BD$6:$BD$10000,$J$23)</f>
        <v/>
      </c>
      <c r="J30" s="173">
        <f>SUMIFS('Sales Data'!$P$6:$P$10000,'Sales Data'!$B$6:$B$10000,$D$7,'Sales Data'!$BC$6:$BC$10000,"Aug",'Sales Data'!$BD$6:$BD$10000,$J$23)</f>
        <v/>
      </c>
      <c r="K30" s="173">
        <f>SUMIFS('Sales Data'!$P$6:$P$10000,'Sales Data'!$B$6:$B$10000,$D$7,'Sales Data'!$BC$6:$BC$10000,"Sep",'Sales Data'!$BD$6:$BD$10000,$J$23)</f>
        <v/>
      </c>
      <c r="L30" s="173">
        <f>SUMIFS('Sales Data'!$P$6:$P$10000,'Sales Data'!$B$6:$B$10000,$D$7,'Sales Data'!$BC$6:$BC$10000,"Oct",'Sales Data'!$BD$6:$BD$10000,$J$23)</f>
        <v/>
      </c>
      <c r="M30" s="173">
        <f>SUMIFS('Sales Data'!$P$6:$P$10000,'Sales Data'!$B$6:$B$10000,$D$7,'Sales Data'!$BC$6:$BC$10000,"Nov",'Sales Data'!$BD$6:$BD$10000,$J$23)</f>
        <v/>
      </c>
      <c r="N30" s="173">
        <f>SUMIFS('Sales Data'!$P$6:$P$10000,'Sales Data'!$B$6:$B$10000,$D$7,'Sales Data'!$BC$6:$BC$10000,"Dec",'Sales Data'!$BD$6:$BD$10000,$J$23)</f>
        <v/>
      </c>
      <c r="O30" s="147">
        <f>IFERROR(AVERAGE(C30:N30),0)</f>
        <v/>
      </c>
    </row>
    <row r="33" ht="15" customHeight="1" s="104">
      <c r="B33" s="164" t="inlineStr">
        <is>
          <t>EXPENSE BREAKDOWN · MAIN &amp; SUB CATEGORY</t>
        </is>
      </c>
      <c r="J33" s="164" t="inlineStr">
        <is>
          <t>SALES BREAKDOWN · SUB-CATEGORY</t>
        </is>
      </c>
    </row>
    <row r="34" ht="21.75" customHeight="1" s="104">
      <c r="B34" s="125" t="inlineStr">
        <is>
          <t>CATEGORY</t>
        </is>
      </c>
      <c r="C34" s="125" t="inlineStr">
        <is>
          <t>AMOUNT</t>
        </is>
      </c>
      <c r="D34" s="125" t="inlineStr">
        <is>
          <t>% OF EXPENSES</t>
        </is>
      </c>
      <c r="J34" s="125" t="inlineStr">
        <is>
          <t>SUB CATEGORY</t>
        </is>
      </c>
      <c r="K34" s="125" t="inlineStr">
        <is>
          <t>SALES AMOUNT</t>
        </is>
      </c>
      <c r="L34" s="125" t="inlineStr">
        <is>
          <t>% OF SALES</t>
        </is>
      </c>
    </row>
    <row r="35" ht="18" customHeight="1" s="104">
      <c r="B35" s="138" t="inlineStr">
        <is>
          <t>Promo</t>
        </is>
      </c>
      <c r="C35" s="174">
        <f>IFERROR(SUMIFS('Main Expenses'!$E$6:$E$10000,'Main Expenses'!$B$6:$B$10000,$D$7,'Main Expenses'!$D$6:$D$10000,"Promo",'Main Expenses'!$K$6:$K$10000,$B$7,'Main Expenses'!$L$6:$L$10000,$C$7),0)</f>
        <v/>
      </c>
      <c r="D35" s="175">
        <f>IFERROR(C35/SUMIFS('Main Expenses'!$E$6:$E$10000,'Main Expenses'!$B$6:$B$10000,$D$7,'Main Expenses'!$K$6:$K$10000,$B$7,'Main Expenses'!$L$6:$L$10000,$C$7),0)</f>
        <v/>
      </c>
      <c r="J35" s="139" t="inlineStr">
        <is>
          <t>Organic</t>
        </is>
      </c>
      <c r="K35" s="127">
        <f>IFERROR(SUMIFS('Sales Data'!$E$6:$E$10000,'Sales Data'!$B$6:$B$10000,$D$7,'Sales Data'!$D$6:$D$10000,"Organic",'Sales Data'!$BC$6:$BC$10000,$B$7,'Sales Data'!$BD$6:$BD$10000,$C$7),0)</f>
        <v/>
      </c>
      <c r="L35" s="128">
        <f>IFERROR(K35/SUMIFS('Sales Data'!$E$6:$E$10000,'Sales Data'!$B$6:$B$10000,$D$7,'Sales Data'!$BC$6:$BC$10000,$B$7,'Sales Data'!$BD$6:$BD$10000,$C$7),0)</f>
        <v/>
      </c>
    </row>
    <row r="36" ht="18" customHeight="1" s="104">
      <c r="B36" s="138" t="inlineStr">
        <is>
          <t>Advertising cost</t>
        </is>
      </c>
      <c r="C36" s="174">
        <f>IFERROR(SUMIFS('Main Expenses'!$E$6:$E$10000,'Main Expenses'!$B$6:$B$10000,$D$7,'Main Expenses'!$D$6:$D$10000,"Advertising cost",'Main Expenses'!$K$6:$K$10000,$B$7,'Main Expenses'!$L$6:$L$10000,$C$7),0)</f>
        <v/>
      </c>
      <c r="D36" s="175">
        <f>IFERROR(C36/SUMIFS('Main Expenses'!$E$6:$E$10000,'Main Expenses'!$B$6:$B$10000,$D$7,'Main Expenses'!$K$6:$K$10000,$B$7,'Main Expenses'!$L$6:$L$10000,$C$7),0)</f>
        <v/>
      </c>
      <c r="J36" s="149" t="inlineStr">
        <is>
          <t>Sponsored Products (same day)</t>
        </is>
      </c>
      <c r="K36" s="130">
        <f>IFERROR(SUMIFS('Sales Data'!$E$6:$E$10000,'Sales Data'!$B$6:$B$10000,$D$7,'Sales Data'!$D$6:$D$10000,"Sponsored Products (same day)",'Sales Data'!$BC$6:$BC$10000,$B$7,'Sales Data'!$BD$6:$BD$10000,$C$7),0)</f>
        <v/>
      </c>
      <c r="L36" s="131">
        <f>IFERROR(K36/SUMIFS('Sales Data'!$E$6:$E$10000,'Sales Data'!$B$6:$B$10000,$D$7,'Sales Data'!$BC$6:$BC$10000,$B$7,'Sales Data'!$BD$6:$BD$10000,$C$7),0)</f>
        <v/>
      </c>
    </row>
    <row r="37" hidden="1" outlineLevel="1" ht="18" customHeight="1" s="104">
      <c r="B37" s="176" t="inlineStr">
        <is>
          <t xml:space="preserve">    ↳ Sponsored Brands</t>
        </is>
      </c>
      <c r="C37" s="177">
        <f>IFERROR(SUMIFS('Sub Expenses'!$E$6:$E$10000,'Sub Expenses'!$B$6:$B$10000,$D$7,'Sub Expenses'!$C$6:$C$10000,"Advertising cost",'Sub Expenses'!$D$6:$D$10000,"Sponsored Brands",'Sub Expenses'!$J$6:$J$10000,$B$7,'Sub Expenses'!$K$6:$K$10000,$C$7),0)</f>
        <v/>
      </c>
      <c r="D37" s="178">
        <f>IFERROR(C37/SUMIFS('Main Expenses'!$E$6:$E$10000,'Main Expenses'!$B$6:$B$10000,$D$7,'Main Expenses'!$K$6:$K$10000,$B$7,'Main Expenses'!$L$6:$L$10000,$C$7),0)</f>
        <v/>
      </c>
      <c r="J37" s="139" t="inlineStr">
        <is>
          <t>Sponsored Display (same day)</t>
        </is>
      </c>
      <c r="K37" s="127">
        <f>IFERROR(SUMIFS('Sales Data'!$E$6:$E$10000,'Sales Data'!$B$6:$B$10000,$D$7,'Sales Data'!$D$6:$D$10000,"Sponsored Display (same day)",'Sales Data'!$BC$6:$BC$10000,$B$7,'Sales Data'!$BD$6:$BD$10000,$C$7),0)</f>
        <v/>
      </c>
      <c r="L37" s="128">
        <f>IFERROR(K37/SUMIFS('Sales Data'!$E$6:$E$10000,'Sales Data'!$B$6:$B$10000,$D$7,'Sales Data'!$BC$6:$BC$10000,$B$7,'Sales Data'!$BD$6:$BD$10000,$C$7),0)</f>
        <v/>
      </c>
    </row>
    <row r="38" hidden="1" outlineLevel="1" ht="18" customHeight="1" s="104">
      <c r="B38" s="176" t="inlineStr">
        <is>
          <t xml:space="preserve">    ↳ Sponsored Brands Video</t>
        </is>
      </c>
      <c r="C38" s="177">
        <f>IFERROR(SUMIFS('Sub Expenses'!$E$6:$E$10000,'Sub Expenses'!$B$6:$B$10000,$D$7,'Sub Expenses'!$C$6:$C$10000,"Advertising cost",'Sub Expenses'!$D$6:$D$10000,"Sponsored Brands Video",'Sub Expenses'!$J$6:$J$10000,$B$7,'Sub Expenses'!$K$6:$K$10000,$C$7),0)</f>
        <v/>
      </c>
      <c r="D38" s="178">
        <f>IFERROR(C38/SUMIFS('Main Expenses'!$E$6:$E$10000,'Main Expenses'!$B$6:$B$10000,$D$7,'Main Expenses'!$K$6:$K$10000,$B$7,'Main Expenses'!$L$6:$L$10000,$C$7),0)</f>
        <v/>
      </c>
    </row>
    <row r="39" hidden="1" outlineLevel="1" ht="18" customHeight="1" s="104">
      <c r="B39" s="176" t="inlineStr">
        <is>
          <t xml:space="preserve">    ↳ Sponsored Display</t>
        </is>
      </c>
      <c r="C39" s="177">
        <f>IFERROR(SUMIFS('Sub Expenses'!$E$6:$E$10000,'Sub Expenses'!$B$6:$B$10000,$D$7,'Sub Expenses'!$C$6:$C$10000,"Advertising cost",'Sub Expenses'!$D$6:$D$10000,"Sponsored Display",'Sub Expenses'!$J$6:$J$10000,$B$7,'Sub Expenses'!$K$6:$K$10000,$C$7),0)</f>
        <v/>
      </c>
      <c r="D39" s="178">
        <f>IFERROR(C39/SUMIFS('Main Expenses'!$E$6:$E$10000,'Main Expenses'!$B$6:$B$10000,$D$7,'Main Expenses'!$K$6:$K$10000,$B$7,'Main Expenses'!$L$6:$L$10000,$C$7),0)</f>
        <v/>
      </c>
    </row>
    <row r="40" hidden="1" outlineLevel="1" ht="18" customHeight="1" s="104">
      <c r="B40" s="176" t="inlineStr">
        <is>
          <t xml:space="preserve">    ↳ Sponsored Products</t>
        </is>
      </c>
      <c r="C40" s="177">
        <f>IFERROR(SUMIFS('Sub Expenses'!$E$6:$E$10000,'Sub Expenses'!$B$6:$B$10000,$D$7,'Sub Expenses'!$C$6:$C$10000,"Advertising cost",'Sub Expenses'!$D$6:$D$10000,"Sponsored Products",'Sub Expenses'!$J$6:$J$10000,$B$7,'Sub Expenses'!$K$6:$K$10000,$C$7),0)</f>
        <v/>
      </c>
      <c r="D40" s="178">
        <f>IFERROR(C40/SUMIFS('Main Expenses'!$E$6:$E$10000,'Main Expenses'!$B$6:$B$10000,$D$7,'Main Expenses'!$K$6:$K$10000,$B$7,'Main Expenses'!$L$6:$L$10000,$C$7),0)</f>
        <v/>
      </c>
    </row>
    <row r="41" ht="18" customHeight="1" s="104">
      <c r="B41" s="138" t="inlineStr">
        <is>
          <t>Refund cost</t>
        </is>
      </c>
      <c r="C41" s="174">
        <f>IFERROR(SUMIFS('Main Expenses'!$E$6:$E$10000,'Main Expenses'!$B$6:$B$10000,$D$7,'Main Expenses'!$D$6:$D$10000,"Refund cost",'Main Expenses'!$K$6:$K$10000,$B$7,'Main Expenses'!$L$6:$L$10000,$C$7),0)</f>
        <v/>
      </c>
      <c r="D41" s="175">
        <f>IFERROR(C41/SUMIFS('Main Expenses'!$E$6:$E$10000,'Main Expenses'!$B$6:$B$10000,$D$7,'Main Expenses'!$K$6:$K$10000,$B$7,'Main Expenses'!$L$6:$L$10000,$C$7),0)</f>
        <v/>
      </c>
    </row>
    <row r="42" hidden="1" outlineLevel="1" ht="18" customHeight="1" s="104">
      <c r="B42" s="176" t="inlineStr">
        <is>
          <t xml:space="preserve">    ↳ Promotion</t>
        </is>
      </c>
      <c r="C42" s="177">
        <f>IFERROR(SUMIFS('Sub Expenses'!$E$6:$E$10000,'Sub Expenses'!$B$6:$B$10000,$D$7,'Sub Expenses'!$C$6:$C$10000,"Refund cost",'Sub Expenses'!$D$6:$D$10000,"Promotion",'Sub Expenses'!$J$6:$J$10000,$B$7,'Sub Expenses'!$K$6:$K$10000,$C$7),0)</f>
        <v/>
      </c>
      <c r="D42" s="178">
        <f>IFERROR(C42/SUMIFS('Main Expenses'!$E$6:$E$10000,'Main Expenses'!$B$6:$B$10000,$D$7,'Main Expenses'!$K$6:$K$10000,$B$7,'Main Expenses'!$L$6:$L$10000,$C$7),0)</f>
        <v/>
      </c>
    </row>
    <row r="43" hidden="1" outlineLevel="1" ht="18" customHeight="1" s="104">
      <c r="B43" s="176" t="inlineStr">
        <is>
          <t xml:space="preserve">    ↳ Refund commission</t>
        </is>
      </c>
      <c r="C43" s="177">
        <f>IFERROR(SUMIFS('Sub Expenses'!$E$6:$E$10000,'Sub Expenses'!$B$6:$B$10000,$D$7,'Sub Expenses'!$C$6:$C$10000,"Refund cost",'Sub Expenses'!$D$6:$D$10000,"Refund commission",'Sub Expenses'!$J$6:$J$10000,$B$7,'Sub Expenses'!$K$6:$K$10000,$C$7),0)</f>
        <v/>
      </c>
      <c r="D43" s="178">
        <f>IFERROR(C43/SUMIFS('Main Expenses'!$E$6:$E$10000,'Main Expenses'!$B$6:$B$10000,$D$7,'Main Expenses'!$K$6:$K$10000,$B$7,'Main Expenses'!$L$6:$L$10000,$C$7),0)</f>
        <v/>
      </c>
    </row>
    <row r="44" hidden="1" outlineLevel="1" ht="18" customHeight="1" s="104">
      <c r="B44" s="176" t="inlineStr">
        <is>
          <t xml:space="preserve">    ↳ Refunded amount</t>
        </is>
      </c>
      <c r="C44" s="177">
        <f>IFERROR(SUMIFS('Sub Expenses'!$E$6:$E$10000,'Sub Expenses'!$B$6:$B$10000,$D$7,'Sub Expenses'!$C$6:$C$10000,"Refund cost",'Sub Expenses'!$D$6:$D$10000,"Refunded amount",'Sub Expenses'!$J$6:$J$10000,$B$7,'Sub Expenses'!$K$6:$K$10000,$C$7),0)</f>
        <v/>
      </c>
      <c r="D44" s="178">
        <f>IFERROR(C44/SUMIFS('Main Expenses'!$E$6:$E$10000,'Main Expenses'!$B$6:$B$10000,$D$7,'Main Expenses'!$K$6:$K$10000,$B$7,'Main Expenses'!$L$6:$L$10000,$C$7),0)</f>
        <v/>
      </c>
    </row>
    <row r="45" hidden="1" outlineLevel="1" ht="18" customHeight="1" s="104">
      <c r="B45" s="176" t="inlineStr">
        <is>
          <t xml:space="preserve">    ↳ Refunded referral fee</t>
        </is>
      </c>
      <c r="C45" s="177">
        <f>IFERROR(SUMIFS('Sub Expenses'!$E$6:$E$10000,'Sub Expenses'!$B$6:$B$10000,$D$7,'Sub Expenses'!$C$6:$C$10000,"Refund cost",'Sub Expenses'!$D$6:$D$10000,"Refunded referral fee",'Sub Expenses'!$J$6:$J$10000,$B$7,'Sub Expenses'!$K$6:$K$10000,$C$7),0)</f>
        <v/>
      </c>
      <c r="D45" s="178">
        <f>IFERROR(C45/SUMIFS('Main Expenses'!$E$6:$E$10000,'Main Expenses'!$B$6:$B$10000,$D$7,'Main Expenses'!$K$6:$K$10000,$B$7,'Main Expenses'!$L$6:$L$10000,$C$7),0)</f>
        <v/>
      </c>
    </row>
    <row r="46" hidden="1" outlineLevel="1" ht="18" customHeight="1" s="104">
      <c r="B46" s="176" t="inlineStr">
        <is>
          <t xml:space="preserve">    ↳ Restocking Deduction Principal</t>
        </is>
      </c>
      <c r="C46" s="177">
        <f>IFERROR(SUMIFS('Sub Expenses'!$E$6:$E$10000,'Sub Expenses'!$B$6:$B$10000,$D$7,'Sub Expenses'!$C$6:$C$10000,"Refund cost",'Sub Expenses'!$D$6:$D$10000,"Restocking Deduction Principal",'Sub Expenses'!$J$6:$J$10000,$B$7,'Sub Expenses'!$K$6:$K$10000,$C$7),0)</f>
        <v/>
      </c>
      <c r="D46" s="178">
        <f>IFERROR(C46/SUMIFS('Main Expenses'!$E$6:$E$10000,'Main Expenses'!$B$6:$B$10000,$D$7,'Main Expenses'!$K$6:$K$10000,$B$7,'Main Expenses'!$L$6:$L$10000,$C$7),0)</f>
        <v/>
      </c>
    </row>
    <row r="47" hidden="1" outlineLevel="1" ht="18" customHeight="1" s="104">
      <c r="B47" s="176" t="inlineStr">
        <is>
          <t xml:space="preserve">    ↳ Value of returned items</t>
        </is>
      </c>
      <c r="C47" s="177">
        <f>IFERROR(SUMIFS('Sub Expenses'!$E$6:$E$10000,'Sub Expenses'!$B$6:$B$10000,$D$7,'Sub Expenses'!$C$6:$C$10000,"Refund cost",'Sub Expenses'!$D$6:$D$10000,"Value of returned items",'Sub Expenses'!$J$6:$J$10000,$B$7,'Sub Expenses'!$K$6:$K$10000,$C$7),0)</f>
        <v/>
      </c>
      <c r="D47" s="178">
        <f>IFERROR(C47/SUMIFS('Main Expenses'!$E$6:$E$10000,'Main Expenses'!$B$6:$B$10000,$D$7,'Main Expenses'!$K$6:$K$10000,$B$7,'Main Expenses'!$L$6:$L$10000,$C$7),0)</f>
        <v/>
      </c>
    </row>
    <row r="48" ht="18" customHeight="1" s="104">
      <c r="B48" s="138" t="inlineStr">
        <is>
          <t>Amazon fees</t>
        </is>
      </c>
      <c r="C48" s="174">
        <f>IFERROR(SUMIFS('Main Expenses'!$E$6:$E$10000,'Main Expenses'!$B$6:$B$10000,$D$7,'Main Expenses'!$D$6:$D$10000,"Amazon fees",'Main Expenses'!$K$6:$K$10000,$B$7,'Main Expenses'!$L$6:$L$10000,$C$7),0)</f>
        <v/>
      </c>
      <c r="D48" s="175">
        <f>IFERROR(C48/SUMIFS('Main Expenses'!$E$6:$E$10000,'Main Expenses'!$B$6:$B$10000,$D$7,'Main Expenses'!$K$6:$K$10000,$B$7,'Main Expenses'!$L$6:$L$10000,$C$7),0)</f>
        <v/>
      </c>
    </row>
    <row r="49" hidden="1" outlineLevel="1" ht="18" customHeight="1" s="104">
      <c r="B49" s="176" t="inlineStr">
        <is>
          <t xml:space="preserve">    ↳ AWD processing fee</t>
        </is>
      </c>
      <c r="C49" s="177">
        <f>IFERROR(SUMIFS('Sub Expenses'!$E$6:$E$10000,'Sub Expenses'!$B$6:$B$10000,$D$7,'Sub Expenses'!$C$6:$C$10000,"Amazon fees",'Sub Expenses'!$D$6:$D$10000,"AWD processing fee",'Sub Expenses'!$J$6:$J$10000,$B$7,'Sub Expenses'!$K$6:$K$10000,$C$7),0)</f>
        <v/>
      </c>
      <c r="D49" s="178">
        <f>IFERROR(C49/SUMIFS('Main Expenses'!$E$6:$E$10000,'Main Expenses'!$B$6:$B$10000,$D$7,'Main Expenses'!$K$6:$K$10000,$B$7,'Main Expenses'!$L$6:$L$10000,$C$7),0)</f>
        <v/>
      </c>
    </row>
    <row r="50" hidden="1" outlineLevel="1" ht="18" customHeight="1" s="104">
      <c r="B50" s="176" t="inlineStr">
        <is>
          <t xml:space="preserve">    ↳ AWD storage fees</t>
        </is>
      </c>
      <c r="C50" s="177">
        <f>IFERROR(SUMIFS('Sub Expenses'!$E$6:$E$10000,'Sub Expenses'!$B$6:$B$10000,$D$7,'Sub Expenses'!$C$6:$C$10000,"Amazon fees",'Sub Expenses'!$D$6:$D$10000,"AWD storage fees",'Sub Expenses'!$J$6:$J$10000,$B$7,'Sub Expenses'!$K$6:$K$10000,$C$7),0)</f>
        <v/>
      </c>
      <c r="D50" s="178">
        <f>IFERROR(C50/SUMIFS('Main Expenses'!$E$6:$E$10000,'Main Expenses'!$B$6:$B$10000,$D$7,'Main Expenses'!$K$6:$K$10000,$B$7,'Main Expenses'!$L$6:$L$10000,$C$7),0)</f>
        <v/>
      </c>
    </row>
    <row r="51" hidden="1" outlineLevel="1" ht="18" customHeight="1" s="104">
      <c r="B51" s="176" t="inlineStr">
        <is>
          <t xml:space="preserve">    ↳ AWD transportation fee</t>
        </is>
      </c>
      <c r="C51" s="177">
        <f>IFERROR(SUMIFS('Sub Expenses'!$E$6:$E$10000,'Sub Expenses'!$B$6:$B$10000,$D$7,'Sub Expenses'!$C$6:$C$10000,"Amazon fees",'Sub Expenses'!$D$6:$D$10000,"AWD transportation fee",'Sub Expenses'!$J$6:$J$10000,$B$7,'Sub Expenses'!$K$6:$K$10000,$C$7),0)</f>
        <v/>
      </c>
      <c r="D51" s="178">
        <f>IFERROR(C51/SUMIFS('Main Expenses'!$E$6:$E$10000,'Main Expenses'!$B$6:$B$10000,$D$7,'Main Expenses'!$K$6:$K$10000,$B$7,'Main Expenses'!$L$6:$L$10000,$C$7),0)</f>
        <v/>
      </c>
    </row>
    <row r="52" hidden="1" outlineLevel="1" ht="18" customHeight="1" s="104">
      <c r="B52" s="176" t="inlineStr">
        <is>
          <t xml:space="preserve">    ↳ Adjustment FBA per unit fulfillment fee
</t>
        </is>
      </c>
      <c r="C52" s="177">
        <f>IFERROR(SUMIFS('Sub Expenses'!$E$6:$E$10000,'Sub Expenses'!$B$6:$B$10000,$D$7,'Sub Expenses'!$C$6:$C$10000,"Amazon fees",'Sub Expenses'!$D$6:$D$10000,"Adjustment FBA per unit fulfillment fee
",'Sub Expenses'!$J$6:$J$10000,$B$7,'Sub Expenses'!$K$6:$K$10000,$C$7),0)</f>
        <v/>
      </c>
      <c r="D52" s="178">
        <f>IFERROR(C52/SUMIFS('Main Expenses'!$E$6:$E$10000,'Main Expenses'!$B$6:$B$10000,$D$7,'Main Expenses'!$K$6:$K$10000,$B$7,'Main Expenses'!$L$6:$L$10000,$C$7),0)</f>
        <v/>
      </c>
    </row>
    <row r="53" hidden="1" outlineLevel="1" ht="18" customHeight="1" s="104">
      <c r="B53" s="176" t="inlineStr">
        <is>
          <t xml:space="preserve">    ↳ Compensated clawback</t>
        </is>
      </c>
      <c r="C53" s="177">
        <f>IFERROR(SUMIFS('Sub Expenses'!$E$6:$E$10000,'Sub Expenses'!$B$6:$B$10000,$D$7,'Sub Expenses'!$C$6:$C$10000,"Amazon fees",'Sub Expenses'!$D$6:$D$10000,"Compensated clawback",'Sub Expenses'!$J$6:$J$10000,$B$7,'Sub Expenses'!$K$6:$K$10000,$C$7),0)</f>
        <v/>
      </c>
      <c r="D53" s="178">
        <f>IFERROR(C53/SUMIFS('Main Expenses'!$E$6:$E$10000,'Main Expenses'!$B$6:$B$10000,$D$7,'Main Expenses'!$K$6:$K$10000,$B$7,'Main Expenses'!$L$6:$L$10000,$C$7),0)</f>
        <v/>
      </c>
    </row>
    <row r="54" hidden="1" outlineLevel="1" ht="18" customHeight="1" s="104">
      <c r="B54" s="176" t="inlineStr">
        <is>
          <t xml:space="preserve">    ↳ Coupon participation fee rollup</t>
        </is>
      </c>
      <c r="C54" s="177">
        <f>IFERROR(SUMIFS('Sub Expenses'!$E$6:$E$10000,'Sub Expenses'!$B$6:$B$10000,$D$7,'Sub Expenses'!$C$6:$C$10000,"Amazon fees",'Sub Expenses'!$D$6:$D$10000,"Coupon participation fee rollup",'Sub Expenses'!$J$6:$J$10000,$B$7,'Sub Expenses'!$K$6:$K$10000,$C$7),0)</f>
        <v/>
      </c>
      <c r="D54" s="178">
        <f>IFERROR(C54/SUMIFS('Main Expenses'!$E$6:$E$10000,'Main Expenses'!$B$6:$B$10000,$D$7,'Main Expenses'!$K$6:$K$10000,$B$7,'Main Expenses'!$L$6:$L$10000,$C$7),0)</f>
        <v/>
      </c>
    </row>
    <row r="55" hidden="1" outlineLevel="1" ht="18" customHeight="1" s="104">
      <c r="B55" s="176" t="inlineStr">
        <is>
          <t xml:space="preserve">    ↳ Coupon performance fee rollup</t>
        </is>
      </c>
      <c r="C55" s="177">
        <f>IFERROR(SUMIFS('Sub Expenses'!$E$6:$E$10000,'Sub Expenses'!$B$6:$B$10000,$D$7,'Sub Expenses'!$C$6:$C$10000,"Amazon fees",'Sub Expenses'!$D$6:$D$10000,"Coupon performance fee rollup",'Sub Expenses'!$J$6:$J$10000,$B$7,'Sub Expenses'!$K$6:$K$10000,$C$7),0)</f>
        <v/>
      </c>
      <c r="D55" s="178">
        <f>IFERROR(C55/SUMIFS('Main Expenses'!$E$6:$E$10000,'Main Expenses'!$B$6:$B$10000,$D$7,'Main Expenses'!$K$6:$K$10000,$B$7,'Main Expenses'!$L$6:$L$10000,$C$7),0)</f>
        <v/>
      </c>
    </row>
    <row r="56" hidden="1" outlineLevel="1" ht="18" customHeight="1" s="104">
      <c r="B56" s="176" t="inlineStr">
        <is>
          <t xml:space="preserve">    ↳ Customer Return HRR Unit Fee</t>
        </is>
      </c>
      <c r="C56" s="177">
        <f>IFERROR(SUMIFS('Sub Expenses'!$E$6:$E$10000,'Sub Expenses'!$B$6:$B$10000,$D$7,'Sub Expenses'!$C$6:$C$10000,"Amazon fees",'Sub Expenses'!$D$6:$D$10000,"Customer Return HRR Unit Fee",'Sub Expenses'!$J$6:$J$10000,$B$7,'Sub Expenses'!$K$6:$K$10000,$C$7),0)</f>
        <v/>
      </c>
      <c r="D56" s="178">
        <f>IFERROR(C56/SUMIFS('Main Expenses'!$E$6:$E$10000,'Main Expenses'!$B$6:$B$10000,$D$7,'Main Expenses'!$K$6:$K$10000,$B$7,'Main Expenses'!$L$6:$L$10000,$C$7),0)</f>
        <v/>
      </c>
    </row>
    <row r="57" hidden="1" outlineLevel="1" ht="18" customHeight="1" s="104">
      <c r="B57" s="176" t="inlineStr">
        <is>
          <t xml:space="preserve">    ↳ Deal participation fee rollup
</t>
        </is>
      </c>
      <c r="C57" s="177">
        <f>IFERROR(SUMIFS('Sub Expenses'!$E$6:$E$10000,'Sub Expenses'!$B$6:$B$10000,$D$7,'Sub Expenses'!$C$6:$C$10000,"Amazon fees",'Sub Expenses'!$D$6:$D$10000,"Deal participation fee rollup
",'Sub Expenses'!$J$6:$J$10000,$B$7,'Sub Expenses'!$K$6:$K$10000,$C$7),0)</f>
        <v/>
      </c>
      <c r="D57" s="178">
        <f>IFERROR(C57/SUMIFS('Main Expenses'!$E$6:$E$10000,'Main Expenses'!$B$6:$B$10000,$D$7,'Main Expenses'!$K$6:$K$10000,$B$7,'Main Expenses'!$L$6:$L$10000,$C$7),0)</f>
        <v/>
      </c>
    </row>
    <row r="58" hidden="1" outlineLevel="1" ht="18" customHeight="1" s="104">
      <c r="B58" s="176" t="inlineStr">
        <is>
          <t xml:space="preserve">    ↳ FBA disposal fee</t>
        </is>
      </c>
      <c r="C58" s="177">
        <f>IFERROR(SUMIFS('Sub Expenses'!$E$6:$E$10000,'Sub Expenses'!$B$6:$B$10000,$D$7,'Sub Expenses'!$C$6:$C$10000,"Amazon fees",'Sub Expenses'!$D$6:$D$10000,"FBA disposal fee",'Sub Expenses'!$J$6:$J$10000,$B$7,'Sub Expenses'!$K$6:$K$10000,$C$7),0)</f>
        <v/>
      </c>
      <c r="D58" s="178">
        <f>IFERROR(C58/SUMIFS('Main Expenses'!$E$6:$E$10000,'Main Expenses'!$B$6:$B$10000,$D$7,'Main Expenses'!$K$6:$K$10000,$B$7,'Main Expenses'!$L$6:$L$10000,$C$7),0)</f>
        <v/>
      </c>
    </row>
    <row r="59" hidden="1" outlineLevel="1" ht="18" customHeight="1" s="104">
      <c r="B59" s="176" t="inlineStr">
        <is>
          <t xml:space="preserve">    ↳ FBA inbound convenience fee</t>
        </is>
      </c>
      <c r="C59" s="177">
        <f>IFERROR(SUMIFS('Sub Expenses'!$E$6:$E$10000,'Sub Expenses'!$B$6:$B$10000,$D$7,'Sub Expenses'!$C$6:$C$10000,"Amazon fees",'Sub Expenses'!$D$6:$D$10000,"FBA inbound convenience fee",'Sub Expenses'!$J$6:$J$10000,$B$7,'Sub Expenses'!$K$6:$K$10000,$C$7),0)</f>
        <v/>
      </c>
      <c r="D59" s="178">
        <f>IFERROR(C59/SUMIFS('Main Expenses'!$E$6:$E$10000,'Main Expenses'!$B$6:$B$10000,$D$7,'Main Expenses'!$K$6:$K$10000,$B$7,'Main Expenses'!$L$6:$L$10000,$C$7),0)</f>
        <v/>
      </c>
    </row>
    <row r="60" hidden="1" outlineLevel="1" ht="18" customHeight="1" s="104">
      <c r="B60" s="176" t="inlineStr">
        <is>
          <t xml:space="preserve">    ↳ FBA inbound defect fee</t>
        </is>
      </c>
      <c r="C60" s="177">
        <f>IFERROR(SUMIFS('Sub Expenses'!$E$6:$E$10000,'Sub Expenses'!$B$6:$B$10000,$D$7,'Sub Expenses'!$C$6:$C$10000,"Amazon fees",'Sub Expenses'!$D$6:$D$10000,"FBA inbound defect fee",'Sub Expenses'!$J$6:$J$10000,$B$7,'Sub Expenses'!$K$6:$K$10000,$C$7),0)</f>
        <v/>
      </c>
      <c r="D60" s="178">
        <f>IFERROR(C60/SUMIFS('Main Expenses'!$E$6:$E$10000,'Main Expenses'!$B$6:$B$10000,$D$7,'Main Expenses'!$K$6:$K$10000,$B$7,'Main Expenses'!$L$6:$L$10000,$C$7),0)</f>
        <v/>
      </c>
    </row>
    <row r="61" hidden="1" outlineLevel="1" ht="18" customHeight="1" s="104">
      <c r="B61" s="176" t="inlineStr">
        <is>
          <t xml:space="preserve">    ↳ FBA per unit fulfilment fee</t>
        </is>
      </c>
      <c r="C61" s="177">
        <f>IFERROR(SUMIFS('Sub Expenses'!$E$6:$E$10000,'Sub Expenses'!$B$6:$B$10000,$D$7,'Sub Expenses'!$C$6:$C$10000,"Amazon fees",'Sub Expenses'!$D$6:$D$10000,"FBA per unit fulfilment fee",'Sub Expenses'!$J$6:$J$10000,$B$7,'Sub Expenses'!$K$6:$K$10000,$C$7),0)</f>
        <v/>
      </c>
      <c r="D61" s="178">
        <f>IFERROR(C61/SUMIFS('Main Expenses'!$E$6:$E$10000,'Main Expenses'!$B$6:$B$10000,$D$7,'Main Expenses'!$K$6:$K$10000,$B$7,'Main Expenses'!$L$6:$L$10000,$C$7),0)</f>
        <v/>
      </c>
    </row>
    <row r="62" hidden="1" outlineLevel="1" ht="18" customHeight="1" s="104">
      <c r="B62" s="176" t="inlineStr">
        <is>
          <t xml:space="preserve">    ↳ FBA removal fee</t>
        </is>
      </c>
      <c r="C62" s="177">
        <f>IFERROR(SUMIFS('Sub Expenses'!$E$6:$E$10000,'Sub Expenses'!$B$6:$B$10000,$D$7,'Sub Expenses'!$C$6:$C$10000,"Amazon fees",'Sub Expenses'!$D$6:$D$10000,"FBA removal fee",'Sub Expenses'!$J$6:$J$10000,$B$7,'Sub Expenses'!$K$6:$K$10000,$C$7),0)</f>
        <v/>
      </c>
      <c r="D62" s="178">
        <f>IFERROR(C62/SUMIFS('Main Expenses'!$E$6:$E$10000,'Main Expenses'!$B$6:$B$10000,$D$7,'Main Expenses'!$K$6:$K$10000,$B$7,'Main Expenses'!$L$6:$L$10000,$C$7),0)</f>
        <v/>
      </c>
    </row>
    <row r="63" hidden="1" outlineLevel="1" ht="18" customHeight="1" s="104">
      <c r="B63" s="176" t="inlineStr">
        <is>
          <t xml:space="preserve">    ↳ FBA storage fee</t>
        </is>
      </c>
      <c r="C63" s="177">
        <f>IFERROR(SUMIFS('Sub Expenses'!$E$6:$E$10000,'Sub Expenses'!$B$6:$B$10000,$D$7,'Sub Expenses'!$C$6:$C$10000,"Amazon fees",'Sub Expenses'!$D$6:$D$10000,"FBA storage fee",'Sub Expenses'!$J$6:$J$10000,$B$7,'Sub Expenses'!$K$6:$K$10000,$C$7),0)</f>
        <v/>
      </c>
      <c r="D63" s="178">
        <f>IFERROR(C63/SUMIFS('Main Expenses'!$E$6:$E$10000,'Main Expenses'!$B$6:$B$10000,$D$7,'Main Expenses'!$K$6:$K$10000,$B$7,'Main Expenses'!$L$6:$L$10000,$C$7),0)</f>
        <v/>
      </c>
    </row>
    <row r="64" hidden="1" outlineLevel="1" ht="18" customHeight="1" s="104">
      <c r="B64" s="176" t="inlineStr">
        <is>
          <t xml:space="preserve">    ↳ Free replacement refund items</t>
        </is>
      </c>
      <c r="C64" s="177">
        <f>IFERROR(SUMIFS('Sub Expenses'!$E$6:$E$10000,'Sub Expenses'!$B$6:$B$10000,$D$7,'Sub Expenses'!$C$6:$C$10000,"Amazon fees",'Sub Expenses'!$D$6:$D$10000,"Free replacement refund items",'Sub Expenses'!$J$6:$J$10000,$B$7,'Sub Expenses'!$K$6:$K$10000,$C$7),0)</f>
        <v/>
      </c>
      <c r="D64" s="178">
        <f>IFERROR(C64/SUMIFS('Main Expenses'!$E$6:$E$10000,'Main Expenses'!$B$6:$B$10000,$D$7,'Main Expenses'!$K$6:$K$10000,$B$7,'Main Expenses'!$L$6:$L$10000,$C$7),0)</f>
        <v/>
      </c>
    </row>
    <row r="65" hidden="1" outlineLevel="1" ht="18" customHeight="1" s="104">
      <c r="B65" s="176" t="inlineStr">
        <is>
          <t xml:space="preserve">    ↳ Get paid faster fee</t>
        </is>
      </c>
      <c r="C65" s="177">
        <f>IFERROR(SUMIFS('Sub Expenses'!$E$6:$E$10000,'Sub Expenses'!$B$6:$B$10000,$D$7,'Sub Expenses'!$C$6:$C$10000,"Amazon fees",'Sub Expenses'!$D$6:$D$10000,"Get paid faster fee",'Sub Expenses'!$J$6:$J$10000,$B$7,'Sub Expenses'!$K$6:$K$10000,$C$7),0)</f>
        <v/>
      </c>
      <c r="D65" s="178">
        <f>IFERROR(C65/SUMIFS('Main Expenses'!$E$6:$E$10000,'Main Expenses'!$B$6:$B$10000,$D$7,'Main Expenses'!$K$6:$K$10000,$B$7,'Main Expenses'!$L$6:$L$10000,$C$7),0)</f>
        <v/>
      </c>
    </row>
    <row r="66" hidden="1" outlineLevel="1" ht="18" customHeight="1" s="104">
      <c r="B66" s="176" t="inlineStr">
        <is>
          <t xml:space="preserve">    ↳ Hrr non apparel rollup</t>
        </is>
      </c>
      <c r="C66" s="177">
        <f>IFERROR(SUMIFS('Sub Expenses'!$E$6:$E$10000,'Sub Expenses'!$B$6:$B$10000,$D$7,'Sub Expenses'!$C$6:$C$10000,"Amazon fees",'Sub Expenses'!$D$6:$D$10000,"Hrr non apparel rollup",'Sub Expenses'!$J$6:$J$10000,$B$7,'Sub Expenses'!$K$6:$K$10000,$C$7),0)</f>
        <v/>
      </c>
      <c r="D66" s="178">
        <f>IFERROR(C66/SUMIFS('Main Expenses'!$E$6:$E$10000,'Main Expenses'!$B$6:$B$10000,$D$7,'Main Expenses'!$K$6:$K$10000,$B$7,'Main Expenses'!$L$6:$L$10000,$C$7),0)</f>
        <v/>
      </c>
    </row>
    <row r="67" hidden="1" outlineLevel="1" ht="18" customHeight="1" s="104">
      <c r="B67" s="176" t="inlineStr">
        <is>
          <t xml:space="preserve">    ↳ Inbound transportation
</t>
        </is>
      </c>
      <c r="C67" s="177">
        <f>IFERROR(SUMIFS('Sub Expenses'!$E$6:$E$10000,'Sub Expenses'!$B$6:$B$10000,$D$7,'Sub Expenses'!$C$6:$C$10000,"Amazon fees",'Sub Expenses'!$D$6:$D$10000,"Inbound transportation
",'Sub Expenses'!$J$6:$J$10000,$B$7,'Sub Expenses'!$K$6:$K$10000,$C$7),0)</f>
        <v/>
      </c>
      <c r="D67" s="178">
        <f>IFERROR(C67/SUMIFS('Main Expenses'!$E$6:$E$10000,'Main Expenses'!$B$6:$B$10000,$D$7,'Main Expenses'!$K$6:$K$10000,$B$7,'Main Expenses'!$L$6:$L$10000,$C$7),0)</f>
        <v/>
      </c>
    </row>
    <row r="68" hidden="1" outlineLevel="1" ht="18" customHeight="1" s="104">
      <c r="B68" s="176" t="inlineStr">
        <is>
          <t xml:space="preserve">    ↳ Labeling fee
</t>
        </is>
      </c>
      <c r="C68" s="177">
        <f>IFERROR(SUMIFS('Sub Expenses'!$E$6:$E$10000,'Sub Expenses'!$B$6:$B$10000,$D$7,'Sub Expenses'!$C$6:$C$10000,"Amazon fees",'Sub Expenses'!$D$6:$D$10000,"Labeling fee
",'Sub Expenses'!$J$6:$J$10000,$B$7,'Sub Expenses'!$K$6:$K$10000,$C$7),0)</f>
        <v/>
      </c>
      <c r="D68" s="178">
        <f>IFERROR(C68/SUMIFS('Main Expenses'!$E$6:$E$10000,'Main Expenses'!$B$6:$B$10000,$D$7,'Main Expenses'!$K$6:$K$10000,$B$7,'Main Expenses'!$L$6:$L$10000,$C$7),0)</f>
        <v/>
      </c>
    </row>
    <row r="69" hidden="1" outlineLevel="1" ht="18" customHeight="1" s="104">
      <c r="B69" s="176" t="inlineStr">
        <is>
          <t xml:space="preserve">    ↳ Liquidations brokerage fee</t>
        </is>
      </c>
      <c r="C69" s="177">
        <f>IFERROR(SUMIFS('Sub Expenses'!$E$6:$E$10000,'Sub Expenses'!$B$6:$B$10000,$D$7,'Sub Expenses'!$C$6:$C$10000,"Amazon fees",'Sub Expenses'!$D$6:$D$10000,"Liquidations brokerage fee",'Sub Expenses'!$J$6:$J$10000,$B$7,'Sub Expenses'!$K$6:$K$10000,$C$7),0)</f>
        <v/>
      </c>
      <c r="D69" s="178">
        <f>IFERROR(C69/SUMIFS('Main Expenses'!$E$6:$E$10000,'Main Expenses'!$B$6:$B$10000,$D$7,'Main Expenses'!$K$6:$K$10000,$B$7,'Main Expenses'!$L$6:$L$10000,$C$7),0)</f>
        <v/>
      </c>
    </row>
    <row r="70" hidden="1" outlineLevel="1" ht="18" customHeight="1" s="104">
      <c r="B70" s="176" t="inlineStr">
        <is>
          <t xml:space="preserve">    ↳ Liquidations revenue</t>
        </is>
      </c>
      <c r="C70" s="177">
        <f>IFERROR(SUMIFS('Sub Expenses'!$E$6:$E$10000,'Sub Expenses'!$B$6:$B$10000,$D$7,'Sub Expenses'!$C$6:$C$10000,"Amazon fees",'Sub Expenses'!$D$6:$D$10000,"Liquidations revenue",'Sub Expenses'!$J$6:$J$10000,$B$7,'Sub Expenses'!$K$6:$K$10000,$C$7),0)</f>
        <v/>
      </c>
      <c r="D70" s="178">
        <f>IFERROR(C70/SUMIFS('Main Expenses'!$E$6:$E$10000,'Main Expenses'!$B$6:$B$10000,$D$7,'Main Expenses'!$K$6:$K$10000,$B$7,'Main Expenses'!$L$6:$L$10000,$C$7),0)</f>
        <v/>
      </c>
    </row>
    <row r="71" hidden="1" outlineLevel="1" ht="18" customHeight="1" s="104">
      <c r="B71" s="176" t="inlineStr">
        <is>
          <t xml:space="preserve">    ↳ Liquidations revenue adjustment</t>
        </is>
      </c>
      <c r="C71" s="177">
        <f>IFERROR(SUMIFS('Sub Expenses'!$E$6:$E$10000,'Sub Expenses'!$B$6:$B$10000,$D$7,'Sub Expenses'!$C$6:$C$10000,"Amazon fees",'Sub Expenses'!$D$6:$D$10000,"Liquidations revenue adjustment",'Sub Expenses'!$J$6:$J$10000,$B$7,'Sub Expenses'!$K$6:$K$10000,$C$7),0)</f>
        <v/>
      </c>
      <c r="D71" s="178">
        <f>IFERROR(C71/SUMIFS('Main Expenses'!$E$6:$E$10000,'Main Expenses'!$B$6:$B$10000,$D$7,'Main Expenses'!$K$6:$K$10000,$B$7,'Main Expenses'!$L$6:$L$10000,$C$7),0)</f>
        <v/>
      </c>
    </row>
    <row r="72" hidden="1" outlineLevel="1" ht="18" customHeight="1" s="104">
      <c r="B72" s="176" t="inlineStr">
        <is>
          <t xml:space="preserve">    ↳ Long term storage fee</t>
        </is>
      </c>
      <c r="C72" s="177">
        <f>IFERROR(SUMIFS('Sub Expenses'!$E$6:$E$10000,'Sub Expenses'!$B$6:$B$10000,$D$7,'Sub Expenses'!$C$6:$C$10000,"Amazon fees",'Sub Expenses'!$D$6:$D$10000,"Long term storage fee",'Sub Expenses'!$J$6:$J$10000,$B$7,'Sub Expenses'!$K$6:$K$10000,$C$7),0)</f>
        <v/>
      </c>
      <c r="D72" s="178">
        <f>IFERROR(C72/SUMIFS('Main Expenses'!$E$6:$E$10000,'Main Expenses'!$B$6:$B$10000,$D$7,'Main Expenses'!$K$6:$K$10000,$B$7,'Main Expenses'!$L$6:$L$10000,$C$7),0)</f>
        <v/>
      </c>
    </row>
    <row r="73" hidden="1" outlineLevel="1" ht="18" customHeight="1" s="104">
      <c r="B73" s="176" t="inlineStr">
        <is>
          <t xml:space="preserve">    ↳ Missing from inbound</t>
        </is>
      </c>
      <c r="C73" s="177">
        <f>IFERROR(SUMIFS('Sub Expenses'!$E$6:$E$10000,'Sub Expenses'!$B$6:$B$10000,$D$7,'Sub Expenses'!$C$6:$C$10000,"Amazon fees",'Sub Expenses'!$D$6:$D$10000,"Missing from inbound",'Sub Expenses'!$J$6:$J$10000,$B$7,'Sub Expenses'!$K$6:$K$10000,$C$7),0)</f>
        <v/>
      </c>
      <c r="D73" s="178">
        <f>IFERROR(C73/SUMIFS('Main Expenses'!$E$6:$E$10000,'Main Expenses'!$B$6:$B$10000,$D$7,'Main Expenses'!$K$6:$K$10000,$B$7,'Main Expenses'!$L$6:$L$10000,$C$7),0)</f>
        <v/>
      </c>
    </row>
    <row r="74" hidden="1" outlineLevel="1" ht="18" customHeight="1" s="104">
      <c r="B74" s="176" t="inlineStr">
        <is>
          <t xml:space="preserve">    ↳ Missing from inbound clawback</t>
        </is>
      </c>
      <c r="C74" s="177">
        <f>IFERROR(SUMIFS('Sub Expenses'!$E$6:$E$10000,'Sub Expenses'!$B$6:$B$10000,$D$7,'Sub Expenses'!$C$6:$C$10000,"Amazon fees",'Sub Expenses'!$D$6:$D$10000,"Missing from inbound clawback",'Sub Expenses'!$J$6:$J$10000,$B$7,'Sub Expenses'!$K$6:$K$10000,$C$7),0)</f>
        <v/>
      </c>
      <c r="D74" s="178">
        <f>IFERROR(C74/SUMIFS('Main Expenses'!$E$6:$E$10000,'Main Expenses'!$B$6:$B$10000,$D$7,'Main Expenses'!$K$6:$K$10000,$B$7,'Main Expenses'!$L$6:$L$10000,$C$7),0)</f>
        <v/>
      </c>
    </row>
    <row r="75" hidden="1" outlineLevel="1" ht="18" customHeight="1" s="104">
      <c r="B75" s="176" t="inlineStr">
        <is>
          <t xml:space="preserve">    ↳ Re commerce grading and listing charge</t>
        </is>
      </c>
      <c r="C75" s="177">
        <f>IFERROR(SUMIFS('Sub Expenses'!$E$6:$E$10000,'Sub Expenses'!$B$6:$B$10000,$D$7,'Sub Expenses'!$C$6:$C$10000,"Amazon fees",'Sub Expenses'!$D$6:$D$10000,"Re commerce grading and listing charge",'Sub Expenses'!$J$6:$J$10000,$B$7,'Sub Expenses'!$K$6:$K$10000,$C$7),0)</f>
        <v/>
      </c>
      <c r="D75" s="178">
        <f>IFERROR(C75/SUMIFS('Main Expenses'!$E$6:$E$10000,'Main Expenses'!$B$6:$B$10000,$D$7,'Main Expenses'!$K$6:$K$10000,$B$7,'Main Expenses'!$L$6:$L$10000,$C$7),0)</f>
        <v/>
      </c>
    </row>
    <row r="76" hidden="1" outlineLevel="1" ht="18" customHeight="1" s="104">
      <c r="B76" s="176" t="inlineStr">
        <is>
          <t xml:space="preserve">    ↳ Re-evaluation</t>
        </is>
      </c>
      <c r="C76" s="177">
        <f>IFERROR(SUMIFS('Sub Expenses'!$E$6:$E$10000,'Sub Expenses'!$B$6:$B$10000,$D$7,'Sub Expenses'!$C$6:$C$10000,"Amazon fees",'Sub Expenses'!$D$6:$D$10000,"Re-evaluation",'Sub Expenses'!$J$6:$J$10000,$B$7,'Sub Expenses'!$K$6:$K$10000,$C$7),0)</f>
        <v/>
      </c>
      <c r="D76" s="178">
        <f>IFERROR(C76/SUMIFS('Main Expenses'!$E$6:$E$10000,'Main Expenses'!$B$6:$B$10000,$D$7,'Main Expenses'!$K$6:$K$10000,$B$7,'Main Expenses'!$L$6:$L$10000,$C$7),0)</f>
        <v/>
      </c>
    </row>
    <row r="77" hidden="1" outlineLevel="1" ht="18" customHeight="1" s="104">
      <c r="B77" s="176" t="inlineStr">
        <is>
          <t xml:space="preserve">    ↳ Referral fee</t>
        </is>
      </c>
      <c r="C77" s="177">
        <f>IFERROR(SUMIFS('Sub Expenses'!$E$6:$E$10000,'Sub Expenses'!$B$6:$B$10000,$D$7,'Sub Expenses'!$C$6:$C$10000,"Amazon fees",'Sub Expenses'!$D$6:$D$10000,"Referral fee",'Sub Expenses'!$J$6:$J$10000,$B$7,'Sub Expenses'!$K$6:$K$10000,$C$7),0)</f>
        <v/>
      </c>
      <c r="D77" s="178">
        <f>IFERROR(C77/SUMIFS('Main Expenses'!$E$6:$E$10000,'Main Expenses'!$B$6:$B$10000,$D$7,'Main Expenses'!$K$6:$K$10000,$B$7,'Main Expenses'!$L$6:$L$10000,$C$7),0)</f>
        <v/>
      </c>
    </row>
    <row r="78" hidden="1" outlineLevel="1" ht="18" customHeight="1" s="104">
      <c r="B78" s="176" t="inlineStr">
        <is>
          <t xml:space="preserve">    ↳ Reversal reimbursement</t>
        </is>
      </c>
      <c r="C78" s="177">
        <f>IFERROR(SUMIFS('Sub Expenses'!$E$6:$E$10000,'Sub Expenses'!$B$6:$B$10000,$D$7,'Sub Expenses'!$C$6:$C$10000,"Amazon fees",'Sub Expenses'!$D$6:$D$10000,"Reversal reimbursement",'Sub Expenses'!$J$6:$J$10000,$B$7,'Sub Expenses'!$K$6:$K$10000,$C$7),0)</f>
        <v/>
      </c>
      <c r="D78" s="178">
        <f>IFERROR(C78/SUMIFS('Main Expenses'!$E$6:$E$10000,'Main Expenses'!$B$6:$B$10000,$D$7,'Main Expenses'!$K$6:$K$10000,$B$7,'Main Expenses'!$L$6:$L$10000,$C$7),0)</f>
        <v/>
      </c>
    </row>
    <row r="79" hidden="1" outlineLevel="1" ht="18" customHeight="1" s="104">
      <c r="B79" s="176" t="inlineStr">
        <is>
          <t xml:space="preserve">    ↳ Sponsored Products</t>
        </is>
      </c>
      <c r="C79" s="177">
        <f>IFERROR(SUMIFS('Sub Expenses'!$E$6:$E$10000,'Sub Expenses'!$B$6:$B$10000,$D$7,'Sub Expenses'!$C$6:$C$10000,"Amazon fees",'Sub Expenses'!$D$6:$D$10000,"Sponsored Products",'Sub Expenses'!$J$6:$J$10000,$B$7,'Sub Expenses'!$K$6:$K$10000,$C$7),0)</f>
        <v/>
      </c>
      <c r="D79" s="178">
        <f>IFERROR(C79/SUMIFS('Main Expenses'!$E$6:$E$10000,'Main Expenses'!$B$6:$B$10000,$D$7,'Main Expenses'!$K$6:$K$10000,$B$7,'Main Expenses'!$L$6:$L$10000,$C$7),0)</f>
        <v/>
      </c>
    </row>
    <row r="80" hidden="1" outlineLevel="1" ht="18" customHeight="1" s="104">
      <c r="B80" s="176" t="inlineStr">
        <is>
          <t xml:space="preserve">    ↳ Star storage fee</t>
        </is>
      </c>
      <c r="C80" s="177">
        <f>IFERROR(SUMIFS('Sub Expenses'!$E$6:$E$10000,'Sub Expenses'!$B$6:$B$10000,$D$7,'Sub Expenses'!$C$6:$C$10000,"Amazon fees",'Sub Expenses'!$D$6:$D$10000,"Star storage fee",'Sub Expenses'!$J$6:$J$10000,$B$7,'Sub Expenses'!$K$6:$K$10000,$C$7),0)</f>
        <v/>
      </c>
      <c r="D80" s="178">
        <f>IFERROR(C80/SUMIFS('Main Expenses'!$E$6:$E$10000,'Main Expenses'!$B$6:$B$10000,$D$7,'Main Expenses'!$K$6:$K$10000,$B$7,'Main Expenses'!$L$6:$L$10000,$C$7),0)</f>
        <v/>
      </c>
    </row>
    <row r="81" hidden="1" outlineLevel="1" ht="18" customHeight="1" s="104">
      <c r="B81" s="176" t="inlineStr">
        <is>
          <t xml:space="preserve">    ↳ Subscription</t>
        </is>
      </c>
      <c r="C81" s="177">
        <f>IFERROR(SUMIFS('Sub Expenses'!$E$6:$E$10000,'Sub Expenses'!$B$6:$B$10000,$D$7,'Sub Expenses'!$C$6:$C$10000,"Amazon fees",'Sub Expenses'!$D$6:$D$10000,"Subscription",'Sub Expenses'!$J$6:$J$10000,$B$7,'Sub Expenses'!$K$6:$K$10000,$C$7),0)</f>
        <v/>
      </c>
      <c r="D81" s="178">
        <f>IFERROR(C81/SUMIFS('Main Expenses'!$E$6:$E$10000,'Main Expenses'!$B$6:$B$10000,$D$7,'Main Expenses'!$K$6:$K$10000,$B$7,'Main Expenses'!$L$6:$L$10000,$C$7),0)</f>
        <v/>
      </c>
    </row>
    <row r="82" hidden="1" outlineLevel="1" ht="18" customHeight="1" s="104">
      <c r="B82" s="176" t="inlineStr">
        <is>
          <t xml:space="preserve">    ↳ Vine Fee</t>
        </is>
      </c>
      <c r="C82" s="177">
        <f>IFERROR(SUMIFS('Sub Expenses'!$E$6:$E$10000,'Sub Expenses'!$B$6:$B$10000,$D$7,'Sub Expenses'!$C$6:$C$10000,"Amazon fees",'Sub Expenses'!$D$6:$D$10000,"Vine Fee",'Sub Expenses'!$J$6:$J$10000,$B$7,'Sub Expenses'!$K$6:$K$10000,$C$7),0)</f>
        <v/>
      </c>
      <c r="D82" s="178">
        <f>IFERROR(C82/SUMIFS('Main Expenses'!$E$6:$E$10000,'Main Expenses'!$B$6:$B$10000,$D$7,'Main Expenses'!$K$6:$K$10000,$B$7,'Main Expenses'!$L$6:$L$10000,$C$7),0)</f>
        <v/>
      </c>
    </row>
    <row r="83" hidden="1" outlineLevel="1" ht="18" customHeight="1" s="104">
      <c r="B83" s="176" t="inlineStr">
        <is>
          <t xml:space="preserve">    ↳ Warehouse damage</t>
        </is>
      </c>
      <c r="C83" s="177">
        <f>IFERROR(SUMIFS('Sub Expenses'!$E$6:$E$10000,'Sub Expenses'!$B$6:$B$10000,$D$7,'Sub Expenses'!$C$6:$C$10000,"Amazon fees",'Sub Expenses'!$D$6:$D$10000,"Warehouse damage",'Sub Expenses'!$J$6:$J$10000,$B$7,'Sub Expenses'!$K$6:$K$10000,$C$7),0)</f>
        <v/>
      </c>
      <c r="D83" s="178">
        <f>IFERROR(C83/SUMIFS('Main Expenses'!$E$6:$E$10000,'Main Expenses'!$B$6:$B$10000,$D$7,'Main Expenses'!$K$6:$K$10000,$B$7,'Main Expenses'!$L$6:$L$10000,$C$7),0)</f>
        <v/>
      </c>
    </row>
    <row r="84" hidden="1" outlineLevel="1" ht="18" customHeight="1" s="104">
      <c r="B84" s="176" t="inlineStr">
        <is>
          <t xml:space="preserve">    ↳ Warehouse damage exception</t>
        </is>
      </c>
      <c r="C84" s="177">
        <f>IFERROR(SUMIFS('Sub Expenses'!$E$6:$E$10000,'Sub Expenses'!$B$6:$B$10000,$D$7,'Sub Expenses'!$C$6:$C$10000,"Amazon fees",'Sub Expenses'!$D$6:$D$10000,"Warehouse damage exception",'Sub Expenses'!$J$6:$J$10000,$B$7,'Sub Expenses'!$K$6:$K$10000,$C$7),0)</f>
        <v/>
      </c>
      <c r="D84" s="178">
        <f>IFERROR(C84/SUMIFS('Main Expenses'!$E$6:$E$10000,'Main Expenses'!$B$6:$B$10000,$D$7,'Main Expenses'!$K$6:$K$10000,$B$7,'Main Expenses'!$L$6:$L$10000,$C$7),0)</f>
        <v/>
      </c>
    </row>
    <row r="85" hidden="1" outlineLevel="1" ht="18" customHeight="1" s="104">
      <c r="B85" s="176" t="inlineStr">
        <is>
          <t xml:space="preserve">    ↳ Warehouse lost</t>
        </is>
      </c>
      <c r="C85" s="177">
        <f>IFERROR(SUMIFS('Sub Expenses'!$E$6:$E$10000,'Sub Expenses'!$B$6:$B$10000,$D$7,'Sub Expenses'!$C$6:$C$10000,"Amazon fees",'Sub Expenses'!$D$6:$D$10000,"Warehouse lost",'Sub Expenses'!$J$6:$J$10000,$B$7,'Sub Expenses'!$K$6:$K$10000,$C$7),0)</f>
        <v/>
      </c>
      <c r="D85" s="178">
        <f>IFERROR(C85/SUMIFS('Main Expenses'!$E$6:$E$10000,'Main Expenses'!$B$6:$B$10000,$D$7,'Main Expenses'!$K$6:$K$10000,$B$7,'Main Expenses'!$L$6:$L$10000,$C$7),0)</f>
        <v/>
      </c>
    </row>
    <row r="86" ht="18" customHeight="1" s="104">
      <c r="B86" s="138" t="inlineStr">
        <is>
          <t>Cost of goods</t>
        </is>
      </c>
      <c r="C86" s="174">
        <f>IFERROR(SUMIFS('Main Expenses'!$E$6:$E$10000,'Main Expenses'!$B$6:$B$10000,$D$7,'Main Expenses'!$D$6:$D$10000,"Cost of goods",'Main Expenses'!$K$6:$K$10000,$B$7,'Main Expenses'!$L$6:$L$10000,$C$7),0)</f>
        <v/>
      </c>
      <c r="D86" s="175">
        <f>IFERROR(C86/SUMIFS('Main Expenses'!$E$6:$E$10000,'Main Expenses'!$B$6:$B$10000,$D$7,'Main Expenses'!$K$6:$K$10000,$B$7,'Main Expenses'!$L$6:$L$10000,$C$7),0)</f>
        <v/>
      </c>
    </row>
    <row r="87" hidden="1" outlineLevel="1" ht="18" customHeight="1" s="104">
      <c r="B87" s="176" t="inlineStr">
        <is>
          <t xml:space="preserve">    ↳ Cost of goods sold</t>
        </is>
      </c>
      <c r="C87" s="177">
        <f>IFERROR(SUMIFS('Sub Expenses'!$E$6:$E$10000,'Sub Expenses'!$B$6:$B$10000,$D$7,'Sub Expenses'!$C$6:$C$10000,"Cost of goods",'Sub Expenses'!$D$6:$D$10000,"Cost of goods sold",'Sub Expenses'!$J$6:$J$10000,$B$7,'Sub Expenses'!$K$6:$K$10000,$C$7),0)</f>
        <v/>
      </c>
      <c r="D87" s="178">
        <f>IFERROR(C87/SUMIFS('Main Expenses'!$E$6:$E$10000,'Main Expenses'!$B$6:$B$10000,$D$7,'Main Expenses'!$K$6:$K$10000,$B$7,'Main Expenses'!$L$6:$L$10000,$C$7),0)</f>
        <v/>
      </c>
    </row>
    <row r="88" hidden="1" outlineLevel="1" ht="18" customHeight="1" s="104">
      <c r="B88" s="176" t="inlineStr">
        <is>
          <t xml:space="preserve">    ↳ Lost/damaged by Amazon</t>
        </is>
      </c>
      <c r="C88" s="177">
        <f>IFERROR(SUMIFS('Sub Expenses'!$E$6:$E$10000,'Sub Expenses'!$B$6:$B$10000,$D$7,'Sub Expenses'!$C$6:$C$10000,"Cost of goods",'Sub Expenses'!$D$6:$D$10000,"Lost/damaged by Amazon",'Sub Expenses'!$J$6:$J$10000,$B$7,'Sub Expenses'!$K$6:$K$10000,$C$7),0)</f>
        <v/>
      </c>
      <c r="D88" s="178">
        <f>IFERROR(C88/SUMIFS('Main Expenses'!$E$6:$E$10000,'Main Expenses'!$B$6:$B$10000,$D$7,'Main Expenses'!$K$6:$K$10000,$B$7,'Main Expenses'!$L$6:$L$10000,$C$7),0)</f>
        <v/>
      </c>
    </row>
    <row r="89" ht="21.75" customHeight="1" s="104">
      <c r="B89" s="132" t="inlineStr">
        <is>
          <t>TOTAL EXPENSES</t>
        </is>
      </c>
      <c r="C89" s="133">
        <f>SUMIFS('Main Expenses'!$E$6:$E$10000,'Main Expenses'!$B$6:$B$10000,$D$7,'Main Expenses'!$K$6:$K$10000,$B$7,'Main Expenses'!$L$6:$L$10000,$C$7)</f>
        <v/>
      </c>
      <c r="D89" s="134" t="n">
        <v>1</v>
      </c>
      <c r="J89" s="132" t="inlineStr">
        <is>
          <t>TOTAL SALES</t>
        </is>
      </c>
      <c r="K89" s="133">
        <f>SUMIFS('Sales Data'!$E$6:$E$10000,'Sales Data'!$B$6:$B$10000,$D$7,'Sales Data'!$BC$6:$BC$10000,$B$7,'Sales Data'!$BD$6:$BD$10000,$C$7)</f>
        <v/>
      </c>
      <c r="L89" s="134" t="n">
        <v>1</v>
      </c>
    </row>
  </sheetData>
  <mergeCells count="24">
    <mergeCell ref="D13:F13"/>
    <mergeCell ref="D11:F11"/>
    <mergeCell ref="B16:C16"/>
    <mergeCell ref="D17:F17"/>
    <mergeCell ref="B33:H33"/>
    <mergeCell ref="B3:R3"/>
    <mergeCell ref="B18:C18"/>
    <mergeCell ref="D16:F16"/>
    <mergeCell ref="B12:C12"/>
    <mergeCell ref="J33:P33"/>
    <mergeCell ref="B11:C11"/>
    <mergeCell ref="D12:F12"/>
    <mergeCell ref="B2:R2"/>
    <mergeCell ref="D18:F18"/>
    <mergeCell ref="B14:C14"/>
    <mergeCell ref="B17:C17"/>
    <mergeCell ref="D15:F15"/>
    <mergeCell ref="B13:C13"/>
    <mergeCell ref="D14:F14"/>
    <mergeCell ref="B19:C19"/>
    <mergeCell ref="D20:F20"/>
    <mergeCell ref="D19:F19"/>
    <mergeCell ref="B15:C15"/>
    <mergeCell ref="B20:C20"/>
  </mergeCells>
  <dataValidations count="4">
    <dataValidation sqref="B7" showDropDown="0" showInputMessage="0" showErrorMessage="0" allowBlank="0" type="list" errorStyle="stop" operator="between">
      <formula1>MonthList</formula1>
      <formula2>0</formula2>
    </dataValidation>
    <dataValidation sqref="C7" showDropDown="0" showInputMessage="0" showErrorMessage="0" allowBlank="0" type="list" errorStyle="stop" operator="between">
      <formula1>YearList</formula1>
      <formula2>0</formula2>
    </dataValidation>
    <dataValidation sqref="D7" showDropDown="0" showInputMessage="0" showErrorMessage="0" allowBlank="0" type="list" errorStyle="stop" operator="between">
      <formula1>AmazonCountries</formula1>
      <formula2>0</formula2>
    </dataValidation>
    <dataValidation sqref="J23" showDropDown="0" showInputMessage="0" showErrorMessage="0" allowBlank="0" type="list" errorStyle="stop" operator="between">
      <formula1>YearList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B2:R8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1"/>
  <cols>
    <col width="2" customWidth="1" style="103" min="1" max="1"/>
    <col width="32" customWidth="1" style="103" min="2" max="2"/>
    <col width="18" customWidth="1" style="103" min="3" max="6"/>
    <col width="12" customWidth="1" style="103" min="7" max="18"/>
    <col width="14" customWidth="1" style="103" min="19" max="19"/>
    <col width="2" customWidth="1" style="103" min="20" max="20"/>
  </cols>
  <sheetData>
    <row r="2" ht="33.75" customHeight="1" s="104">
      <c r="B2" s="121" t="inlineStr">
        <is>
          <t>TIKTOK SHOP DASHBOARD</t>
        </is>
      </c>
    </row>
    <row r="3" ht="15" customHeight="1" s="104">
      <c r="B3" s="107" t="inlineStr">
        <is>
          <t>Click the + symbol on the left margin to expand sub-categories · all KPIs update live via SUMIFS formulas.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</row>
    <row r="6" ht="21.75" customHeight="1" s="104">
      <c r="B6" s="122" t="inlineStr">
        <is>
          <t>MONTH</t>
        </is>
      </c>
      <c r="C6" s="122" t="inlineStr">
        <is>
          <t>YEAR</t>
        </is>
      </c>
      <c r="D6" s="122" t="inlineStr">
        <is>
          <t>CATEGORY</t>
        </is>
      </c>
    </row>
    <row r="7" ht="27.75" customHeight="1" s="104">
      <c r="B7" s="123" t="inlineStr">
        <is>
          <t>Mar</t>
        </is>
      </c>
      <c r="C7" s="123" t="n">
        <v>2026</v>
      </c>
      <c r="D7" s="123" t="inlineStr">
        <is>
          <t>All Categories</t>
        </is>
      </c>
    </row>
    <row r="9" ht="15" customHeight="1" s="104">
      <c r="B9" s="164" t="inlineStr">
        <is>
          <t>KEY METRICS</t>
        </is>
      </c>
    </row>
    <row r="11" ht="21.75" customHeight="1" s="104">
      <c r="B11" s="114" t="inlineStr">
        <is>
          <t>NET SALES</t>
        </is>
      </c>
      <c r="C11" s="112" t="n"/>
      <c r="D11" s="165">
        <f>SUMIFS('Sales Data'!$R$6:$R$10000,'Sales Data'!$B$6:$B$10000,"Tiktok",'Sales Data'!$BC$6:$BC$10000,$B$7,'Sales Data'!$BD$6:$BD$10000,$C$7)</f>
        <v/>
      </c>
      <c r="E11" s="111" t="n"/>
      <c r="F11" s="112" t="n"/>
    </row>
    <row r="12" ht="21.75" customHeight="1" s="104">
      <c r="B12" s="117" t="inlineStr">
        <is>
          <t>UNIT SALES</t>
        </is>
      </c>
      <c r="C12" s="112" t="n"/>
      <c r="D12" s="179">
        <f>SUMIFS('Sales Data'!$G$6:$G$10000,'Sales Data'!$B$6:$B$10000,"Tiktok",'Sales Data'!$BC$6:$BC$10000,$B$7,'Sales Data'!$BD$6:$BD$10000,$C$7)</f>
        <v/>
      </c>
      <c r="E12" s="111" t="n"/>
      <c r="F12" s="112" t="n"/>
    </row>
    <row r="13" ht="21.75" customHeight="1" s="104">
      <c r="B13" s="114" t="inlineStr">
        <is>
          <t>TIKTOK SHIPPING</t>
        </is>
      </c>
      <c r="C13" s="112" t="n"/>
      <c r="D13" s="165">
        <f>SUMIFS('Sales Data'!$S$6:$S$10000,'Sales Data'!$B$6:$B$10000,"Tiktok",'Sales Data'!$BC$6:$BC$10000,$B$7,'Sales Data'!$BD$6:$BD$10000,$C$7)</f>
        <v/>
      </c>
      <c r="E13" s="111" t="n"/>
      <c r="F13" s="112" t="n"/>
    </row>
    <row r="14" ht="21.75" customHeight="1" s="104">
      <c r="B14" s="117" t="inlineStr">
        <is>
          <t>MCF SHIPPING FEES</t>
        </is>
      </c>
      <c r="C14" s="112" t="n"/>
      <c r="D14" s="166">
        <f>SUMIFS('Sales Data'!$U$6:$U$10000,'Sales Data'!$B$6:$B$10000,"Tiktok",'Sales Data'!$BC$6:$BC$10000,$B$7,'Sales Data'!$BD$6:$BD$10000,$C$7)</f>
        <v/>
      </c>
      <c r="E14" s="111" t="n"/>
      <c r="F14" s="112" t="n"/>
    </row>
    <row r="15" ht="21.75" customHeight="1" s="104">
      <c r="B15" s="114" t="inlineStr">
        <is>
          <t>3PL LABEL COST</t>
        </is>
      </c>
      <c r="C15" s="112" t="n"/>
      <c r="D15" s="165">
        <f>SUMIFS('Sales Data'!$T$6:$T$10000,'Sales Data'!$B$6:$B$10000,"Tiktok",'Sales Data'!$BC$6:$BC$10000,$B$7,'Sales Data'!$BD$6:$BD$10000,$C$7)</f>
        <v/>
      </c>
      <c r="E15" s="111" t="n"/>
      <c r="F15" s="112" t="n"/>
    </row>
    <row r="16" ht="21.75" customHeight="1" s="104">
      <c r="B16" s="117" t="inlineStr">
        <is>
          <t>FEES</t>
        </is>
      </c>
      <c r="C16" s="112" t="n"/>
      <c r="D16" s="166">
        <f>SUMIFS('Sales Data'!$V$6:$V$10000,'Sales Data'!$B$6:$B$10000,"Tiktok",'Sales Data'!$BC$6:$BC$10000,$B$7,'Sales Data'!$BD$6:$BD$10000,$C$7)</f>
        <v/>
      </c>
      <c r="E16" s="111" t="n"/>
      <c r="F16" s="112" t="n"/>
    </row>
    <row r="17" ht="21.75" customHeight="1" s="104">
      <c r="B17" s="114" t="inlineStr">
        <is>
          <t>REFERRAL FEE</t>
        </is>
      </c>
      <c r="C17" s="112" t="n"/>
      <c r="D17" s="165">
        <f>SUMIFS('Sales Data'!$W$6:$W$10000,'Sales Data'!$B$6:$B$10000,"Tiktok",'Sales Data'!$BC$6:$BC$10000,$B$7,'Sales Data'!$BD$6:$BD$10000,$C$7)</f>
        <v/>
      </c>
      <c r="E17" s="111" t="n"/>
      <c r="F17" s="112" t="n"/>
    </row>
    <row r="18" ht="21.75" customHeight="1" s="104">
      <c r="B18" s="117" t="inlineStr">
        <is>
          <t>AFFILIATE COMMISSION</t>
        </is>
      </c>
      <c r="C18" s="112" t="n"/>
      <c r="D18" s="166">
        <f>SUMIFS('Sales Data'!$X$6:$X$10000,'Sales Data'!$B$6:$B$10000,"Tiktok",'Sales Data'!$BC$6:$BC$10000,$B$7,'Sales Data'!$BD$6:$BD$10000,$C$7)</f>
        <v/>
      </c>
      <c r="E18" s="111" t="n"/>
      <c r="F18" s="112" t="n"/>
    </row>
    <row r="19" ht="21.75" customHeight="1" s="104">
      <c r="B19" s="114" t="inlineStr">
        <is>
          <t>ADJUSTMENTS</t>
        </is>
      </c>
      <c r="C19" s="112" t="n"/>
      <c r="D19" s="165">
        <f>SUMIFS('Sales Data'!$Y$6:$Y$10000,'Sales Data'!$B$6:$B$10000,"Tiktok",'Sales Data'!$BC$6:$BC$10000,$B$7,'Sales Data'!$BD$6:$BD$10000,$C$7)</f>
        <v/>
      </c>
      <c r="E19" s="111" t="n"/>
      <c r="F19" s="112" t="n"/>
    </row>
    <row r="20" ht="21.75" customHeight="1" s="104">
      <c r="B20" s="117" t="inlineStr">
        <is>
          <t>COGS</t>
        </is>
      </c>
      <c r="C20" s="112" t="n"/>
      <c r="D20" s="166">
        <f>SUMIFS('Sales Data'!$Z$6:$Z$10000,'Sales Data'!$B$6:$B$10000,"Tiktok",'Sales Data'!$BC$6:$BC$10000,$B$7,'Sales Data'!$BD$6:$BD$10000,$C$7)</f>
        <v/>
      </c>
      <c r="E20" s="111" t="n"/>
      <c r="F20" s="112" t="n"/>
    </row>
    <row r="21" ht="21.75" customHeight="1" s="104">
      <c r="B21" s="114" t="inlineStr">
        <is>
          <t>ADVERTISING COST</t>
        </is>
      </c>
      <c r="C21" s="112" t="n"/>
      <c r="D21" s="165">
        <f>SUMIFS('Sales Data'!$AA$6:$AA$10000,'Sales Data'!$B$6:$B$10000,"Tiktok",'Sales Data'!$BC$6:$BC$10000,$B$7,'Sales Data'!$BD$6:$BD$10000,$C$7)</f>
        <v/>
      </c>
      <c r="E21" s="111" t="n"/>
      <c r="F21" s="112" t="n"/>
    </row>
    <row r="22" ht="21.75" customHeight="1" s="104">
      <c r="B22" s="117" t="inlineStr">
        <is>
          <t>NET PROFIT</t>
        </is>
      </c>
      <c r="C22" s="112" t="n"/>
      <c r="D22" s="166">
        <f>SUMIFS('Sales Data'!$AB$6:$AB$10000,'Sales Data'!$B$6:$B$10000,"Tiktok",'Sales Data'!$BC$6:$BC$10000,$B$7,'Sales Data'!$BD$6:$BD$10000,$C$7)</f>
        <v/>
      </c>
      <c r="E22" s="111" t="n"/>
      <c r="F22" s="112" t="n"/>
    </row>
    <row r="23" ht="21.75" customHeight="1" s="104">
      <c r="B23" s="114" t="inlineStr">
        <is>
          <t>TACOS</t>
        </is>
      </c>
      <c r="C23" s="112" t="n"/>
      <c r="D23" s="169">
        <f>SUMIFS('Sales Data'!$M$6:$M$10000,'Sales Data'!$B$6:$B$10000,"Tiktok",'Sales Data'!$BC$6:$BC$10000,$B$7,'Sales Data'!$BD$6:$BD$10000,$C$7)</f>
        <v/>
      </c>
      <c r="E23" s="111" t="n"/>
      <c r="F23" s="112" t="n"/>
    </row>
    <row r="24" ht="21.75" customHeight="1" s="104">
      <c r="B24" s="117" t="inlineStr">
        <is>
          <t>% REFUNDS</t>
        </is>
      </c>
      <c r="C24" s="112" t="n"/>
      <c r="D24" s="168">
        <f>SUMIFS('Sales Data'!$N$6:$N$10000,'Sales Data'!$B$6:$B$10000,"Tiktok",'Sales Data'!$BC$6:$BC$10000,$B$7,'Sales Data'!$BD$6:$BD$10000,$C$7)</f>
        <v/>
      </c>
      <c r="E24" s="111" t="n"/>
      <c r="F24" s="112" t="n"/>
    </row>
    <row r="25" ht="21.75" customHeight="1" s="104">
      <c r="B25" s="114" t="inlineStr">
        <is>
          <t>MARGIN</t>
        </is>
      </c>
      <c r="C25" s="112" t="n"/>
      <c r="D25" s="169">
        <f>SUMIFS('Sales Data'!$AC$6:$AC$10000,'Sales Data'!$B$6:$B$10000,"Tiktok",'Sales Data'!$BC$6:$BC$10000,$B$7,'Sales Data'!$BD$6:$BD$10000,$C$7)</f>
        <v/>
      </c>
      <c r="E25" s="111" t="n"/>
      <c r="F25" s="112" t="n"/>
    </row>
    <row r="28" ht="25.5" customHeight="1" s="104">
      <c r="B28" s="164" t="inlineStr">
        <is>
          <t>MONTHLY TREND</t>
        </is>
      </c>
      <c r="I28" s="135" t="inlineStr">
        <is>
          <t>Trend Year:</t>
        </is>
      </c>
      <c r="J28" s="123" t="n">
        <v>2026</v>
      </c>
    </row>
    <row r="30" ht="21.75" customHeight="1" s="104">
      <c r="B30" s="136" t="inlineStr">
        <is>
          <t>METRIC</t>
        </is>
      </c>
      <c r="C30" s="125" t="inlineStr">
        <is>
          <t>Jan</t>
        </is>
      </c>
      <c r="D30" s="125" t="inlineStr">
        <is>
          <t>Feb</t>
        </is>
      </c>
      <c r="E30" s="125" t="inlineStr">
        <is>
          <t>Mar</t>
        </is>
      </c>
      <c r="F30" s="125" t="inlineStr">
        <is>
          <t>Apr</t>
        </is>
      </c>
      <c r="G30" s="125" t="inlineStr">
        <is>
          <t>May</t>
        </is>
      </c>
      <c r="H30" s="125" t="inlineStr">
        <is>
          <t>Jun</t>
        </is>
      </c>
      <c r="I30" s="125" t="inlineStr">
        <is>
          <t>Jul</t>
        </is>
      </c>
      <c r="J30" s="125" t="inlineStr">
        <is>
          <t>Aug</t>
        </is>
      </c>
      <c r="K30" s="125" t="inlineStr">
        <is>
          <t>Sep</t>
        </is>
      </c>
      <c r="L30" s="125" t="inlineStr">
        <is>
          <t>Oct</t>
        </is>
      </c>
      <c r="M30" s="125" t="inlineStr">
        <is>
          <t>Nov</t>
        </is>
      </c>
      <c r="N30" s="125" t="inlineStr">
        <is>
          <t>Dec</t>
        </is>
      </c>
      <c r="O30" s="137" t="inlineStr">
        <is>
          <t>YEAR TOTAL</t>
        </is>
      </c>
    </row>
    <row r="31" ht="19.5" customHeight="1" s="104">
      <c r="B31" s="170" t="inlineStr">
        <is>
          <t>Net Sales (USD)</t>
        </is>
      </c>
      <c r="C31" s="144">
        <f>SUMIFS('Sales Data'!$R$6:$R$10000,'Sales Data'!$B$6:$B$10000,"Tiktok",'Sales Data'!$BC$6:$BC$10000,"Jan",'Sales Data'!$BD$6:$BD$10000,$J$28)</f>
        <v/>
      </c>
      <c r="D31" s="144">
        <f>SUMIFS('Sales Data'!$R$6:$R$10000,'Sales Data'!$B$6:$B$10000,"Tiktok",'Sales Data'!$BC$6:$BC$10000,"Feb",'Sales Data'!$BD$6:$BD$10000,$J$28)</f>
        <v/>
      </c>
      <c r="E31" s="144">
        <f>SUMIFS('Sales Data'!$R$6:$R$10000,'Sales Data'!$B$6:$B$10000,"Tiktok",'Sales Data'!$BC$6:$BC$10000,"Mar",'Sales Data'!$BD$6:$BD$10000,$J$28)</f>
        <v/>
      </c>
      <c r="F31" s="144">
        <f>SUMIFS('Sales Data'!$R$6:$R$10000,'Sales Data'!$B$6:$B$10000,"Tiktok",'Sales Data'!$BC$6:$BC$10000,"Apr",'Sales Data'!$BD$6:$BD$10000,$J$28)</f>
        <v/>
      </c>
      <c r="G31" s="144">
        <f>SUMIFS('Sales Data'!$R$6:$R$10000,'Sales Data'!$B$6:$B$10000,"Tiktok",'Sales Data'!$BC$6:$BC$10000,"May",'Sales Data'!$BD$6:$BD$10000,$J$28)</f>
        <v/>
      </c>
      <c r="H31" s="144">
        <f>SUMIFS('Sales Data'!$R$6:$R$10000,'Sales Data'!$B$6:$B$10000,"Tiktok",'Sales Data'!$BC$6:$BC$10000,"Jun",'Sales Data'!$BD$6:$BD$10000,$J$28)</f>
        <v/>
      </c>
      <c r="I31" s="144">
        <f>SUMIFS('Sales Data'!$R$6:$R$10000,'Sales Data'!$B$6:$B$10000,"Tiktok",'Sales Data'!$BC$6:$BC$10000,"Jul",'Sales Data'!$BD$6:$BD$10000,$J$28)</f>
        <v/>
      </c>
      <c r="J31" s="144">
        <f>SUMIFS('Sales Data'!$R$6:$R$10000,'Sales Data'!$B$6:$B$10000,"Tiktok",'Sales Data'!$BC$6:$BC$10000,"Aug",'Sales Data'!$BD$6:$BD$10000,$J$28)</f>
        <v/>
      </c>
      <c r="K31" s="144">
        <f>SUMIFS('Sales Data'!$R$6:$R$10000,'Sales Data'!$B$6:$B$10000,"Tiktok",'Sales Data'!$BC$6:$BC$10000,"Sep",'Sales Data'!$BD$6:$BD$10000,$J$28)</f>
        <v/>
      </c>
      <c r="L31" s="144">
        <f>SUMIFS('Sales Data'!$R$6:$R$10000,'Sales Data'!$B$6:$B$10000,"Tiktok",'Sales Data'!$BC$6:$BC$10000,"Oct",'Sales Data'!$BD$6:$BD$10000,$J$28)</f>
        <v/>
      </c>
      <c r="M31" s="144">
        <f>SUMIFS('Sales Data'!$R$6:$R$10000,'Sales Data'!$B$6:$B$10000,"Tiktok",'Sales Data'!$BC$6:$BC$10000,"Nov",'Sales Data'!$BD$6:$BD$10000,$J$28)</f>
        <v/>
      </c>
      <c r="N31" s="144">
        <f>SUMIFS('Sales Data'!$R$6:$R$10000,'Sales Data'!$B$6:$B$10000,"Tiktok",'Sales Data'!$BC$6:$BC$10000,"Dec",'Sales Data'!$BD$6:$BD$10000,$J$28)</f>
        <v/>
      </c>
      <c r="O31" s="141">
        <f>SUM(C31:N31)</f>
        <v/>
      </c>
    </row>
    <row r="32" ht="19.5" customHeight="1" s="104">
      <c r="B32" s="149" t="inlineStr">
        <is>
          <t>Units</t>
        </is>
      </c>
      <c r="C32" s="171">
        <f>SUMIFS('Sales Data'!$G$6:$G$10000,'Sales Data'!$B$6:$B$10000,"Tiktok",'Sales Data'!$BC$6:$BC$10000,"Jan",'Sales Data'!$BD$6:$BD$10000,$J$28)</f>
        <v/>
      </c>
      <c r="D32" s="171">
        <f>SUMIFS('Sales Data'!$G$6:$G$10000,'Sales Data'!$B$6:$B$10000,"Tiktok",'Sales Data'!$BC$6:$BC$10000,"Feb",'Sales Data'!$BD$6:$BD$10000,$J$28)</f>
        <v/>
      </c>
      <c r="E32" s="171">
        <f>SUMIFS('Sales Data'!$G$6:$G$10000,'Sales Data'!$B$6:$B$10000,"Tiktok",'Sales Data'!$BC$6:$BC$10000,"Mar",'Sales Data'!$BD$6:$BD$10000,$J$28)</f>
        <v/>
      </c>
      <c r="F32" s="171">
        <f>SUMIFS('Sales Data'!$G$6:$G$10000,'Sales Data'!$B$6:$B$10000,"Tiktok",'Sales Data'!$BC$6:$BC$10000,"Apr",'Sales Data'!$BD$6:$BD$10000,$J$28)</f>
        <v/>
      </c>
      <c r="G32" s="171">
        <f>SUMIFS('Sales Data'!$G$6:$G$10000,'Sales Data'!$B$6:$B$10000,"Tiktok",'Sales Data'!$BC$6:$BC$10000,"May",'Sales Data'!$BD$6:$BD$10000,$J$28)</f>
        <v/>
      </c>
      <c r="H32" s="171">
        <f>SUMIFS('Sales Data'!$G$6:$G$10000,'Sales Data'!$B$6:$B$10000,"Tiktok",'Sales Data'!$BC$6:$BC$10000,"Jun",'Sales Data'!$BD$6:$BD$10000,$J$28)</f>
        <v/>
      </c>
      <c r="I32" s="171">
        <f>SUMIFS('Sales Data'!$G$6:$G$10000,'Sales Data'!$B$6:$B$10000,"Tiktok",'Sales Data'!$BC$6:$BC$10000,"Jul",'Sales Data'!$BD$6:$BD$10000,$J$28)</f>
        <v/>
      </c>
      <c r="J32" s="171">
        <f>SUMIFS('Sales Data'!$G$6:$G$10000,'Sales Data'!$B$6:$B$10000,"Tiktok",'Sales Data'!$BC$6:$BC$10000,"Aug",'Sales Data'!$BD$6:$BD$10000,$J$28)</f>
        <v/>
      </c>
      <c r="K32" s="171">
        <f>SUMIFS('Sales Data'!$G$6:$G$10000,'Sales Data'!$B$6:$B$10000,"Tiktok",'Sales Data'!$BC$6:$BC$10000,"Sep",'Sales Data'!$BD$6:$BD$10000,$J$28)</f>
        <v/>
      </c>
      <c r="L32" s="171">
        <f>SUMIFS('Sales Data'!$G$6:$G$10000,'Sales Data'!$B$6:$B$10000,"Tiktok",'Sales Data'!$BC$6:$BC$10000,"Oct",'Sales Data'!$BD$6:$BD$10000,$J$28)</f>
        <v/>
      </c>
      <c r="M32" s="171">
        <f>SUMIFS('Sales Data'!$G$6:$G$10000,'Sales Data'!$B$6:$B$10000,"Tiktok",'Sales Data'!$BC$6:$BC$10000,"Nov",'Sales Data'!$BD$6:$BD$10000,$J$28)</f>
        <v/>
      </c>
      <c r="N32" s="171">
        <f>SUMIFS('Sales Data'!$G$6:$G$10000,'Sales Data'!$B$6:$B$10000,"Tiktok",'Sales Data'!$BC$6:$BC$10000,"Dec",'Sales Data'!$BD$6:$BD$10000,$J$28)</f>
        <v/>
      </c>
      <c r="O32" s="172">
        <f>SUM(C32:N32)</f>
        <v/>
      </c>
    </row>
    <row r="33" ht="19.5" customHeight="1" s="104">
      <c r="B33" s="139" t="inlineStr">
        <is>
          <t>COGS</t>
        </is>
      </c>
      <c r="C33" s="140">
        <f>SUMIFS('Sales Data'!$Z$6:$Z$10000,'Sales Data'!$B$6:$B$10000,"Tiktok",'Sales Data'!$BC$6:$BC$10000,"Jan",'Sales Data'!$BD$6:$BD$10000,$J$28)</f>
        <v/>
      </c>
      <c r="D33" s="140">
        <f>SUMIFS('Sales Data'!$Z$6:$Z$10000,'Sales Data'!$B$6:$B$10000,"Tiktok",'Sales Data'!$BC$6:$BC$10000,"Feb",'Sales Data'!$BD$6:$BD$10000,$J$28)</f>
        <v/>
      </c>
      <c r="E33" s="140">
        <f>SUMIFS('Sales Data'!$Z$6:$Z$10000,'Sales Data'!$B$6:$B$10000,"Tiktok",'Sales Data'!$BC$6:$BC$10000,"Mar",'Sales Data'!$BD$6:$BD$10000,$J$28)</f>
        <v/>
      </c>
      <c r="F33" s="140">
        <f>SUMIFS('Sales Data'!$Z$6:$Z$10000,'Sales Data'!$B$6:$B$10000,"Tiktok",'Sales Data'!$BC$6:$BC$10000,"Apr",'Sales Data'!$BD$6:$BD$10000,$J$28)</f>
        <v/>
      </c>
      <c r="G33" s="140">
        <f>SUMIFS('Sales Data'!$Z$6:$Z$10000,'Sales Data'!$B$6:$B$10000,"Tiktok",'Sales Data'!$BC$6:$BC$10000,"May",'Sales Data'!$BD$6:$BD$10000,$J$28)</f>
        <v/>
      </c>
      <c r="H33" s="140">
        <f>SUMIFS('Sales Data'!$Z$6:$Z$10000,'Sales Data'!$B$6:$B$10000,"Tiktok",'Sales Data'!$BC$6:$BC$10000,"Jun",'Sales Data'!$BD$6:$BD$10000,$J$28)</f>
        <v/>
      </c>
      <c r="I33" s="140">
        <f>SUMIFS('Sales Data'!$Z$6:$Z$10000,'Sales Data'!$B$6:$B$10000,"Tiktok",'Sales Data'!$BC$6:$BC$10000,"Jul",'Sales Data'!$BD$6:$BD$10000,$J$28)</f>
        <v/>
      </c>
      <c r="J33" s="140">
        <f>SUMIFS('Sales Data'!$Z$6:$Z$10000,'Sales Data'!$B$6:$B$10000,"Tiktok",'Sales Data'!$BC$6:$BC$10000,"Aug",'Sales Data'!$BD$6:$BD$10000,$J$28)</f>
        <v/>
      </c>
      <c r="K33" s="140">
        <f>SUMIFS('Sales Data'!$Z$6:$Z$10000,'Sales Data'!$B$6:$B$10000,"Tiktok",'Sales Data'!$BC$6:$BC$10000,"Sep",'Sales Data'!$BD$6:$BD$10000,$J$28)</f>
        <v/>
      </c>
      <c r="L33" s="140">
        <f>SUMIFS('Sales Data'!$Z$6:$Z$10000,'Sales Data'!$B$6:$B$10000,"Tiktok",'Sales Data'!$BC$6:$BC$10000,"Oct",'Sales Data'!$BD$6:$BD$10000,$J$28)</f>
        <v/>
      </c>
      <c r="M33" s="140">
        <f>SUMIFS('Sales Data'!$Z$6:$Z$10000,'Sales Data'!$B$6:$B$10000,"Tiktok",'Sales Data'!$BC$6:$BC$10000,"Nov",'Sales Data'!$BD$6:$BD$10000,$J$28)</f>
        <v/>
      </c>
      <c r="N33" s="140">
        <f>SUMIFS('Sales Data'!$Z$6:$Z$10000,'Sales Data'!$B$6:$B$10000,"Tiktok",'Sales Data'!$BC$6:$BC$10000,"Dec",'Sales Data'!$BD$6:$BD$10000,$J$28)</f>
        <v/>
      </c>
      <c r="O33" s="141">
        <f>SUM(C33:N33)</f>
        <v/>
      </c>
    </row>
    <row r="34" ht="19.5" customHeight="1" s="104">
      <c r="B34" s="149" t="inlineStr">
        <is>
          <t>Ad Cost</t>
        </is>
      </c>
      <c r="C34" s="150">
        <f>SUMIFS('Sales Data'!$AA$6:$AA$10000,'Sales Data'!$B$6:$B$10000,"Tiktok",'Sales Data'!$BC$6:$BC$10000,"Jan",'Sales Data'!$BD$6:$BD$10000,$J$28)</f>
        <v/>
      </c>
      <c r="D34" s="150">
        <f>SUMIFS('Sales Data'!$AA$6:$AA$10000,'Sales Data'!$B$6:$B$10000,"Tiktok",'Sales Data'!$BC$6:$BC$10000,"Feb",'Sales Data'!$BD$6:$BD$10000,$J$28)</f>
        <v/>
      </c>
      <c r="E34" s="150">
        <f>SUMIFS('Sales Data'!$AA$6:$AA$10000,'Sales Data'!$B$6:$B$10000,"Tiktok",'Sales Data'!$BC$6:$BC$10000,"Mar",'Sales Data'!$BD$6:$BD$10000,$J$28)</f>
        <v/>
      </c>
      <c r="F34" s="150">
        <f>SUMIFS('Sales Data'!$AA$6:$AA$10000,'Sales Data'!$B$6:$B$10000,"Tiktok",'Sales Data'!$BC$6:$BC$10000,"Apr",'Sales Data'!$BD$6:$BD$10000,$J$28)</f>
        <v/>
      </c>
      <c r="G34" s="150">
        <f>SUMIFS('Sales Data'!$AA$6:$AA$10000,'Sales Data'!$B$6:$B$10000,"Tiktok",'Sales Data'!$BC$6:$BC$10000,"May",'Sales Data'!$BD$6:$BD$10000,$J$28)</f>
        <v/>
      </c>
      <c r="H34" s="150">
        <f>SUMIFS('Sales Data'!$AA$6:$AA$10000,'Sales Data'!$B$6:$B$10000,"Tiktok",'Sales Data'!$BC$6:$BC$10000,"Jun",'Sales Data'!$BD$6:$BD$10000,$J$28)</f>
        <v/>
      </c>
      <c r="I34" s="150">
        <f>SUMIFS('Sales Data'!$AA$6:$AA$10000,'Sales Data'!$B$6:$B$10000,"Tiktok",'Sales Data'!$BC$6:$BC$10000,"Jul",'Sales Data'!$BD$6:$BD$10000,$J$28)</f>
        <v/>
      </c>
      <c r="J34" s="150">
        <f>SUMIFS('Sales Data'!$AA$6:$AA$10000,'Sales Data'!$B$6:$B$10000,"Tiktok",'Sales Data'!$BC$6:$BC$10000,"Aug",'Sales Data'!$BD$6:$BD$10000,$J$28)</f>
        <v/>
      </c>
      <c r="K34" s="150">
        <f>SUMIFS('Sales Data'!$AA$6:$AA$10000,'Sales Data'!$B$6:$B$10000,"Tiktok",'Sales Data'!$BC$6:$BC$10000,"Sep",'Sales Data'!$BD$6:$BD$10000,$J$28)</f>
        <v/>
      </c>
      <c r="L34" s="150">
        <f>SUMIFS('Sales Data'!$AA$6:$AA$10000,'Sales Data'!$B$6:$B$10000,"Tiktok",'Sales Data'!$BC$6:$BC$10000,"Oct",'Sales Data'!$BD$6:$BD$10000,$J$28)</f>
        <v/>
      </c>
      <c r="M34" s="150">
        <f>SUMIFS('Sales Data'!$AA$6:$AA$10000,'Sales Data'!$B$6:$B$10000,"Tiktok",'Sales Data'!$BC$6:$BC$10000,"Nov",'Sales Data'!$BD$6:$BD$10000,$J$28)</f>
        <v/>
      </c>
      <c r="N34" s="150">
        <f>SUMIFS('Sales Data'!$AA$6:$AA$10000,'Sales Data'!$B$6:$B$10000,"Tiktok",'Sales Data'!$BC$6:$BC$10000,"Dec",'Sales Data'!$BD$6:$BD$10000,$J$28)</f>
        <v/>
      </c>
      <c r="O34" s="141">
        <f>SUM(C34:N34)</f>
        <v/>
      </c>
    </row>
    <row r="35" ht="19.5" customHeight="1" s="104">
      <c r="B35" s="170" t="inlineStr">
        <is>
          <t>Net Profit</t>
        </is>
      </c>
      <c r="C35" s="144">
        <f>SUMIFS('Sales Data'!$AB$6:$AB$10000,'Sales Data'!$B$6:$B$10000,"Tiktok",'Sales Data'!$BC$6:$BC$10000,"Jan",'Sales Data'!$BD$6:$BD$10000,$J$28)</f>
        <v/>
      </c>
      <c r="D35" s="144">
        <f>SUMIFS('Sales Data'!$AB$6:$AB$10000,'Sales Data'!$B$6:$B$10000,"Tiktok",'Sales Data'!$BC$6:$BC$10000,"Feb",'Sales Data'!$BD$6:$BD$10000,$J$28)</f>
        <v/>
      </c>
      <c r="E35" s="144">
        <f>SUMIFS('Sales Data'!$AB$6:$AB$10000,'Sales Data'!$B$6:$B$10000,"Tiktok",'Sales Data'!$BC$6:$BC$10000,"Mar",'Sales Data'!$BD$6:$BD$10000,$J$28)</f>
        <v/>
      </c>
      <c r="F35" s="144">
        <f>SUMIFS('Sales Data'!$AB$6:$AB$10000,'Sales Data'!$B$6:$B$10000,"Tiktok",'Sales Data'!$BC$6:$BC$10000,"Apr",'Sales Data'!$BD$6:$BD$10000,$J$28)</f>
        <v/>
      </c>
      <c r="G35" s="144">
        <f>SUMIFS('Sales Data'!$AB$6:$AB$10000,'Sales Data'!$B$6:$B$10000,"Tiktok",'Sales Data'!$BC$6:$BC$10000,"May",'Sales Data'!$BD$6:$BD$10000,$J$28)</f>
        <v/>
      </c>
      <c r="H35" s="144">
        <f>SUMIFS('Sales Data'!$AB$6:$AB$10000,'Sales Data'!$B$6:$B$10000,"Tiktok",'Sales Data'!$BC$6:$BC$10000,"Jun",'Sales Data'!$BD$6:$BD$10000,$J$28)</f>
        <v/>
      </c>
      <c r="I35" s="144">
        <f>SUMIFS('Sales Data'!$AB$6:$AB$10000,'Sales Data'!$B$6:$B$10000,"Tiktok",'Sales Data'!$BC$6:$BC$10000,"Jul",'Sales Data'!$BD$6:$BD$10000,$J$28)</f>
        <v/>
      </c>
      <c r="J35" s="144">
        <f>SUMIFS('Sales Data'!$AB$6:$AB$10000,'Sales Data'!$B$6:$B$10000,"Tiktok",'Sales Data'!$BC$6:$BC$10000,"Aug",'Sales Data'!$BD$6:$BD$10000,$J$28)</f>
        <v/>
      </c>
      <c r="K35" s="144">
        <f>SUMIFS('Sales Data'!$AB$6:$AB$10000,'Sales Data'!$B$6:$B$10000,"Tiktok",'Sales Data'!$BC$6:$BC$10000,"Sep",'Sales Data'!$BD$6:$BD$10000,$J$28)</f>
        <v/>
      </c>
      <c r="L35" s="144">
        <f>SUMIFS('Sales Data'!$AB$6:$AB$10000,'Sales Data'!$B$6:$B$10000,"Tiktok",'Sales Data'!$BC$6:$BC$10000,"Oct",'Sales Data'!$BD$6:$BD$10000,$J$28)</f>
        <v/>
      </c>
      <c r="M35" s="144">
        <f>SUMIFS('Sales Data'!$AB$6:$AB$10000,'Sales Data'!$B$6:$B$10000,"Tiktok",'Sales Data'!$BC$6:$BC$10000,"Nov",'Sales Data'!$BD$6:$BD$10000,$J$28)</f>
        <v/>
      </c>
      <c r="N35" s="144">
        <f>SUMIFS('Sales Data'!$AB$6:$AB$10000,'Sales Data'!$B$6:$B$10000,"Tiktok",'Sales Data'!$BC$6:$BC$10000,"Dec",'Sales Data'!$BD$6:$BD$10000,$J$28)</f>
        <v/>
      </c>
      <c r="O35" s="141">
        <f>SUM(C35:N35)</f>
        <v/>
      </c>
    </row>
    <row r="36" ht="19.5" customHeight="1" s="104">
      <c r="B36" s="149" t="inlineStr">
        <is>
          <t>TACOS</t>
        </is>
      </c>
      <c r="C36" s="153">
        <f>SUMIFS('Sales Data'!$M$6:$M$10000,'Sales Data'!$B$6:$B$10000,"Tiktok",'Sales Data'!$BC$6:$BC$10000,"Jan",'Sales Data'!$BD$6:$BD$10000,$J$28)</f>
        <v/>
      </c>
      <c r="D36" s="153">
        <f>SUMIFS('Sales Data'!$M$6:$M$10000,'Sales Data'!$B$6:$B$10000,"Tiktok",'Sales Data'!$BC$6:$BC$10000,"Feb",'Sales Data'!$BD$6:$BD$10000,$J$28)</f>
        <v/>
      </c>
      <c r="E36" s="153">
        <f>SUMIFS('Sales Data'!$M$6:$M$10000,'Sales Data'!$B$6:$B$10000,"Tiktok",'Sales Data'!$BC$6:$BC$10000,"Mar",'Sales Data'!$BD$6:$BD$10000,$J$28)</f>
        <v/>
      </c>
      <c r="F36" s="153">
        <f>SUMIFS('Sales Data'!$M$6:$M$10000,'Sales Data'!$B$6:$B$10000,"Tiktok",'Sales Data'!$BC$6:$BC$10000,"Apr",'Sales Data'!$BD$6:$BD$10000,$J$28)</f>
        <v/>
      </c>
      <c r="G36" s="153">
        <f>SUMIFS('Sales Data'!$M$6:$M$10000,'Sales Data'!$B$6:$B$10000,"Tiktok",'Sales Data'!$BC$6:$BC$10000,"May",'Sales Data'!$BD$6:$BD$10000,$J$28)</f>
        <v/>
      </c>
      <c r="H36" s="153">
        <f>SUMIFS('Sales Data'!$M$6:$M$10000,'Sales Data'!$B$6:$B$10000,"Tiktok",'Sales Data'!$BC$6:$BC$10000,"Jun",'Sales Data'!$BD$6:$BD$10000,$J$28)</f>
        <v/>
      </c>
      <c r="I36" s="153">
        <f>SUMIFS('Sales Data'!$M$6:$M$10000,'Sales Data'!$B$6:$B$10000,"Tiktok",'Sales Data'!$BC$6:$BC$10000,"Jul",'Sales Data'!$BD$6:$BD$10000,$J$28)</f>
        <v/>
      </c>
      <c r="J36" s="153">
        <f>SUMIFS('Sales Data'!$M$6:$M$10000,'Sales Data'!$B$6:$B$10000,"Tiktok",'Sales Data'!$BC$6:$BC$10000,"Aug",'Sales Data'!$BD$6:$BD$10000,$J$28)</f>
        <v/>
      </c>
      <c r="K36" s="153">
        <f>SUMIFS('Sales Data'!$M$6:$M$10000,'Sales Data'!$B$6:$B$10000,"Tiktok",'Sales Data'!$BC$6:$BC$10000,"Sep",'Sales Data'!$BD$6:$BD$10000,$J$28)</f>
        <v/>
      </c>
      <c r="L36" s="153">
        <f>SUMIFS('Sales Data'!$M$6:$M$10000,'Sales Data'!$B$6:$B$10000,"Tiktok",'Sales Data'!$BC$6:$BC$10000,"Oct",'Sales Data'!$BD$6:$BD$10000,$J$28)</f>
        <v/>
      </c>
      <c r="M36" s="153">
        <f>SUMIFS('Sales Data'!$M$6:$M$10000,'Sales Data'!$B$6:$B$10000,"Tiktok",'Sales Data'!$BC$6:$BC$10000,"Nov",'Sales Data'!$BD$6:$BD$10000,$J$28)</f>
        <v/>
      </c>
      <c r="N36" s="153">
        <f>SUMIFS('Sales Data'!$M$6:$M$10000,'Sales Data'!$B$6:$B$10000,"Tiktok",'Sales Data'!$BC$6:$BC$10000,"Dec",'Sales Data'!$BD$6:$BD$10000,$J$28)</f>
        <v/>
      </c>
      <c r="O36" s="147">
        <f>IFERROR(AVERAGE(C36:N36),0)</f>
        <v/>
      </c>
    </row>
    <row r="37" ht="19.5" customHeight="1" s="104">
      <c r="B37" s="170" t="inlineStr">
        <is>
          <t>Margin</t>
        </is>
      </c>
      <c r="C37" s="173">
        <f>SUMIFS('Sales Data'!$AC$6:$AC$10000,'Sales Data'!$B$6:$B$10000,"Tiktok",'Sales Data'!$BC$6:$BC$10000,"Jan",'Sales Data'!$BD$6:$BD$10000,$J$28)</f>
        <v/>
      </c>
      <c r="D37" s="173">
        <f>SUMIFS('Sales Data'!$AC$6:$AC$10000,'Sales Data'!$B$6:$B$10000,"Tiktok",'Sales Data'!$BC$6:$BC$10000,"Feb",'Sales Data'!$BD$6:$BD$10000,$J$28)</f>
        <v/>
      </c>
      <c r="E37" s="173">
        <f>SUMIFS('Sales Data'!$AC$6:$AC$10000,'Sales Data'!$B$6:$B$10000,"Tiktok",'Sales Data'!$BC$6:$BC$10000,"Mar",'Sales Data'!$BD$6:$BD$10000,$J$28)</f>
        <v/>
      </c>
      <c r="F37" s="173">
        <f>SUMIFS('Sales Data'!$AC$6:$AC$10000,'Sales Data'!$B$6:$B$10000,"Tiktok",'Sales Data'!$BC$6:$BC$10000,"Apr",'Sales Data'!$BD$6:$BD$10000,$J$28)</f>
        <v/>
      </c>
      <c r="G37" s="173">
        <f>SUMIFS('Sales Data'!$AC$6:$AC$10000,'Sales Data'!$B$6:$B$10000,"Tiktok",'Sales Data'!$BC$6:$BC$10000,"May",'Sales Data'!$BD$6:$BD$10000,$J$28)</f>
        <v/>
      </c>
      <c r="H37" s="173">
        <f>SUMIFS('Sales Data'!$AC$6:$AC$10000,'Sales Data'!$B$6:$B$10000,"Tiktok",'Sales Data'!$BC$6:$BC$10000,"Jun",'Sales Data'!$BD$6:$BD$10000,$J$28)</f>
        <v/>
      </c>
      <c r="I37" s="173">
        <f>SUMIFS('Sales Data'!$AC$6:$AC$10000,'Sales Data'!$B$6:$B$10000,"Tiktok",'Sales Data'!$BC$6:$BC$10000,"Jul",'Sales Data'!$BD$6:$BD$10000,$J$28)</f>
        <v/>
      </c>
      <c r="J37" s="173">
        <f>SUMIFS('Sales Data'!$AC$6:$AC$10000,'Sales Data'!$B$6:$B$10000,"Tiktok",'Sales Data'!$BC$6:$BC$10000,"Aug",'Sales Data'!$BD$6:$BD$10000,$J$28)</f>
        <v/>
      </c>
      <c r="K37" s="173">
        <f>SUMIFS('Sales Data'!$AC$6:$AC$10000,'Sales Data'!$B$6:$B$10000,"Tiktok",'Sales Data'!$BC$6:$BC$10000,"Sep",'Sales Data'!$BD$6:$BD$10000,$J$28)</f>
        <v/>
      </c>
      <c r="L37" s="173">
        <f>SUMIFS('Sales Data'!$AC$6:$AC$10000,'Sales Data'!$B$6:$B$10000,"Tiktok",'Sales Data'!$BC$6:$BC$10000,"Oct",'Sales Data'!$BD$6:$BD$10000,$J$28)</f>
        <v/>
      </c>
      <c r="M37" s="173">
        <f>SUMIFS('Sales Data'!$AC$6:$AC$10000,'Sales Data'!$B$6:$B$10000,"Tiktok",'Sales Data'!$BC$6:$BC$10000,"Nov",'Sales Data'!$BD$6:$BD$10000,$J$28)</f>
        <v/>
      </c>
      <c r="N37" s="173">
        <f>SUMIFS('Sales Data'!$AC$6:$AC$10000,'Sales Data'!$B$6:$B$10000,"Tiktok",'Sales Data'!$BC$6:$BC$10000,"Dec",'Sales Data'!$BD$6:$BD$10000,$J$28)</f>
        <v/>
      </c>
      <c r="O37" s="147">
        <f>IFERROR(AVERAGE(C37:N37),0)</f>
        <v/>
      </c>
    </row>
    <row r="40" ht="15" customHeight="1" s="104">
      <c r="B40" s="164" t="inlineStr">
        <is>
          <t>EXPENSE BREAKDOWN · MAIN &amp; SUB CATEGORY</t>
        </is>
      </c>
      <c r="J40" s="164" t="inlineStr">
        <is>
          <t>SALES BREAKDOWN · SUB-CATEGORY</t>
        </is>
      </c>
    </row>
    <row r="41" ht="21.75" customHeight="1" s="104">
      <c r="B41" s="125" t="inlineStr">
        <is>
          <t>CATEGORY</t>
        </is>
      </c>
      <c r="C41" s="125" t="inlineStr">
        <is>
          <t>AMOUNT</t>
        </is>
      </c>
      <c r="D41" s="125" t="inlineStr">
        <is>
          <t>% OF EXPENSES</t>
        </is>
      </c>
      <c r="J41" s="125" t="inlineStr">
        <is>
          <t>SUB CATEGORY</t>
        </is>
      </c>
      <c r="K41" s="125" t="inlineStr">
        <is>
          <t>SALES AMOUNT</t>
        </is>
      </c>
      <c r="L41" s="125" t="inlineStr">
        <is>
          <t>% OF SALES</t>
        </is>
      </c>
    </row>
    <row r="42" ht="18" customHeight="1" s="104">
      <c r="B42" s="138" t="inlineStr">
        <is>
          <t>Tiktok Shipping</t>
        </is>
      </c>
      <c r="C42" s="174">
        <f>IFERROR(SUMIFS('Main Expenses'!$E$6:$E$10000,'Main Expenses'!$B$6:$B$10000,"Tiktok",'Main Expenses'!$D$6:$D$10000,"Tiktok Shipping",'Main Expenses'!$K$6:$K$10000,$B$7,'Main Expenses'!$L$6:$L$10000,$C$7),0)</f>
        <v/>
      </c>
      <c r="D42" s="175">
        <f>IFERROR(C42/SUMIFS('Main Expenses'!$E$6:$E$10000,'Main Expenses'!$B$6:$B$10000,"Tiktok",'Main Expenses'!$K$6:$K$10000,$B$7,'Main Expenses'!$L$6:$L$10000,$C$7),0)</f>
        <v/>
      </c>
      <c r="J42" s="139" t="inlineStr">
        <is>
          <t>Gross sales</t>
        </is>
      </c>
      <c r="K42" s="127">
        <f>IFERROR(SUMIFS('Sales Data'!$E$6:$E$10000,'Sales Data'!$B$6:$B$10000,"Tiktok",'Sales Data'!$D$6:$D$10000,"Gross sales",'Sales Data'!$BC$6:$BC$10000,$B$7,'Sales Data'!$BD$6:$BD$10000,$C$7),0)</f>
        <v/>
      </c>
      <c r="L42" s="128">
        <f>IFERROR(K42/SUMIFS('Sales Data'!$E$6:$E$10000,'Sales Data'!$B$6:$B$10000,"Tiktok",'Sales Data'!$BC$6:$BC$10000,$B$7,'Sales Data'!$BD$6:$BD$10000,$C$7),0)</f>
        <v/>
      </c>
    </row>
    <row r="43" hidden="1" outlineLevel="1" ht="18" customHeight="1" s="104">
      <c r="B43" s="176" t="inlineStr">
        <is>
          <t xml:space="preserve">    ↳ Co-funded free shipping reimbursement</t>
        </is>
      </c>
      <c r="C43" s="177">
        <f>IFERROR(SUMIFS('Sub Expenses'!$E$6:$E$10000,'Sub Expenses'!$B$6:$B$10000,"Tiktok",'Sub Expenses'!$C$6:$C$10000,"Tiktok Shipping",'Sub Expenses'!$D$6:$D$10000,"Co-funded free shipping reimbursement",'Sub Expenses'!$J$6:$J$10000,$B$7,'Sub Expenses'!$K$6:$K$10000,$C$7),0)</f>
        <v/>
      </c>
      <c r="D43" s="178">
        <f>IFERROR(C43/SUMIFS('Main Expenses'!$E$6:$E$10000,'Main Expenses'!$B$6:$B$10000,"Tiktok",'Main Expenses'!$K$6:$K$10000,$B$7,'Main Expenses'!$L$6:$L$10000,$C$7),0)</f>
        <v/>
      </c>
      <c r="J43" s="149" t="inlineStr">
        <is>
          <t>Gross sales refund</t>
        </is>
      </c>
      <c r="K43" s="130">
        <f>IFERROR(SUMIFS('Sales Data'!$E$6:$E$10000,'Sales Data'!$B$6:$B$10000,"Tiktok",'Sales Data'!$D$6:$D$10000,"Gross sales refund",'Sales Data'!$BC$6:$BC$10000,$B$7,'Sales Data'!$BD$6:$BD$10000,$C$7),0)</f>
        <v/>
      </c>
      <c r="L43" s="131">
        <f>IFERROR(K43/SUMIFS('Sales Data'!$E$6:$E$10000,'Sales Data'!$B$6:$B$10000,"Tiktok",'Sales Data'!$BC$6:$BC$10000,$B$7,'Sales Data'!$BD$6:$BD$10000,$C$7),0)</f>
        <v/>
      </c>
    </row>
    <row r="44" hidden="1" outlineLevel="1" ht="18" customHeight="1" s="104">
      <c r="B44" s="176" t="inlineStr">
        <is>
          <t xml:space="preserve">    ↳ Customer shipping fee offset</t>
        </is>
      </c>
      <c r="C44" s="177">
        <f>IFERROR(SUMIFS('Sub Expenses'!$E$6:$E$10000,'Sub Expenses'!$B$6:$B$10000,"Tiktok",'Sub Expenses'!$C$6:$C$10000,"Tiktok Shipping",'Sub Expenses'!$D$6:$D$10000,"Customer shipping fee offset",'Sub Expenses'!$J$6:$J$10000,$B$7,'Sub Expenses'!$K$6:$K$10000,$C$7),0)</f>
        <v/>
      </c>
      <c r="D44" s="178">
        <f>IFERROR(C44/SUMIFS('Main Expenses'!$E$6:$E$10000,'Main Expenses'!$B$6:$B$10000,"Tiktok",'Main Expenses'!$K$6:$K$10000,$B$7,'Main Expenses'!$L$6:$L$10000,$C$7),0)</f>
        <v/>
      </c>
      <c r="J44" s="139" t="inlineStr">
        <is>
          <t>Seller discount</t>
        </is>
      </c>
      <c r="K44" s="127">
        <f>IFERROR(SUMIFS('Sales Data'!$E$6:$E$10000,'Sales Data'!$B$6:$B$10000,"Tiktok",'Sales Data'!$D$6:$D$10000,"Seller discount",'Sales Data'!$BC$6:$BC$10000,$B$7,'Sales Data'!$BD$6:$BD$10000,$C$7),0)</f>
        <v/>
      </c>
      <c r="L44" s="128">
        <f>IFERROR(K44/SUMIFS('Sales Data'!$E$6:$E$10000,'Sales Data'!$B$6:$B$10000,"Tiktok",'Sales Data'!$BC$6:$BC$10000,$B$7,'Sales Data'!$BD$6:$BD$10000,$C$7),0)</f>
        <v/>
      </c>
    </row>
    <row r="45" hidden="1" outlineLevel="1" ht="18" customHeight="1" s="104">
      <c r="B45" s="176" t="inlineStr">
        <is>
          <t xml:space="preserve">    ↳ Customer-paid shipping fee</t>
        </is>
      </c>
      <c r="C45" s="177">
        <f>IFERROR(SUMIFS('Sub Expenses'!$E$6:$E$10000,'Sub Expenses'!$B$6:$B$10000,"Tiktok",'Sub Expenses'!$C$6:$C$10000,"Tiktok Shipping",'Sub Expenses'!$D$6:$D$10000,"Customer-paid shipping fee",'Sub Expenses'!$J$6:$J$10000,$B$7,'Sub Expenses'!$K$6:$K$10000,$C$7),0)</f>
        <v/>
      </c>
      <c r="D45" s="178">
        <f>IFERROR(C45/SUMIFS('Main Expenses'!$E$6:$E$10000,'Main Expenses'!$B$6:$B$10000,"Tiktok",'Main Expenses'!$K$6:$K$10000,$B$7,'Main Expenses'!$L$6:$L$10000,$C$7),0)</f>
        <v/>
      </c>
      <c r="J45" s="149" t="inlineStr">
        <is>
          <t>Seller discount refund</t>
        </is>
      </c>
      <c r="K45" s="130">
        <f>IFERROR(SUMIFS('Sales Data'!$E$6:$E$10000,'Sales Data'!$B$6:$B$10000,"Tiktok",'Sales Data'!$D$6:$D$10000,"Seller discount refund",'Sales Data'!$BC$6:$BC$10000,$B$7,'Sales Data'!$BD$6:$BD$10000,$C$7),0)</f>
        <v/>
      </c>
      <c r="L45" s="131">
        <f>IFERROR(K45/SUMIFS('Sales Data'!$E$6:$E$10000,'Sales Data'!$B$6:$B$10000,"Tiktok",'Sales Data'!$BC$6:$BC$10000,$B$7,'Sales Data'!$BD$6:$BD$10000,$C$7),0)</f>
        <v/>
      </c>
    </row>
    <row r="46" hidden="1" outlineLevel="1" ht="18" customHeight="1" s="104">
      <c r="B46" s="176" t="inlineStr">
        <is>
          <t xml:space="preserve">    ↳ Customer-paid shipping fee refund</t>
        </is>
      </c>
      <c r="C46" s="177">
        <f>IFERROR(SUMIFS('Sub Expenses'!$E$6:$E$10000,'Sub Expenses'!$B$6:$B$10000,"Tiktok",'Sub Expenses'!$C$6:$C$10000,"Tiktok Shipping",'Sub Expenses'!$D$6:$D$10000,"Customer-paid shipping fee refund",'Sub Expenses'!$J$6:$J$10000,$B$7,'Sub Expenses'!$K$6:$K$10000,$C$7),0)</f>
        <v/>
      </c>
      <c r="D46" s="178">
        <f>IFERROR(C46/SUMIFS('Main Expenses'!$E$6:$E$10000,'Main Expenses'!$B$6:$B$10000,"Tiktok",'Main Expenses'!$K$6:$K$10000,$B$7,'Main Expenses'!$L$6:$L$10000,$C$7),0)</f>
        <v/>
      </c>
    </row>
    <row r="47" hidden="1" outlineLevel="1" ht="18" customHeight="1" s="104">
      <c r="B47" s="176" t="inlineStr">
        <is>
          <t xml:space="preserve">    ↳ FBT fulfillment fee</t>
        </is>
      </c>
      <c r="C47" s="177">
        <f>IFERROR(SUMIFS('Sub Expenses'!$E$6:$E$10000,'Sub Expenses'!$B$6:$B$10000,"Tiktok",'Sub Expenses'!$C$6:$C$10000,"Tiktok Shipping",'Sub Expenses'!$D$6:$D$10000,"FBT fulfillment fee",'Sub Expenses'!$J$6:$J$10000,$B$7,'Sub Expenses'!$K$6:$K$10000,$C$7),0)</f>
        <v/>
      </c>
      <c r="D47" s="178">
        <f>IFERROR(C47/SUMIFS('Main Expenses'!$E$6:$E$10000,'Main Expenses'!$B$6:$B$10000,"Tiktok",'Main Expenses'!$K$6:$K$10000,$B$7,'Main Expenses'!$L$6:$L$10000,$C$7),0)</f>
        <v/>
      </c>
    </row>
    <row r="48" hidden="1" outlineLevel="1" ht="18" customHeight="1" s="104">
      <c r="B48" s="176" t="inlineStr">
        <is>
          <t xml:space="preserve">    ↳ Fulfilled by TikTok Shop (FBT) shipping fee</t>
        </is>
      </c>
      <c r="C48" s="177">
        <f>IFERROR(SUMIFS('Sub Expenses'!$E$6:$E$10000,'Sub Expenses'!$B$6:$B$10000,"Tiktok",'Sub Expenses'!$C$6:$C$10000,"Tiktok Shipping",'Sub Expenses'!$D$6:$D$10000,"Fulfilled by TikTok Shop (FBT) shipping fee",'Sub Expenses'!$J$6:$J$10000,$B$7,'Sub Expenses'!$K$6:$K$10000,$C$7),0)</f>
        <v/>
      </c>
      <c r="D48" s="178">
        <f>IFERROR(C48/SUMIFS('Main Expenses'!$E$6:$E$10000,'Main Expenses'!$B$6:$B$10000,"Tiktok",'Main Expenses'!$K$6:$K$10000,$B$7,'Main Expenses'!$L$6:$L$10000,$C$7),0)</f>
        <v/>
      </c>
    </row>
    <row r="49" hidden="1" outlineLevel="1" ht="18" customHeight="1" s="104">
      <c r="B49" s="176" t="inlineStr">
        <is>
          <t xml:space="preserve">    ↳ Return shipping fee</t>
        </is>
      </c>
      <c r="C49" s="177">
        <f>IFERROR(SUMIFS('Sub Expenses'!$E$6:$E$10000,'Sub Expenses'!$B$6:$B$10000,"Tiktok",'Sub Expenses'!$C$6:$C$10000,"Tiktok Shipping",'Sub Expenses'!$D$6:$D$10000,"Return shipping fee",'Sub Expenses'!$J$6:$J$10000,$B$7,'Sub Expenses'!$K$6:$K$10000,$C$7),0)</f>
        <v/>
      </c>
      <c r="D49" s="178">
        <f>IFERROR(C49/SUMIFS('Main Expenses'!$E$6:$E$10000,'Main Expenses'!$B$6:$B$10000,"Tiktok",'Main Expenses'!$K$6:$K$10000,$B$7,'Main Expenses'!$L$6:$L$10000,$C$7),0)</f>
        <v/>
      </c>
    </row>
    <row r="50" hidden="1" outlineLevel="1" ht="18" customHeight="1" s="104">
      <c r="B50" s="176" t="inlineStr">
        <is>
          <t xml:space="preserve">    ↳ Return shipping fee reimbursement</t>
        </is>
      </c>
      <c r="C50" s="177">
        <f>IFERROR(SUMIFS('Sub Expenses'!$E$6:$E$10000,'Sub Expenses'!$B$6:$B$10000,"Tiktok",'Sub Expenses'!$C$6:$C$10000,"Tiktok Shipping",'Sub Expenses'!$D$6:$D$10000,"Return shipping fee reimbursement",'Sub Expenses'!$J$6:$J$10000,$B$7,'Sub Expenses'!$K$6:$K$10000,$C$7),0)</f>
        <v/>
      </c>
      <c r="D50" s="178">
        <f>IFERROR(C50/SUMIFS('Main Expenses'!$E$6:$E$10000,'Main Expenses'!$B$6:$B$10000,"Tiktok",'Main Expenses'!$K$6:$K$10000,$B$7,'Main Expenses'!$L$6:$L$10000,$C$7),0)</f>
        <v/>
      </c>
    </row>
    <row r="51" hidden="1" outlineLevel="1" ht="18" customHeight="1" s="104">
      <c r="B51" s="176" t="inlineStr">
        <is>
          <t xml:space="preserve">    ↳ Shipping fee subsidy</t>
        </is>
      </c>
      <c r="C51" s="177">
        <f>IFERROR(SUMIFS('Sub Expenses'!$E$6:$E$10000,'Sub Expenses'!$B$6:$B$10000,"Tiktok",'Sub Expenses'!$C$6:$C$10000,"Tiktok Shipping",'Sub Expenses'!$D$6:$D$10000,"Shipping fee subsidy",'Sub Expenses'!$J$6:$J$10000,$B$7,'Sub Expenses'!$K$6:$K$10000,$C$7),0)</f>
        <v/>
      </c>
      <c r="D51" s="178">
        <f>IFERROR(C51/SUMIFS('Main Expenses'!$E$6:$E$10000,'Main Expenses'!$B$6:$B$10000,"Tiktok",'Main Expenses'!$K$6:$K$10000,$B$7,'Main Expenses'!$L$6:$L$10000,$C$7),0)</f>
        <v/>
      </c>
    </row>
    <row r="52" hidden="1" outlineLevel="1" ht="18" customHeight="1" s="104">
      <c r="B52" s="176" t="inlineStr">
        <is>
          <t xml:space="preserve">    ↳ Shipping insurance fee</t>
        </is>
      </c>
      <c r="C52" s="177">
        <f>IFERROR(SUMIFS('Sub Expenses'!$E$6:$E$10000,'Sub Expenses'!$B$6:$B$10000,"Tiktok",'Sub Expenses'!$C$6:$C$10000,"Tiktok Shipping",'Sub Expenses'!$D$6:$D$10000,"Shipping insurance fee",'Sub Expenses'!$J$6:$J$10000,$B$7,'Sub Expenses'!$K$6:$K$10000,$C$7),0)</f>
        <v/>
      </c>
      <c r="D52" s="178">
        <f>IFERROR(C52/SUMIFS('Main Expenses'!$E$6:$E$10000,'Main Expenses'!$B$6:$B$10000,"Tiktok",'Main Expenses'!$K$6:$K$10000,$B$7,'Main Expenses'!$L$6:$L$10000,$C$7),0)</f>
        <v/>
      </c>
    </row>
    <row r="53" hidden="1" outlineLevel="1" ht="18" customHeight="1" s="104">
      <c r="B53" s="176" t="inlineStr">
        <is>
          <t xml:space="preserve">    ↳ Signature confirmation service fee</t>
        </is>
      </c>
      <c r="C53" s="177">
        <f>IFERROR(SUMIFS('Sub Expenses'!$E$6:$E$10000,'Sub Expenses'!$B$6:$B$10000,"Tiktok",'Sub Expenses'!$C$6:$C$10000,"Tiktok Shipping",'Sub Expenses'!$D$6:$D$10000,"Signature confirmation service fee",'Sub Expenses'!$J$6:$J$10000,$B$7,'Sub Expenses'!$K$6:$K$10000,$C$7),0)</f>
        <v/>
      </c>
      <c r="D53" s="178">
        <f>IFERROR(C53/SUMIFS('Main Expenses'!$E$6:$E$10000,'Main Expenses'!$B$6:$B$10000,"Tiktok",'Main Expenses'!$K$6:$K$10000,$B$7,'Main Expenses'!$L$6:$L$10000,$C$7),0)</f>
        <v/>
      </c>
    </row>
    <row r="54" hidden="1" outlineLevel="1" ht="18" customHeight="1" s="104">
      <c r="B54" s="176" t="inlineStr">
        <is>
          <t xml:space="preserve">    ↳ TikTok Shop shipping fee</t>
        </is>
      </c>
      <c r="C54" s="177">
        <f>IFERROR(SUMIFS('Sub Expenses'!$E$6:$E$10000,'Sub Expenses'!$B$6:$B$10000,"Tiktok",'Sub Expenses'!$C$6:$C$10000,"Tiktok Shipping",'Sub Expenses'!$D$6:$D$10000,"TikTok Shop shipping fee",'Sub Expenses'!$J$6:$J$10000,$B$7,'Sub Expenses'!$K$6:$K$10000,$C$7),0)</f>
        <v/>
      </c>
      <c r="D54" s="178">
        <f>IFERROR(C54/SUMIFS('Main Expenses'!$E$6:$E$10000,'Main Expenses'!$B$6:$B$10000,"Tiktok",'Main Expenses'!$K$6:$K$10000,$B$7,'Main Expenses'!$L$6:$L$10000,$C$7),0)</f>
        <v/>
      </c>
    </row>
    <row r="55" hidden="1" outlineLevel="1" ht="18" customHeight="1" s="104">
      <c r="B55" s="176" t="inlineStr">
        <is>
          <t xml:space="preserve">    ↳ TikTok Shop shipping incentive</t>
        </is>
      </c>
      <c r="C55" s="177">
        <f>IFERROR(SUMIFS('Sub Expenses'!$E$6:$E$10000,'Sub Expenses'!$B$6:$B$10000,"Tiktok",'Sub Expenses'!$C$6:$C$10000,"Tiktok Shipping",'Sub Expenses'!$D$6:$D$10000,"TikTok Shop shipping incentive",'Sub Expenses'!$J$6:$J$10000,$B$7,'Sub Expenses'!$K$6:$K$10000,$C$7),0)</f>
        <v/>
      </c>
      <c r="D55" s="178">
        <f>IFERROR(C55/SUMIFS('Main Expenses'!$E$6:$E$10000,'Main Expenses'!$B$6:$B$10000,"Tiktok",'Main Expenses'!$K$6:$K$10000,$B$7,'Main Expenses'!$L$6:$L$10000,$C$7),0)</f>
        <v/>
      </c>
    </row>
    <row r="56" hidden="1" outlineLevel="1" ht="18" customHeight="1" s="104">
      <c r="B56" s="176" t="inlineStr">
        <is>
          <t xml:space="preserve">    ↳ TikTok Shop shipping incentive refund</t>
        </is>
      </c>
      <c r="C56" s="177">
        <f>IFERROR(SUMIFS('Sub Expenses'!$E$6:$E$10000,'Sub Expenses'!$B$6:$B$10000,"Tiktok",'Sub Expenses'!$C$6:$C$10000,"Tiktok Shipping",'Sub Expenses'!$D$6:$D$10000,"TikTok Shop shipping incentive refund",'Sub Expenses'!$J$6:$J$10000,$B$7,'Sub Expenses'!$K$6:$K$10000,$C$7),0)</f>
        <v/>
      </c>
      <c r="D56" s="178">
        <f>IFERROR(C56/SUMIFS('Main Expenses'!$E$6:$E$10000,'Main Expenses'!$B$6:$B$10000,"Tiktok",'Main Expenses'!$K$6:$K$10000,$B$7,'Main Expenses'!$L$6:$L$10000,$C$7),0)</f>
        <v/>
      </c>
    </row>
    <row r="57" ht="18" customHeight="1" s="104">
      <c r="B57" s="138" t="inlineStr">
        <is>
          <t>MCF Shipping fees</t>
        </is>
      </c>
      <c r="C57" s="174">
        <f>IFERROR(SUMIFS('Main Expenses'!$E$6:$E$10000,'Main Expenses'!$B$6:$B$10000,"Tiktok",'Main Expenses'!$D$6:$D$10000,"MCF Shipping fees",'Main Expenses'!$K$6:$K$10000,$B$7,'Main Expenses'!$L$6:$L$10000,$C$7),0)</f>
        <v/>
      </c>
      <c r="D57" s="175">
        <f>IFERROR(C57/SUMIFS('Main Expenses'!$E$6:$E$10000,'Main Expenses'!$B$6:$B$10000,"Tiktok",'Main Expenses'!$K$6:$K$10000,$B$7,'Main Expenses'!$L$6:$L$10000,$C$7),0)</f>
        <v/>
      </c>
    </row>
    <row r="58" hidden="1" outlineLevel="1" ht="18" customHeight="1" s="104">
      <c r="B58" s="176" t="inlineStr">
        <is>
          <t xml:space="preserve">    ↳ MCF Shipping fees</t>
        </is>
      </c>
      <c r="C58" s="177">
        <f>IFERROR(SUMIFS('Sub Expenses'!$E$6:$E$10000,'Sub Expenses'!$B$6:$B$10000,"Tiktok",'Sub Expenses'!$C$6:$C$10000,"MCF Shipping fees",'Sub Expenses'!$D$6:$D$10000,"MCF Shipping fees",'Sub Expenses'!$J$6:$J$10000,$B$7,'Sub Expenses'!$K$6:$K$10000,$C$7),0)</f>
        <v/>
      </c>
      <c r="D58" s="178">
        <f>IFERROR(C58/SUMIFS('Main Expenses'!$E$6:$E$10000,'Main Expenses'!$B$6:$B$10000,"Tiktok",'Main Expenses'!$K$6:$K$10000,$B$7,'Main Expenses'!$L$6:$L$10000,$C$7),0)</f>
        <v/>
      </c>
    </row>
    <row r="59" ht="18" customHeight="1" s="104">
      <c r="B59" s="138" t="inlineStr">
        <is>
          <t>Fees</t>
        </is>
      </c>
      <c r="C59" s="174">
        <f>IFERROR(SUMIFS('Main Expenses'!$E$6:$E$10000,'Main Expenses'!$B$6:$B$10000,"Tiktok",'Main Expenses'!$D$6:$D$10000,"Fees",'Main Expenses'!$K$6:$K$10000,$B$7,'Main Expenses'!$L$6:$L$10000,$C$7),0)</f>
        <v/>
      </c>
      <c r="D59" s="175">
        <f>IFERROR(C59/SUMIFS('Main Expenses'!$E$6:$E$10000,'Main Expenses'!$B$6:$B$10000,"Tiktok",'Main Expenses'!$K$6:$K$10000,$B$7,'Main Expenses'!$L$6:$L$10000,$C$7),0)</f>
        <v/>
      </c>
    </row>
    <row r="60" hidden="1" outlineLevel="1" ht="18" customHeight="1" s="104">
      <c r="B60" s="176" t="inlineStr">
        <is>
          <t xml:space="preserve">    ↳ Affiliate Shop Ads commission</t>
        </is>
      </c>
      <c r="C60" s="177">
        <f>IFERROR(SUMIFS('Sub Expenses'!$E$6:$E$10000,'Sub Expenses'!$B$6:$B$10000,"Tiktok",'Sub Expenses'!$C$6:$C$10000,"Fees",'Sub Expenses'!$D$6:$D$10000,"Affiliate Shop Ads commission",'Sub Expenses'!$J$6:$J$10000,$B$7,'Sub Expenses'!$K$6:$K$10000,$C$7),0)</f>
        <v/>
      </c>
      <c r="D60" s="178">
        <f>IFERROR(C60/SUMIFS('Main Expenses'!$E$6:$E$10000,'Main Expenses'!$B$6:$B$10000,"Tiktok",'Main Expenses'!$K$6:$K$10000,$B$7,'Main Expenses'!$L$6:$L$10000,$C$7),0)</f>
        <v/>
      </c>
    </row>
    <row r="61" hidden="1" outlineLevel="1" ht="18" customHeight="1" s="104">
      <c r="B61" s="176" t="inlineStr">
        <is>
          <t xml:space="preserve">    ↳ Affiliate commission</t>
        </is>
      </c>
      <c r="C61" s="177">
        <f>IFERROR(SUMIFS('Sub Expenses'!$E$6:$E$10000,'Sub Expenses'!$B$6:$B$10000,"Tiktok",'Sub Expenses'!$C$6:$C$10000,"Fees",'Sub Expenses'!$D$6:$D$10000,"Affiliate commission",'Sub Expenses'!$J$6:$J$10000,$B$7,'Sub Expenses'!$K$6:$K$10000,$C$7),0)</f>
        <v/>
      </c>
      <c r="D61" s="178">
        <f>IFERROR(C61/SUMIFS('Main Expenses'!$E$6:$E$10000,'Main Expenses'!$B$6:$B$10000,"Tiktok",'Main Expenses'!$K$6:$K$10000,$B$7,'Main Expenses'!$L$6:$L$10000,$C$7),0)</f>
        <v/>
      </c>
    </row>
    <row r="62" hidden="1" outlineLevel="1" ht="18" customHeight="1" s="104">
      <c r="B62" s="176" t="inlineStr">
        <is>
          <t xml:space="preserve">    ↳ Affiliate partner commission</t>
        </is>
      </c>
      <c r="C62" s="177">
        <f>IFERROR(SUMIFS('Sub Expenses'!$E$6:$E$10000,'Sub Expenses'!$B$6:$B$10000,"Tiktok",'Sub Expenses'!$C$6:$C$10000,"Fees",'Sub Expenses'!$D$6:$D$10000,"Affiliate partner commission",'Sub Expenses'!$J$6:$J$10000,$B$7,'Sub Expenses'!$K$6:$K$10000,$C$7),0)</f>
        <v/>
      </c>
      <c r="D62" s="178">
        <f>IFERROR(C62/SUMIFS('Main Expenses'!$E$6:$E$10000,'Main Expenses'!$B$6:$B$10000,"Tiktok",'Main Expenses'!$K$6:$K$10000,$B$7,'Main Expenses'!$L$6:$L$10000,$C$7),0)</f>
        <v/>
      </c>
    </row>
    <row r="63" hidden="1" outlineLevel="1" ht="18" customHeight="1" s="104">
      <c r="B63" s="176" t="inlineStr">
        <is>
          <t xml:space="preserve">    ↳ Co-funded promotion service fee</t>
        </is>
      </c>
      <c r="C63" s="177">
        <f>IFERROR(SUMIFS('Sub Expenses'!$E$6:$E$10000,'Sub Expenses'!$B$6:$B$10000,"Tiktok",'Sub Expenses'!$C$6:$C$10000,"Fees",'Sub Expenses'!$D$6:$D$10000,"Co-funded promotion service fee",'Sub Expenses'!$J$6:$J$10000,$B$7,'Sub Expenses'!$K$6:$K$10000,$C$7),0)</f>
        <v/>
      </c>
      <c r="D63" s="178">
        <f>IFERROR(C63/SUMIFS('Main Expenses'!$E$6:$E$10000,'Main Expenses'!$B$6:$B$10000,"Tiktok",'Main Expenses'!$K$6:$K$10000,$B$7,'Main Expenses'!$L$6:$L$10000,$C$7),0)</f>
        <v/>
      </c>
    </row>
    <row r="64" hidden="1" outlineLevel="1" ht="18" customHeight="1" s="104">
      <c r="B64" s="176" t="inlineStr">
        <is>
          <t xml:space="preserve">    ↳ Referral fee</t>
        </is>
      </c>
      <c r="C64" s="177">
        <f>IFERROR(SUMIFS('Sub Expenses'!$E$6:$E$10000,'Sub Expenses'!$B$6:$B$10000,"Tiktok",'Sub Expenses'!$C$6:$C$10000,"Fees",'Sub Expenses'!$D$6:$D$10000,"Referral fee",'Sub Expenses'!$J$6:$J$10000,$B$7,'Sub Expenses'!$K$6:$K$10000,$C$7),0)</f>
        <v/>
      </c>
      <c r="D64" s="178">
        <f>IFERROR(C64/SUMIFS('Main Expenses'!$E$6:$E$10000,'Main Expenses'!$B$6:$B$10000,"Tiktok",'Main Expenses'!$K$6:$K$10000,$B$7,'Main Expenses'!$L$6:$L$10000,$C$7),0)</f>
        <v/>
      </c>
    </row>
    <row r="65" hidden="1" outlineLevel="1" ht="18" customHeight="1" s="104">
      <c r="B65" s="176" t="inlineStr">
        <is>
          <t xml:space="preserve">    ↳ Refund administration fee</t>
        </is>
      </c>
      <c r="C65" s="177">
        <f>IFERROR(SUMIFS('Sub Expenses'!$E$6:$E$10000,'Sub Expenses'!$B$6:$B$10000,"Tiktok",'Sub Expenses'!$C$6:$C$10000,"Fees",'Sub Expenses'!$D$6:$D$10000,"Refund administration fee",'Sub Expenses'!$J$6:$J$10000,$B$7,'Sub Expenses'!$K$6:$K$10000,$C$7),0)</f>
        <v/>
      </c>
      <c r="D65" s="178">
        <f>IFERROR(C65/SUMIFS('Main Expenses'!$E$6:$E$10000,'Main Expenses'!$B$6:$B$10000,"Tiktok",'Main Expenses'!$K$6:$K$10000,$B$7,'Main Expenses'!$L$6:$L$10000,$C$7),0)</f>
        <v/>
      </c>
    </row>
    <row r="66" hidden="1" outlineLevel="1" ht="18" customHeight="1" s="104">
      <c r="B66" s="176" t="inlineStr">
        <is>
          <t xml:space="preserve">    ↳ Sales tax on referral fees</t>
        </is>
      </c>
      <c r="C66" s="177">
        <f>IFERROR(SUMIFS('Sub Expenses'!$E$6:$E$10000,'Sub Expenses'!$B$6:$B$10000,"Tiktok",'Sub Expenses'!$C$6:$C$10000,"Fees",'Sub Expenses'!$D$6:$D$10000,"Sales tax on referral fees",'Sub Expenses'!$J$6:$J$10000,$B$7,'Sub Expenses'!$K$6:$K$10000,$C$7),0)</f>
        <v/>
      </c>
      <c r="D66" s="178">
        <f>IFERROR(C66/SUMIFS('Main Expenses'!$E$6:$E$10000,'Main Expenses'!$B$6:$B$10000,"Tiktok",'Main Expenses'!$K$6:$K$10000,$B$7,'Main Expenses'!$L$6:$L$10000,$C$7),0)</f>
        <v/>
      </c>
    </row>
    <row r="67" hidden="1" outlineLevel="1" ht="18" customHeight="1" s="104">
      <c r="B67" s="176" t="inlineStr">
        <is>
          <t xml:space="preserve">    ↳ Transaction fee</t>
        </is>
      </c>
      <c r="C67" s="177">
        <f>IFERROR(SUMIFS('Sub Expenses'!$E$6:$E$10000,'Sub Expenses'!$B$6:$B$10000,"Tiktok",'Sub Expenses'!$C$6:$C$10000,"Fees",'Sub Expenses'!$D$6:$D$10000,"Transaction fee",'Sub Expenses'!$J$6:$J$10000,$B$7,'Sub Expenses'!$K$6:$K$10000,$C$7),0)</f>
        <v/>
      </c>
      <c r="D67" s="178">
        <f>IFERROR(C67/SUMIFS('Main Expenses'!$E$6:$E$10000,'Main Expenses'!$B$6:$B$10000,"Tiktok",'Main Expenses'!$K$6:$K$10000,$B$7,'Main Expenses'!$L$6:$L$10000,$C$7),0)</f>
        <v/>
      </c>
    </row>
    <row r="68" ht="18" customHeight="1" s="104">
      <c r="B68" s="138" t="inlineStr">
        <is>
          <t>Adjustments</t>
        </is>
      </c>
      <c r="C68" s="174">
        <f>IFERROR(SUMIFS('Main Expenses'!$E$6:$E$10000,'Main Expenses'!$B$6:$B$10000,"Tiktok",'Main Expenses'!$D$6:$D$10000,"Adjustments
",'Main Expenses'!$K$6:$K$10000,$B$7,'Main Expenses'!$L$6:$L$10000,$C$7),0)</f>
        <v/>
      </c>
      <c r="D68" s="175">
        <f>IFERROR(C68/SUMIFS('Main Expenses'!$E$6:$E$10000,'Main Expenses'!$B$6:$B$10000,"Tiktok",'Main Expenses'!$K$6:$K$10000,$B$7,'Main Expenses'!$L$6:$L$10000,$C$7),0)</f>
        <v/>
      </c>
    </row>
    <row r="69" hidden="1" outlineLevel="1" ht="18" customHeight="1" s="104">
      <c r="B69" s="176" t="inlineStr">
        <is>
          <t xml:space="preserve">    ↳ Adjustment from settlement account</t>
        </is>
      </c>
      <c r="C69" s="177">
        <f>IFERROR(SUMIFS('Sub Expenses'!$E$6:$E$10000,'Sub Expenses'!$B$6:$B$10000,"Tiktok",'Sub Expenses'!$C$6:$C$10000,"Adjustments
",'Sub Expenses'!$D$6:$D$10000,"Adjustment from settlement account",'Sub Expenses'!$J$6:$J$10000,$B$7,'Sub Expenses'!$K$6:$K$10000,$C$7),0)</f>
        <v/>
      </c>
      <c r="D69" s="178">
        <f>IFERROR(C69/SUMIFS('Main Expenses'!$E$6:$E$10000,'Main Expenses'!$B$6:$B$10000,"Tiktok",'Main Expenses'!$K$6:$K$10000,$B$7,'Main Expenses'!$L$6:$L$10000,$C$7),0)</f>
        <v/>
      </c>
    </row>
    <row r="70" hidden="1" outlineLevel="1" ht="18" customHeight="1" s="104">
      <c r="B70" s="176" t="inlineStr">
        <is>
          <t xml:space="preserve">    ↳ Chargeback</t>
        </is>
      </c>
      <c r="C70" s="177">
        <f>IFERROR(SUMIFS('Sub Expenses'!$E$6:$E$10000,'Sub Expenses'!$B$6:$B$10000,"Tiktok",'Sub Expenses'!$C$6:$C$10000,"Adjustments
",'Sub Expenses'!$D$6:$D$10000,"Chargeback",'Sub Expenses'!$J$6:$J$10000,$B$7,'Sub Expenses'!$K$6:$K$10000,$C$7),0)</f>
        <v/>
      </c>
      <c r="D70" s="178">
        <f>IFERROR(C70/SUMIFS('Main Expenses'!$E$6:$E$10000,'Main Expenses'!$B$6:$B$10000,"Tiktok",'Main Expenses'!$K$6:$K$10000,$B$7,'Main Expenses'!$L$6:$L$10000,$C$7),0)</f>
        <v/>
      </c>
    </row>
    <row r="71" hidden="1" outlineLevel="1" ht="18" customHeight="1" s="104">
      <c r="B71" s="176" t="inlineStr">
        <is>
          <t xml:space="preserve">    ↳ Co-funded creator activity</t>
        </is>
      </c>
      <c r="C71" s="177">
        <f>IFERROR(SUMIFS('Sub Expenses'!$E$6:$E$10000,'Sub Expenses'!$B$6:$B$10000,"Tiktok",'Sub Expenses'!$C$6:$C$10000,"Adjustments
",'Sub Expenses'!$D$6:$D$10000,"Co-funded creator activity",'Sub Expenses'!$J$6:$J$10000,$B$7,'Sub Expenses'!$K$6:$K$10000,$C$7),0)</f>
        <v/>
      </c>
      <c r="D71" s="178">
        <f>IFERROR(C71/SUMIFS('Main Expenses'!$E$6:$E$10000,'Main Expenses'!$B$6:$B$10000,"Tiktok",'Main Expenses'!$K$6:$K$10000,$B$7,'Main Expenses'!$L$6:$L$10000,$C$7),0)</f>
        <v/>
      </c>
    </row>
    <row r="72" hidden="1" outlineLevel="1" ht="18" customHeight="1" s="104">
      <c r="B72" s="176" t="inlineStr">
        <is>
          <t xml:space="preserve">    ↳ FBT warehouse service fee</t>
        </is>
      </c>
      <c r="C72" s="177">
        <f>IFERROR(SUMIFS('Sub Expenses'!$E$6:$E$10000,'Sub Expenses'!$B$6:$B$10000,"Tiktok",'Sub Expenses'!$C$6:$C$10000,"Adjustments
",'Sub Expenses'!$D$6:$D$10000,"FBT warehouse service fee",'Sub Expenses'!$J$6:$J$10000,$B$7,'Sub Expenses'!$K$6:$K$10000,$C$7),0)</f>
        <v/>
      </c>
      <c r="D72" s="178">
        <f>IFERROR(C72/SUMIFS('Main Expenses'!$E$6:$E$10000,'Main Expenses'!$B$6:$B$10000,"Tiktok",'Main Expenses'!$K$6:$K$10000,$B$7,'Main Expenses'!$L$6:$L$10000,$C$7),0)</f>
        <v/>
      </c>
    </row>
    <row r="73" hidden="1" outlineLevel="1" ht="18" customHeight="1" s="104">
      <c r="B73" s="176" t="inlineStr">
        <is>
          <t xml:space="preserve">    ↳ FBT warehouse service fee using GMV payments</t>
        </is>
      </c>
      <c r="C73" s="177">
        <f>IFERROR(SUMIFS('Sub Expenses'!$E$6:$E$10000,'Sub Expenses'!$B$6:$B$10000,"Tiktok",'Sub Expenses'!$C$6:$C$10000,"Adjustments
",'Sub Expenses'!$D$6:$D$10000,"FBT warehouse service fee using GMV payments",'Sub Expenses'!$J$6:$J$10000,$B$7,'Sub Expenses'!$K$6:$K$10000,$C$7),0)</f>
        <v/>
      </c>
      <c r="D73" s="178">
        <f>IFERROR(C73/SUMIFS('Main Expenses'!$E$6:$E$10000,'Main Expenses'!$B$6:$B$10000,"Tiktok",'Main Expenses'!$K$6:$K$10000,$B$7,'Main Expenses'!$L$6:$L$10000,$C$7),0)</f>
        <v/>
      </c>
    </row>
    <row r="74" hidden="1" outlineLevel="1" ht="18" customHeight="1" s="104">
      <c r="B74" s="176" t="inlineStr">
        <is>
          <t xml:space="preserve">    ↳ Logistics adjustment</t>
        </is>
      </c>
      <c r="C74" s="177">
        <f>IFERROR(SUMIFS('Sub Expenses'!$E$6:$E$10000,'Sub Expenses'!$B$6:$B$10000,"Tiktok",'Sub Expenses'!$C$6:$C$10000,"Adjustments
",'Sub Expenses'!$D$6:$D$10000,"Logistics adjustment",'Sub Expenses'!$J$6:$J$10000,$B$7,'Sub Expenses'!$K$6:$K$10000,$C$7),0)</f>
        <v/>
      </c>
      <c r="D74" s="178">
        <f>IFERROR(C74/SUMIFS('Main Expenses'!$E$6:$E$10000,'Main Expenses'!$B$6:$B$10000,"Tiktok",'Main Expenses'!$K$6:$K$10000,$B$7,'Main Expenses'!$L$6:$L$10000,$C$7),0)</f>
        <v/>
      </c>
    </row>
    <row r="75" hidden="1" outlineLevel="1" ht="18" customHeight="1" s="104">
      <c r="B75" s="176" t="inlineStr">
        <is>
          <t xml:space="preserve">    ↳ Logistics deduction</t>
        </is>
      </c>
      <c r="C75" s="177">
        <f>IFERROR(SUMIFS('Sub Expenses'!$E$6:$E$10000,'Sub Expenses'!$B$6:$B$10000,"Tiktok",'Sub Expenses'!$C$6:$C$10000,"Adjustments
",'Sub Expenses'!$D$6:$D$10000,"Logistics deduction",'Sub Expenses'!$J$6:$J$10000,$B$7,'Sub Expenses'!$K$6:$K$10000,$C$7),0)</f>
        <v/>
      </c>
      <c r="D75" s="178">
        <f>IFERROR(C75/SUMIFS('Main Expenses'!$E$6:$E$10000,'Main Expenses'!$B$6:$B$10000,"Tiktok",'Main Expenses'!$K$6:$K$10000,$B$7,'Main Expenses'!$L$6:$L$10000,$C$7),0)</f>
        <v/>
      </c>
    </row>
    <row r="76" hidden="1" outlineLevel="1" ht="18" customHeight="1" s="104">
      <c r="B76" s="176" t="inlineStr">
        <is>
          <t xml:space="preserve">    ↳ Logistics reimbursement</t>
        </is>
      </c>
      <c r="C76" s="177">
        <f>IFERROR(SUMIFS('Sub Expenses'!$E$6:$E$10000,'Sub Expenses'!$B$6:$B$10000,"Tiktok",'Sub Expenses'!$C$6:$C$10000,"Adjustments
",'Sub Expenses'!$D$6:$D$10000,"Logistics reimbursement",'Sub Expenses'!$J$6:$J$10000,$B$7,'Sub Expenses'!$K$6:$K$10000,$C$7),0)</f>
        <v/>
      </c>
      <c r="D76" s="178">
        <f>IFERROR(C76/SUMIFS('Main Expenses'!$E$6:$E$10000,'Main Expenses'!$B$6:$B$10000,"Tiktok",'Main Expenses'!$K$6:$K$10000,$B$7,'Main Expenses'!$L$6:$L$10000,$C$7),0)</f>
        <v/>
      </c>
    </row>
    <row r="77" hidden="1" outlineLevel="1" ht="18" customHeight="1" s="104">
      <c r="B77" s="176" t="inlineStr">
        <is>
          <t xml:space="preserve">    ↳ Other adjustment</t>
        </is>
      </c>
      <c r="C77" s="177">
        <f>IFERROR(SUMIFS('Sub Expenses'!$E$6:$E$10000,'Sub Expenses'!$B$6:$B$10000,"Tiktok",'Sub Expenses'!$C$6:$C$10000,"Adjustments
",'Sub Expenses'!$D$6:$D$10000,"Other adjustment",'Sub Expenses'!$J$6:$J$10000,$B$7,'Sub Expenses'!$K$6:$K$10000,$C$7),0)</f>
        <v/>
      </c>
      <c r="D77" s="178">
        <f>IFERROR(C77/SUMIFS('Main Expenses'!$E$6:$E$10000,'Main Expenses'!$B$6:$B$10000,"Tiktok",'Main Expenses'!$K$6:$K$10000,$B$7,'Main Expenses'!$L$6:$L$10000,$C$7),0)</f>
        <v/>
      </c>
    </row>
    <row r="78" hidden="1" outlineLevel="1" ht="18" customHeight="1" s="104">
      <c r="B78" s="176" t="inlineStr">
        <is>
          <t xml:space="preserve">    ↳ Policy violation deduction</t>
        </is>
      </c>
      <c r="C78" s="177">
        <f>IFERROR(SUMIFS('Sub Expenses'!$E$6:$E$10000,'Sub Expenses'!$B$6:$B$10000,"Tiktok",'Sub Expenses'!$C$6:$C$10000,"Adjustments
",'Sub Expenses'!$D$6:$D$10000,"Policy violation deduction",'Sub Expenses'!$J$6:$J$10000,$B$7,'Sub Expenses'!$K$6:$K$10000,$C$7),0)</f>
        <v/>
      </c>
      <c r="D78" s="178">
        <f>IFERROR(C78/SUMIFS('Main Expenses'!$E$6:$E$10000,'Main Expenses'!$B$6:$B$10000,"Tiktok",'Main Expenses'!$K$6:$K$10000,$B$7,'Main Expenses'!$L$6:$L$10000,$C$7),0)</f>
        <v/>
      </c>
    </row>
    <row r="79" hidden="1" outlineLevel="1" ht="18" customHeight="1" s="104">
      <c r="B79" s="176" t="inlineStr">
        <is>
          <t xml:space="preserve">    ↳ Promotion adjustment</t>
        </is>
      </c>
      <c r="C79" s="177">
        <f>IFERROR(SUMIFS('Sub Expenses'!$E$6:$E$10000,'Sub Expenses'!$B$6:$B$10000,"Tiktok",'Sub Expenses'!$C$6:$C$10000,"Adjustments
",'Sub Expenses'!$D$6:$D$10000,"Promotion adjustment",'Sub Expenses'!$J$6:$J$10000,$B$7,'Sub Expenses'!$K$6:$K$10000,$C$7),0)</f>
        <v/>
      </c>
      <c r="D79" s="178">
        <f>IFERROR(C79/SUMIFS('Main Expenses'!$E$6:$E$10000,'Main Expenses'!$B$6:$B$10000,"Tiktok",'Main Expenses'!$K$6:$K$10000,$B$7,'Main Expenses'!$L$6:$L$10000,$C$7),0)</f>
        <v/>
      </c>
    </row>
    <row r="80" hidden="1" outlineLevel="1" ht="18" customHeight="1" s="104">
      <c r="B80" s="176" t="inlineStr">
        <is>
          <t xml:space="preserve">    ↳ Rebate</t>
        </is>
      </c>
      <c r="C80" s="177">
        <f>IFERROR(SUMIFS('Sub Expenses'!$E$6:$E$10000,'Sub Expenses'!$B$6:$B$10000,"Tiktok",'Sub Expenses'!$C$6:$C$10000,"Adjustments
",'Sub Expenses'!$D$6:$D$10000,"Rebate",'Sub Expenses'!$J$6:$J$10000,$B$7,'Sub Expenses'!$K$6:$K$10000,$C$7),0)</f>
        <v/>
      </c>
      <c r="D80" s="178">
        <f>IFERROR(C80/SUMIFS('Main Expenses'!$E$6:$E$10000,'Main Expenses'!$B$6:$B$10000,"Tiktok",'Main Expenses'!$K$6:$K$10000,$B$7,'Main Expenses'!$L$6:$L$10000,$C$7),0)</f>
        <v/>
      </c>
    </row>
    <row r="81" hidden="1" outlineLevel="1" ht="18" customHeight="1" s="104">
      <c r="B81" s="176" t="inlineStr">
        <is>
          <t xml:space="preserve">    ↳ TikTok Shop reimbursement</t>
        </is>
      </c>
      <c r="C81" s="177">
        <f>IFERROR(SUMIFS('Sub Expenses'!$E$6:$E$10000,'Sub Expenses'!$B$6:$B$10000,"Tiktok",'Sub Expenses'!$C$6:$C$10000,"Adjustments
",'Sub Expenses'!$D$6:$D$10000,"TikTok Shop reimbursement",'Sub Expenses'!$J$6:$J$10000,$B$7,'Sub Expenses'!$K$6:$K$10000,$C$7),0)</f>
        <v/>
      </c>
      <c r="D81" s="178">
        <f>IFERROR(C81/SUMIFS('Main Expenses'!$E$6:$E$10000,'Main Expenses'!$B$6:$B$10000,"Tiktok",'Main Expenses'!$K$6:$K$10000,$B$7,'Main Expenses'!$L$6:$L$10000,$C$7),0)</f>
        <v/>
      </c>
    </row>
    <row r="82" hidden="1" outlineLevel="1" ht="18" customHeight="1" s="104">
      <c r="B82" s="176" t="inlineStr">
        <is>
          <t xml:space="preserve">    ↳ TikTok fees adjustment</t>
        </is>
      </c>
      <c r="C82" s="177">
        <f>IFERROR(SUMIFS('Sub Expenses'!$E$6:$E$10000,'Sub Expenses'!$B$6:$B$10000,"Tiktok",'Sub Expenses'!$C$6:$C$10000,"Adjustments
",'Sub Expenses'!$D$6:$D$10000,"TikTok fees adjustment",'Sub Expenses'!$J$6:$J$10000,$B$7,'Sub Expenses'!$K$6:$K$10000,$C$7),0)</f>
        <v/>
      </c>
      <c r="D82" s="178">
        <f>IFERROR(C82/SUMIFS('Main Expenses'!$E$6:$E$10000,'Main Expenses'!$B$6:$B$10000,"Tiktok",'Main Expenses'!$K$6:$K$10000,$B$7,'Main Expenses'!$L$6:$L$10000,$C$7),0)</f>
        <v/>
      </c>
    </row>
    <row r="83" hidden="1" outlineLevel="1" ht="18" customHeight="1" s="104">
      <c r="B83" s="176" t="inlineStr">
        <is>
          <t xml:space="preserve">    ↳ Top up ads balance using GMV payments</t>
        </is>
      </c>
      <c r="C83" s="177">
        <f>IFERROR(SUMIFS('Sub Expenses'!$E$6:$E$10000,'Sub Expenses'!$B$6:$B$10000,"Tiktok",'Sub Expenses'!$C$6:$C$10000,"Adjustments
",'Sub Expenses'!$D$6:$D$10000,"Top up ads balance using GMV payments",'Sub Expenses'!$J$6:$J$10000,$B$7,'Sub Expenses'!$K$6:$K$10000,$C$7),0)</f>
        <v/>
      </c>
      <c r="D83" s="178">
        <f>IFERROR(C83/SUMIFS('Main Expenses'!$E$6:$E$10000,'Main Expenses'!$B$6:$B$10000,"Tiktok",'Main Expenses'!$K$6:$K$10000,$B$7,'Main Expenses'!$L$6:$L$10000,$C$7),0)</f>
        <v/>
      </c>
    </row>
    <row r="84" ht="18" customHeight="1" s="104">
      <c r="B84" s="138" t="inlineStr">
        <is>
          <t>Cost of goods</t>
        </is>
      </c>
      <c r="C84" s="174">
        <f>IFERROR(SUMIFS('Main Expenses'!$E$6:$E$10000,'Main Expenses'!$B$6:$B$10000,"Tiktok",'Main Expenses'!$D$6:$D$10000,"Cost of goods",'Main Expenses'!$K$6:$K$10000,$B$7,'Main Expenses'!$L$6:$L$10000,$C$7),0)</f>
        <v/>
      </c>
      <c r="D84" s="175">
        <f>IFERROR(C84/SUMIFS('Main Expenses'!$E$6:$E$10000,'Main Expenses'!$B$6:$B$10000,"Tiktok",'Main Expenses'!$K$6:$K$10000,$B$7,'Main Expenses'!$L$6:$L$10000,$C$7),0)</f>
        <v/>
      </c>
    </row>
    <row r="85" hidden="1" outlineLevel="1" ht="18" customHeight="1" s="104">
      <c r="B85" s="176" t="inlineStr">
        <is>
          <t xml:space="preserve">    ↳ Cost of goods sold</t>
        </is>
      </c>
      <c r="C85" s="177">
        <f>IFERROR(SUMIFS('Sub Expenses'!$E$6:$E$10000,'Sub Expenses'!$B$6:$B$10000,"Tiktok",'Sub Expenses'!$C$6:$C$10000,"Cost of goods",'Sub Expenses'!$D$6:$D$10000,"Cost of goods sold",'Sub Expenses'!$J$6:$J$10000,$B$7,'Sub Expenses'!$K$6:$K$10000,$C$7),0)</f>
        <v/>
      </c>
      <c r="D85" s="178">
        <f>IFERROR(C85/SUMIFS('Main Expenses'!$E$6:$E$10000,'Main Expenses'!$B$6:$B$10000,"Tiktok",'Main Expenses'!$K$6:$K$10000,$B$7,'Main Expenses'!$L$6:$L$10000,$C$7),0)</f>
        <v/>
      </c>
    </row>
    <row r="86" ht="18" customHeight="1" s="104">
      <c r="B86" s="138" t="inlineStr">
        <is>
          <t>Advertising cost</t>
        </is>
      </c>
      <c r="C86" s="174">
        <f>IFERROR(SUMIFS('Main Expenses'!$E$6:$E$10000,'Main Expenses'!$B$6:$B$10000,"Tiktok",'Main Expenses'!$D$6:$D$10000,"Advertising cost",'Main Expenses'!$K$6:$K$10000,$B$7,'Main Expenses'!$L$6:$L$10000,$C$7),0)</f>
        <v/>
      </c>
      <c r="D86" s="175">
        <f>IFERROR(C86/SUMIFS('Main Expenses'!$E$6:$E$10000,'Main Expenses'!$B$6:$B$10000,"Tiktok",'Main Expenses'!$K$6:$K$10000,$B$7,'Main Expenses'!$L$6:$L$10000,$C$7),0)</f>
        <v/>
      </c>
    </row>
    <row r="87" hidden="1" outlineLevel="1" ht="18" customHeight="1" s="104">
      <c r="B87" s="176" t="inlineStr">
        <is>
          <t xml:space="preserve">    ↳ Advertising Cost</t>
        </is>
      </c>
      <c r="C87" s="177">
        <f>IFERROR(SUMIFS('Sub Expenses'!$E$6:$E$10000,'Sub Expenses'!$B$6:$B$10000,"Tiktok",'Sub Expenses'!$C$6:$C$10000,"Advertising cost",'Sub Expenses'!$D$6:$D$10000,"Advertising Cost",'Sub Expenses'!$J$6:$J$10000,$B$7,'Sub Expenses'!$K$6:$K$10000,$C$7),0)</f>
        <v/>
      </c>
      <c r="D87" s="178">
        <f>IFERROR(C87/SUMIFS('Main Expenses'!$E$6:$E$10000,'Main Expenses'!$B$6:$B$10000,"Tiktok",'Main Expenses'!$K$6:$K$10000,$B$7,'Main Expenses'!$L$6:$L$10000,$C$7),0)</f>
        <v/>
      </c>
    </row>
    <row r="88" ht="21.75" customHeight="1" s="104">
      <c r="B88" s="132" t="inlineStr">
        <is>
          <t>TOTAL EXPENSES</t>
        </is>
      </c>
      <c r="C88" s="133">
        <f>SUMIFS('Main Expenses'!$E$6:$E$10000,'Main Expenses'!$B$6:$B$10000,"Tiktok",'Main Expenses'!$K$6:$K$10000,$B$7,'Main Expenses'!$L$6:$L$10000,$C$7)</f>
        <v/>
      </c>
      <c r="D88" s="134" t="n">
        <v>1</v>
      </c>
      <c r="J88" s="132" t="inlineStr">
        <is>
          <t>TOTAL SALES</t>
        </is>
      </c>
      <c r="K88" s="133">
        <f>SUMIFS('Sales Data'!$E$6:$E$10000,'Sales Data'!$B$6:$B$10000,"Tiktok",'Sales Data'!$BC$6:$BC$10000,$B$7,'Sales Data'!$BD$6:$BD$10000,$C$7)</f>
        <v/>
      </c>
      <c r="L88" s="134" t="n">
        <v>1</v>
      </c>
    </row>
  </sheetData>
  <mergeCells count="34">
    <mergeCell ref="D13:F13"/>
    <mergeCell ref="D11:F11"/>
    <mergeCell ref="B16:C16"/>
    <mergeCell ref="B40:H40"/>
    <mergeCell ref="B25:C25"/>
    <mergeCell ref="B22:C22"/>
    <mergeCell ref="D17:F17"/>
    <mergeCell ref="B3:R3"/>
    <mergeCell ref="B18:C18"/>
    <mergeCell ref="D16:F16"/>
    <mergeCell ref="B12:C12"/>
    <mergeCell ref="B21:C21"/>
    <mergeCell ref="B11:C11"/>
    <mergeCell ref="D12:F12"/>
    <mergeCell ref="B2:R2"/>
    <mergeCell ref="D18:F18"/>
    <mergeCell ref="B14:C14"/>
    <mergeCell ref="B23:C23"/>
    <mergeCell ref="B17:C17"/>
    <mergeCell ref="D25:F25"/>
    <mergeCell ref="D15:F15"/>
    <mergeCell ref="D24:F24"/>
    <mergeCell ref="B13:C13"/>
    <mergeCell ref="D14:F14"/>
    <mergeCell ref="D23:F23"/>
    <mergeCell ref="B19:C19"/>
    <mergeCell ref="J40:P40"/>
    <mergeCell ref="D20:F20"/>
    <mergeCell ref="D19:F19"/>
    <mergeCell ref="B24:C24"/>
    <mergeCell ref="B15:C15"/>
    <mergeCell ref="B20:C20"/>
    <mergeCell ref="D22:F22"/>
    <mergeCell ref="D21:F21"/>
  </mergeCells>
  <dataValidations count="3">
    <dataValidation sqref="B7" showDropDown="0" showInputMessage="0" showErrorMessage="0" allowBlank="0" type="list" errorStyle="stop" operator="between">
      <formula1>MonthList</formula1>
      <formula2>0</formula2>
    </dataValidation>
    <dataValidation sqref="C7" showDropDown="0" showInputMessage="0" showErrorMessage="0" allowBlank="0" type="list" errorStyle="stop" operator="between">
      <formula1>YearList</formula1>
      <formula2>0</formula2>
    </dataValidation>
    <dataValidation sqref="J28" showDropDown="0" showInputMessage="0" showErrorMessage="0" allowBlank="0" type="list" errorStyle="stop" operator="between">
      <formula1>YearList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B2:R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1"/>
  <cols>
    <col width="2" customWidth="1" style="103" min="1" max="1"/>
    <col width="32" customWidth="1" style="103" min="2" max="2"/>
    <col width="18" customWidth="1" style="103" min="3" max="6"/>
    <col width="12" customWidth="1" style="103" min="7" max="18"/>
    <col width="14" customWidth="1" style="103" min="19" max="19"/>
    <col width="2" customWidth="1" style="103" min="20" max="20"/>
  </cols>
  <sheetData>
    <row r="2" ht="33.75" customHeight="1" s="104">
      <c r="B2" s="121" t="inlineStr">
        <is>
          <t>SHOPIFY &amp; FAIRE DASHBOARD</t>
        </is>
      </c>
    </row>
    <row r="3" ht="15" customHeight="1" s="104">
      <c r="B3" s="107" t="inlineStr">
        <is>
          <t>Click the + symbol on the left margin to expand sub-categories · all KPIs update live via SUMIFS formulas.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</row>
    <row r="6" ht="21.75" customHeight="1" s="104">
      <c r="B6" s="122" t="inlineStr">
        <is>
          <t>MONTH</t>
        </is>
      </c>
      <c r="C6" s="122" t="inlineStr">
        <is>
          <t>YEAR</t>
        </is>
      </c>
      <c r="D6" s="122" t="inlineStr">
        <is>
          <t>CATEGORY</t>
        </is>
      </c>
    </row>
    <row r="7" ht="27.75" customHeight="1" s="104">
      <c r="B7" s="123" t="inlineStr">
        <is>
          <t>Mar</t>
        </is>
      </c>
      <c r="C7" s="123" t="n">
        <v>2026</v>
      </c>
      <c r="D7" s="123" t="inlineStr">
        <is>
          <t>All Categories</t>
        </is>
      </c>
    </row>
    <row r="9" ht="15" customHeight="1" s="104">
      <c r="B9" s="164" t="inlineStr">
        <is>
          <t>KEY METRICS</t>
        </is>
      </c>
    </row>
    <row r="11" ht="21.75" customHeight="1" s="104">
      <c r="B11" s="114" t="inlineStr">
        <is>
          <t>SALES</t>
        </is>
      </c>
      <c r="C11" s="112" t="n"/>
      <c r="D11" s="165">
        <f>SUMIFS('Sales Data'!$E$6:$E$10000,'Sales Data'!$B$6:$B$10000,"Shopify",'Sales Data'!$BC$6:$BC$10000,$B$7,'Sales Data'!$BD$6:$BD$10000,$C$7)</f>
        <v/>
      </c>
      <c r="E11" s="111" t="n"/>
      <c r="F11" s="112" t="n"/>
    </row>
    <row r="12" ht="21.75" customHeight="1" s="104">
      <c r="B12" s="117" t="inlineStr">
        <is>
          <t>UNIT SALES</t>
        </is>
      </c>
      <c r="C12" s="112" t="n"/>
      <c r="D12" s="179">
        <f>SUMIFS('Sales Data'!$G$6:$G$10000,'Sales Data'!$B$6:$B$10000,"Shopify",'Sales Data'!$BC$6:$BC$10000,$B$7,'Sales Data'!$BD$6:$BD$10000,$C$7)</f>
        <v/>
      </c>
      <c r="E12" s="111" t="n"/>
      <c r="F12" s="112" t="n"/>
    </row>
    <row r="13" ht="21.75" customHeight="1" s="104">
      <c r="B13" s="114" t="inlineStr">
        <is>
          <t>ADVERTISING COST</t>
        </is>
      </c>
      <c r="C13" s="112" t="n"/>
      <c r="D13" s="165">
        <f>SUMIFS('Sales Data'!$AD$6:$AD$10000,'Sales Data'!$B$6:$B$10000,"Shopify",'Sales Data'!$BC$6:$BC$10000,$B$7,'Sales Data'!$BD$6:$BD$10000,$C$7)</f>
        <v/>
      </c>
      <c r="E13" s="111" t="n"/>
      <c r="F13" s="112" t="n"/>
    </row>
    <row r="14" ht="21.75" customHeight="1" s="104">
      <c r="B14" s="117" t="inlineStr">
        <is>
          <t>SHIPPING COST</t>
        </is>
      </c>
      <c r="C14" s="112" t="n"/>
      <c r="D14" s="166">
        <f>SUMIFS('Sales Data'!$AE$6:$AE$10000,'Sales Data'!$B$6:$B$10000,"Shopify",'Sales Data'!$BC$6:$BC$10000,$B$7,'Sales Data'!$BD$6:$BD$10000,$C$7)</f>
        <v/>
      </c>
      <c r="E14" s="111" t="n"/>
      <c r="F14" s="112" t="n"/>
    </row>
    <row r="15" ht="21.75" customHeight="1" s="104">
      <c r="B15" s="114" t="inlineStr">
        <is>
          <t>MCF SHIPPING FEE</t>
        </is>
      </c>
      <c r="C15" s="112" t="n"/>
      <c r="D15" s="165">
        <f>SUMIFS('Sales Data'!$AF$6:$AF$10000,'Sales Data'!$B$6:$B$10000,"Shopify",'Sales Data'!$BC$6:$BC$10000,$B$7,'Sales Data'!$BD$6:$BD$10000,$C$7)</f>
        <v/>
      </c>
      <c r="E15" s="111" t="n"/>
      <c r="F15" s="112" t="n"/>
    </row>
    <row r="16" ht="21.75" customHeight="1" s="104">
      <c r="B16" s="117" t="inlineStr">
        <is>
          <t>3PL LABEL COST</t>
        </is>
      </c>
      <c r="C16" s="112" t="n"/>
      <c r="D16" s="166">
        <f>SUMIFS('Sales Data'!$AG$6:$AG$10000,'Sales Data'!$B$6:$B$10000,"Shopify",'Sales Data'!$BC$6:$BC$10000,$B$7,'Sales Data'!$BD$6:$BD$10000,$C$7)</f>
        <v/>
      </c>
      <c r="E16" s="111" t="n"/>
      <c r="F16" s="112" t="n"/>
    </row>
    <row r="17" ht="21.75" customHeight="1" s="104">
      <c r="B17" s="114" t="inlineStr">
        <is>
          <t>PAYMENT FEES</t>
        </is>
      </c>
      <c r="C17" s="112" t="n"/>
      <c r="D17" s="165">
        <f>SUMIFS('Sales Data'!$AH$6:$AH$10000,'Sales Data'!$B$6:$B$10000,"Shopify",'Sales Data'!$BC$6:$BC$10000,$B$7,'Sales Data'!$BD$6:$BD$10000,$C$7)</f>
        <v/>
      </c>
      <c r="E17" s="111" t="n"/>
      <c r="F17" s="112" t="n"/>
    </row>
    <row r="18" ht="21.75" customHeight="1" s="104">
      <c r="B18" s="117" t="inlineStr">
        <is>
          <t>COGS</t>
        </is>
      </c>
      <c r="C18" s="112" t="n"/>
      <c r="D18" s="166">
        <f>SUMIFS('Sales Data'!$AI$6:$AI$10000,'Sales Data'!$B$6:$B$10000,"Shopify",'Sales Data'!$BC$6:$BC$10000,$B$7,'Sales Data'!$BD$6:$BD$10000,$C$7)</f>
        <v/>
      </c>
      <c r="E18" s="111" t="n"/>
      <c r="F18" s="112" t="n"/>
    </row>
    <row r="19" ht="21.75" customHeight="1" s="104">
      <c r="B19" s="114" t="inlineStr">
        <is>
          <t>TAX</t>
        </is>
      </c>
      <c r="C19" s="112" t="n"/>
      <c r="D19" s="165">
        <f>SUMIFS('Sales Data'!$AJ$6:$AJ$10000,'Sales Data'!$B$6:$B$10000,"Shopify",'Sales Data'!$BC$6:$BC$10000,$B$7,'Sales Data'!$BD$6:$BD$10000,$C$7)</f>
        <v/>
      </c>
      <c r="E19" s="111" t="n"/>
      <c r="F19" s="112" t="n"/>
    </row>
    <row r="20" ht="21.75" customHeight="1" s="104">
      <c r="B20" s="117" t="inlineStr">
        <is>
          <t>GROSS PROFIT (USD)</t>
        </is>
      </c>
      <c r="C20" s="112" t="n"/>
      <c r="D20" s="166">
        <f>SUMIFS('Sales Data'!$AK$6:$AK$10000,'Sales Data'!$B$6:$B$10000,"Shopify",'Sales Data'!$BC$6:$BC$10000,$B$7,'Sales Data'!$BD$6:$BD$10000,$C$7)</f>
        <v/>
      </c>
      <c r="E20" s="111" t="n"/>
      <c r="F20" s="112" t="n"/>
    </row>
    <row r="21" ht="21.75" customHeight="1" s="104">
      <c r="B21" s="114" t="inlineStr">
        <is>
          <t>NET PROFIT (USD)</t>
        </is>
      </c>
      <c r="C21" s="112" t="n"/>
      <c r="D21" s="165">
        <f>SUMIFS('Sales Data'!$AL$6:$AL$10000,'Sales Data'!$B$6:$B$10000,"Shopify",'Sales Data'!$BC$6:$BC$10000,$B$7,'Sales Data'!$BD$6:$BD$10000,$C$7)</f>
        <v/>
      </c>
      <c r="E21" s="111" t="n"/>
      <c r="F21" s="112" t="n"/>
    </row>
    <row r="22" ht="21.75" customHeight="1" s="104">
      <c r="B22" s="117" t="inlineStr">
        <is>
          <t>TACOS</t>
        </is>
      </c>
      <c r="C22" s="112" t="n"/>
      <c r="D22" s="168">
        <f>SUMIFS('Sales Data'!$AM$6:$AM$10000,'Sales Data'!$B$6:$B$10000,"Shopify",'Sales Data'!$BC$6:$BC$10000,$B$7,'Sales Data'!$BD$6:$BD$10000,$C$7)</f>
        <v/>
      </c>
      <c r="E22" s="111" t="n"/>
      <c r="F22" s="112" t="n"/>
    </row>
    <row r="23" ht="21.75" customHeight="1" s="104">
      <c r="B23" s="114" t="inlineStr">
        <is>
          <t>% REFUNDS</t>
        </is>
      </c>
      <c r="C23" s="112" t="n"/>
      <c r="D23" s="169">
        <f>SUMIFS('Sales Data'!$AN$6:$AN$10000,'Sales Data'!$B$6:$B$10000,"Shopify",'Sales Data'!$BC$6:$BC$10000,$B$7,'Sales Data'!$BD$6:$BD$10000,$C$7)</f>
        <v/>
      </c>
      <c r="E23" s="111" t="n"/>
      <c r="F23" s="112" t="n"/>
    </row>
    <row r="24" ht="21.75" customHeight="1" s="104">
      <c r="B24" s="117" t="inlineStr">
        <is>
          <t>MARGIN</t>
        </is>
      </c>
      <c r="C24" s="112" t="n"/>
      <c r="D24" s="168">
        <f>SUMIFS('Sales Data'!$AO$6:$AO$10000,'Sales Data'!$B$6:$B$10000,"Shopify",'Sales Data'!$BC$6:$BC$10000,$B$7,'Sales Data'!$BD$6:$BD$10000,$C$7)</f>
        <v/>
      </c>
      <c r="E24" s="111" t="n"/>
      <c r="F24" s="112" t="n"/>
    </row>
    <row r="25" ht="21.75" customHeight="1" s="104">
      <c r="B25" s="114" t="inlineStr">
        <is>
          <t>ROI</t>
        </is>
      </c>
      <c r="C25" s="112" t="n"/>
      <c r="D25" s="169">
        <f>SUMIFS('Sales Data'!$AP$6:$AP$10000,'Sales Data'!$B$6:$B$10000,"Shopify",'Sales Data'!$BC$6:$BC$10000,$B$7,'Sales Data'!$BD$6:$BD$10000,$C$7)</f>
        <v/>
      </c>
      <c r="E25" s="111" t="n"/>
      <c r="F25" s="112" t="n"/>
    </row>
    <row r="28" ht="25.5" customHeight="1" s="104">
      <c r="B28" s="164" t="inlineStr">
        <is>
          <t>MONTHLY TREND</t>
        </is>
      </c>
      <c r="I28" s="135" t="inlineStr">
        <is>
          <t>Trend Year:</t>
        </is>
      </c>
      <c r="J28" s="123" t="n">
        <v>2026</v>
      </c>
    </row>
    <row r="30" ht="21.75" customHeight="1" s="104">
      <c r="B30" s="136" t="inlineStr">
        <is>
          <t>METRIC</t>
        </is>
      </c>
      <c r="C30" s="125" t="inlineStr">
        <is>
          <t>Jan</t>
        </is>
      </c>
      <c r="D30" s="125" t="inlineStr">
        <is>
          <t>Feb</t>
        </is>
      </c>
      <c r="E30" s="125" t="inlineStr">
        <is>
          <t>Mar</t>
        </is>
      </c>
      <c r="F30" s="125" t="inlineStr">
        <is>
          <t>Apr</t>
        </is>
      </c>
      <c r="G30" s="125" t="inlineStr">
        <is>
          <t>May</t>
        </is>
      </c>
      <c r="H30" s="125" t="inlineStr">
        <is>
          <t>Jun</t>
        </is>
      </c>
      <c r="I30" s="125" t="inlineStr">
        <is>
          <t>Jul</t>
        </is>
      </c>
      <c r="J30" s="125" t="inlineStr">
        <is>
          <t>Aug</t>
        </is>
      </c>
      <c r="K30" s="125" t="inlineStr">
        <is>
          <t>Sep</t>
        </is>
      </c>
      <c r="L30" s="125" t="inlineStr">
        <is>
          <t>Oct</t>
        </is>
      </c>
      <c r="M30" s="125" t="inlineStr">
        <is>
          <t>Nov</t>
        </is>
      </c>
      <c r="N30" s="125" t="inlineStr">
        <is>
          <t>Dec</t>
        </is>
      </c>
      <c r="O30" s="137" t="inlineStr">
        <is>
          <t>YEAR TOTAL</t>
        </is>
      </c>
    </row>
    <row r="31" ht="19.5" customHeight="1" s="104">
      <c r="B31" s="170" t="inlineStr">
        <is>
          <t>Sales (USD)</t>
        </is>
      </c>
      <c r="C31" s="144">
        <f>SUMIFS('Sales Data'!$E$6:$E$10000,'Sales Data'!$B$6:$B$10000,"Shopify",'Sales Data'!$BC$6:$BC$10000,"Jan",'Sales Data'!$BD$6:$BD$10000,$J$28)</f>
        <v/>
      </c>
      <c r="D31" s="144">
        <f>SUMIFS('Sales Data'!$E$6:$E$10000,'Sales Data'!$B$6:$B$10000,"Shopify",'Sales Data'!$BC$6:$BC$10000,"Feb",'Sales Data'!$BD$6:$BD$10000,$J$28)</f>
        <v/>
      </c>
      <c r="E31" s="144">
        <f>SUMIFS('Sales Data'!$E$6:$E$10000,'Sales Data'!$B$6:$B$10000,"Shopify",'Sales Data'!$BC$6:$BC$10000,"Mar",'Sales Data'!$BD$6:$BD$10000,$J$28)</f>
        <v/>
      </c>
      <c r="F31" s="144">
        <f>SUMIFS('Sales Data'!$E$6:$E$10000,'Sales Data'!$B$6:$B$10000,"Shopify",'Sales Data'!$BC$6:$BC$10000,"Apr",'Sales Data'!$BD$6:$BD$10000,$J$28)</f>
        <v/>
      </c>
      <c r="G31" s="144">
        <f>SUMIFS('Sales Data'!$E$6:$E$10000,'Sales Data'!$B$6:$B$10000,"Shopify",'Sales Data'!$BC$6:$BC$10000,"May",'Sales Data'!$BD$6:$BD$10000,$J$28)</f>
        <v/>
      </c>
      <c r="H31" s="144">
        <f>SUMIFS('Sales Data'!$E$6:$E$10000,'Sales Data'!$B$6:$B$10000,"Shopify",'Sales Data'!$BC$6:$BC$10000,"Jun",'Sales Data'!$BD$6:$BD$10000,$J$28)</f>
        <v/>
      </c>
      <c r="I31" s="144">
        <f>SUMIFS('Sales Data'!$E$6:$E$10000,'Sales Data'!$B$6:$B$10000,"Shopify",'Sales Data'!$BC$6:$BC$10000,"Jul",'Sales Data'!$BD$6:$BD$10000,$J$28)</f>
        <v/>
      </c>
      <c r="J31" s="144">
        <f>SUMIFS('Sales Data'!$E$6:$E$10000,'Sales Data'!$B$6:$B$10000,"Shopify",'Sales Data'!$BC$6:$BC$10000,"Aug",'Sales Data'!$BD$6:$BD$10000,$J$28)</f>
        <v/>
      </c>
      <c r="K31" s="144">
        <f>SUMIFS('Sales Data'!$E$6:$E$10000,'Sales Data'!$B$6:$B$10000,"Shopify",'Sales Data'!$BC$6:$BC$10000,"Sep",'Sales Data'!$BD$6:$BD$10000,$J$28)</f>
        <v/>
      </c>
      <c r="L31" s="144">
        <f>SUMIFS('Sales Data'!$E$6:$E$10000,'Sales Data'!$B$6:$B$10000,"Shopify",'Sales Data'!$BC$6:$BC$10000,"Oct",'Sales Data'!$BD$6:$BD$10000,$J$28)</f>
        <v/>
      </c>
      <c r="M31" s="144">
        <f>SUMIFS('Sales Data'!$E$6:$E$10000,'Sales Data'!$B$6:$B$10000,"Shopify",'Sales Data'!$BC$6:$BC$10000,"Nov",'Sales Data'!$BD$6:$BD$10000,$J$28)</f>
        <v/>
      </c>
      <c r="N31" s="144">
        <f>SUMIFS('Sales Data'!$E$6:$E$10000,'Sales Data'!$B$6:$B$10000,"Shopify",'Sales Data'!$BC$6:$BC$10000,"Dec",'Sales Data'!$BD$6:$BD$10000,$J$28)</f>
        <v/>
      </c>
      <c r="O31" s="141">
        <f>SUM(C31:N31)</f>
        <v/>
      </c>
    </row>
    <row r="32" ht="19.5" customHeight="1" s="104">
      <c r="B32" s="149" t="inlineStr">
        <is>
          <t>Units</t>
        </is>
      </c>
      <c r="C32" s="171">
        <f>SUMIFS('Sales Data'!$G$6:$G$10000,'Sales Data'!$B$6:$B$10000,"Shopify",'Sales Data'!$BC$6:$BC$10000,"Jan",'Sales Data'!$BD$6:$BD$10000,$J$28)</f>
        <v/>
      </c>
      <c r="D32" s="171">
        <f>SUMIFS('Sales Data'!$G$6:$G$10000,'Sales Data'!$B$6:$B$10000,"Shopify",'Sales Data'!$BC$6:$BC$10000,"Feb",'Sales Data'!$BD$6:$BD$10000,$J$28)</f>
        <v/>
      </c>
      <c r="E32" s="171">
        <f>SUMIFS('Sales Data'!$G$6:$G$10000,'Sales Data'!$B$6:$B$10000,"Shopify",'Sales Data'!$BC$6:$BC$10000,"Mar",'Sales Data'!$BD$6:$BD$10000,$J$28)</f>
        <v/>
      </c>
      <c r="F32" s="171">
        <f>SUMIFS('Sales Data'!$G$6:$G$10000,'Sales Data'!$B$6:$B$10000,"Shopify",'Sales Data'!$BC$6:$BC$10000,"Apr",'Sales Data'!$BD$6:$BD$10000,$J$28)</f>
        <v/>
      </c>
      <c r="G32" s="171">
        <f>SUMIFS('Sales Data'!$G$6:$G$10000,'Sales Data'!$B$6:$B$10000,"Shopify",'Sales Data'!$BC$6:$BC$10000,"May",'Sales Data'!$BD$6:$BD$10000,$J$28)</f>
        <v/>
      </c>
      <c r="H32" s="171">
        <f>SUMIFS('Sales Data'!$G$6:$G$10000,'Sales Data'!$B$6:$B$10000,"Shopify",'Sales Data'!$BC$6:$BC$10000,"Jun",'Sales Data'!$BD$6:$BD$10000,$J$28)</f>
        <v/>
      </c>
      <c r="I32" s="171">
        <f>SUMIFS('Sales Data'!$G$6:$G$10000,'Sales Data'!$B$6:$B$10000,"Shopify",'Sales Data'!$BC$6:$BC$10000,"Jul",'Sales Data'!$BD$6:$BD$10000,$J$28)</f>
        <v/>
      </c>
      <c r="J32" s="171">
        <f>SUMIFS('Sales Data'!$G$6:$G$10000,'Sales Data'!$B$6:$B$10000,"Shopify",'Sales Data'!$BC$6:$BC$10000,"Aug",'Sales Data'!$BD$6:$BD$10000,$J$28)</f>
        <v/>
      </c>
      <c r="K32" s="171">
        <f>SUMIFS('Sales Data'!$G$6:$G$10000,'Sales Data'!$B$6:$B$10000,"Shopify",'Sales Data'!$BC$6:$BC$10000,"Sep",'Sales Data'!$BD$6:$BD$10000,$J$28)</f>
        <v/>
      </c>
      <c r="L32" s="171">
        <f>SUMIFS('Sales Data'!$G$6:$G$10000,'Sales Data'!$B$6:$B$10000,"Shopify",'Sales Data'!$BC$6:$BC$10000,"Oct",'Sales Data'!$BD$6:$BD$10000,$J$28)</f>
        <v/>
      </c>
      <c r="M32" s="171">
        <f>SUMIFS('Sales Data'!$G$6:$G$10000,'Sales Data'!$B$6:$B$10000,"Shopify",'Sales Data'!$BC$6:$BC$10000,"Nov",'Sales Data'!$BD$6:$BD$10000,$J$28)</f>
        <v/>
      </c>
      <c r="N32" s="171">
        <f>SUMIFS('Sales Data'!$G$6:$G$10000,'Sales Data'!$B$6:$B$10000,"Shopify",'Sales Data'!$BC$6:$BC$10000,"Dec",'Sales Data'!$BD$6:$BD$10000,$J$28)</f>
        <v/>
      </c>
      <c r="O32" s="172">
        <f>SUM(C32:N32)</f>
        <v/>
      </c>
    </row>
    <row r="33" ht="19.5" customHeight="1" s="104">
      <c r="B33" s="139" t="inlineStr">
        <is>
          <t>Ad Cost</t>
        </is>
      </c>
      <c r="C33" s="140">
        <f>SUMIFS('Sales Data'!$AD$6:$AD$10000,'Sales Data'!$B$6:$B$10000,"Shopify",'Sales Data'!$BC$6:$BC$10000,"Jan",'Sales Data'!$BD$6:$BD$10000,$J$28)</f>
        <v/>
      </c>
      <c r="D33" s="140">
        <f>SUMIFS('Sales Data'!$AD$6:$AD$10000,'Sales Data'!$B$6:$B$10000,"Shopify",'Sales Data'!$BC$6:$BC$10000,"Feb",'Sales Data'!$BD$6:$BD$10000,$J$28)</f>
        <v/>
      </c>
      <c r="E33" s="140">
        <f>SUMIFS('Sales Data'!$AD$6:$AD$10000,'Sales Data'!$B$6:$B$10000,"Shopify",'Sales Data'!$BC$6:$BC$10000,"Mar",'Sales Data'!$BD$6:$BD$10000,$J$28)</f>
        <v/>
      </c>
      <c r="F33" s="140">
        <f>SUMIFS('Sales Data'!$AD$6:$AD$10000,'Sales Data'!$B$6:$B$10000,"Shopify",'Sales Data'!$BC$6:$BC$10000,"Apr",'Sales Data'!$BD$6:$BD$10000,$J$28)</f>
        <v/>
      </c>
      <c r="G33" s="140">
        <f>SUMIFS('Sales Data'!$AD$6:$AD$10000,'Sales Data'!$B$6:$B$10000,"Shopify",'Sales Data'!$BC$6:$BC$10000,"May",'Sales Data'!$BD$6:$BD$10000,$J$28)</f>
        <v/>
      </c>
      <c r="H33" s="140">
        <f>SUMIFS('Sales Data'!$AD$6:$AD$10000,'Sales Data'!$B$6:$B$10000,"Shopify",'Sales Data'!$BC$6:$BC$10000,"Jun",'Sales Data'!$BD$6:$BD$10000,$J$28)</f>
        <v/>
      </c>
      <c r="I33" s="140">
        <f>SUMIFS('Sales Data'!$AD$6:$AD$10000,'Sales Data'!$B$6:$B$10000,"Shopify",'Sales Data'!$BC$6:$BC$10000,"Jul",'Sales Data'!$BD$6:$BD$10000,$J$28)</f>
        <v/>
      </c>
      <c r="J33" s="140">
        <f>SUMIFS('Sales Data'!$AD$6:$AD$10000,'Sales Data'!$B$6:$B$10000,"Shopify",'Sales Data'!$BC$6:$BC$10000,"Aug",'Sales Data'!$BD$6:$BD$10000,$J$28)</f>
        <v/>
      </c>
      <c r="K33" s="140">
        <f>SUMIFS('Sales Data'!$AD$6:$AD$10000,'Sales Data'!$B$6:$B$10000,"Shopify",'Sales Data'!$BC$6:$BC$10000,"Sep",'Sales Data'!$BD$6:$BD$10000,$J$28)</f>
        <v/>
      </c>
      <c r="L33" s="140">
        <f>SUMIFS('Sales Data'!$AD$6:$AD$10000,'Sales Data'!$B$6:$B$10000,"Shopify",'Sales Data'!$BC$6:$BC$10000,"Oct",'Sales Data'!$BD$6:$BD$10000,$J$28)</f>
        <v/>
      </c>
      <c r="M33" s="140">
        <f>SUMIFS('Sales Data'!$AD$6:$AD$10000,'Sales Data'!$B$6:$B$10000,"Shopify",'Sales Data'!$BC$6:$BC$10000,"Nov",'Sales Data'!$BD$6:$BD$10000,$J$28)</f>
        <v/>
      </c>
      <c r="N33" s="140">
        <f>SUMIFS('Sales Data'!$AD$6:$AD$10000,'Sales Data'!$B$6:$B$10000,"Shopify",'Sales Data'!$BC$6:$BC$10000,"Dec",'Sales Data'!$BD$6:$BD$10000,$J$28)</f>
        <v/>
      </c>
      <c r="O33" s="141">
        <f>SUM(C33:N33)</f>
        <v/>
      </c>
    </row>
    <row r="34" ht="19.5" customHeight="1" s="104">
      <c r="B34" s="149" t="inlineStr">
        <is>
          <t>COGS</t>
        </is>
      </c>
      <c r="C34" s="150">
        <f>SUMIFS('Sales Data'!$AI$6:$AI$10000,'Sales Data'!$B$6:$B$10000,"Shopify",'Sales Data'!$BC$6:$BC$10000,"Jan",'Sales Data'!$BD$6:$BD$10000,$J$28)</f>
        <v/>
      </c>
      <c r="D34" s="150">
        <f>SUMIFS('Sales Data'!$AI$6:$AI$10000,'Sales Data'!$B$6:$B$10000,"Shopify",'Sales Data'!$BC$6:$BC$10000,"Feb",'Sales Data'!$BD$6:$BD$10000,$J$28)</f>
        <v/>
      </c>
      <c r="E34" s="150">
        <f>SUMIFS('Sales Data'!$AI$6:$AI$10000,'Sales Data'!$B$6:$B$10000,"Shopify",'Sales Data'!$BC$6:$BC$10000,"Mar",'Sales Data'!$BD$6:$BD$10000,$J$28)</f>
        <v/>
      </c>
      <c r="F34" s="150">
        <f>SUMIFS('Sales Data'!$AI$6:$AI$10000,'Sales Data'!$B$6:$B$10000,"Shopify",'Sales Data'!$BC$6:$BC$10000,"Apr",'Sales Data'!$BD$6:$BD$10000,$J$28)</f>
        <v/>
      </c>
      <c r="G34" s="150">
        <f>SUMIFS('Sales Data'!$AI$6:$AI$10000,'Sales Data'!$B$6:$B$10000,"Shopify",'Sales Data'!$BC$6:$BC$10000,"May",'Sales Data'!$BD$6:$BD$10000,$J$28)</f>
        <v/>
      </c>
      <c r="H34" s="150">
        <f>SUMIFS('Sales Data'!$AI$6:$AI$10000,'Sales Data'!$B$6:$B$10000,"Shopify",'Sales Data'!$BC$6:$BC$10000,"Jun",'Sales Data'!$BD$6:$BD$10000,$J$28)</f>
        <v/>
      </c>
      <c r="I34" s="150">
        <f>SUMIFS('Sales Data'!$AI$6:$AI$10000,'Sales Data'!$B$6:$B$10000,"Shopify",'Sales Data'!$BC$6:$BC$10000,"Jul",'Sales Data'!$BD$6:$BD$10000,$J$28)</f>
        <v/>
      </c>
      <c r="J34" s="150">
        <f>SUMIFS('Sales Data'!$AI$6:$AI$10000,'Sales Data'!$B$6:$B$10000,"Shopify",'Sales Data'!$BC$6:$BC$10000,"Aug",'Sales Data'!$BD$6:$BD$10000,$J$28)</f>
        <v/>
      </c>
      <c r="K34" s="150">
        <f>SUMIFS('Sales Data'!$AI$6:$AI$10000,'Sales Data'!$B$6:$B$10000,"Shopify",'Sales Data'!$BC$6:$BC$10000,"Sep",'Sales Data'!$BD$6:$BD$10000,$J$28)</f>
        <v/>
      </c>
      <c r="L34" s="150">
        <f>SUMIFS('Sales Data'!$AI$6:$AI$10000,'Sales Data'!$B$6:$B$10000,"Shopify",'Sales Data'!$BC$6:$BC$10000,"Oct",'Sales Data'!$BD$6:$BD$10000,$J$28)</f>
        <v/>
      </c>
      <c r="M34" s="150">
        <f>SUMIFS('Sales Data'!$AI$6:$AI$10000,'Sales Data'!$B$6:$B$10000,"Shopify",'Sales Data'!$BC$6:$BC$10000,"Nov",'Sales Data'!$BD$6:$BD$10000,$J$28)</f>
        <v/>
      </c>
      <c r="N34" s="150">
        <f>SUMIFS('Sales Data'!$AI$6:$AI$10000,'Sales Data'!$B$6:$B$10000,"Shopify",'Sales Data'!$BC$6:$BC$10000,"Dec",'Sales Data'!$BD$6:$BD$10000,$J$28)</f>
        <v/>
      </c>
      <c r="O34" s="141">
        <f>SUM(C34:N34)</f>
        <v/>
      </c>
    </row>
    <row r="35" ht="19.5" customHeight="1" s="104">
      <c r="B35" s="139" t="inlineStr">
        <is>
          <t>Gross Profit</t>
        </is>
      </c>
      <c r="C35" s="140">
        <f>SUMIFS('Sales Data'!$AK$6:$AK$10000,'Sales Data'!$B$6:$B$10000,"Shopify",'Sales Data'!$BC$6:$BC$10000,"Jan",'Sales Data'!$BD$6:$BD$10000,$J$28)</f>
        <v/>
      </c>
      <c r="D35" s="140">
        <f>SUMIFS('Sales Data'!$AK$6:$AK$10000,'Sales Data'!$B$6:$B$10000,"Shopify",'Sales Data'!$BC$6:$BC$10000,"Feb",'Sales Data'!$BD$6:$BD$10000,$J$28)</f>
        <v/>
      </c>
      <c r="E35" s="140">
        <f>SUMIFS('Sales Data'!$AK$6:$AK$10000,'Sales Data'!$B$6:$B$10000,"Shopify",'Sales Data'!$BC$6:$BC$10000,"Mar",'Sales Data'!$BD$6:$BD$10000,$J$28)</f>
        <v/>
      </c>
      <c r="F35" s="140">
        <f>SUMIFS('Sales Data'!$AK$6:$AK$10000,'Sales Data'!$B$6:$B$10000,"Shopify",'Sales Data'!$BC$6:$BC$10000,"Apr",'Sales Data'!$BD$6:$BD$10000,$J$28)</f>
        <v/>
      </c>
      <c r="G35" s="140">
        <f>SUMIFS('Sales Data'!$AK$6:$AK$10000,'Sales Data'!$B$6:$B$10000,"Shopify",'Sales Data'!$BC$6:$BC$10000,"May",'Sales Data'!$BD$6:$BD$10000,$J$28)</f>
        <v/>
      </c>
      <c r="H35" s="140">
        <f>SUMIFS('Sales Data'!$AK$6:$AK$10000,'Sales Data'!$B$6:$B$10000,"Shopify",'Sales Data'!$BC$6:$BC$10000,"Jun",'Sales Data'!$BD$6:$BD$10000,$J$28)</f>
        <v/>
      </c>
      <c r="I35" s="140">
        <f>SUMIFS('Sales Data'!$AK$6:$AK$10000,'Sales Data'!$B$6:$B$10000,"Shopify",'Sales Data'!$BC$6:$BC$10000,"Jul",'Sales Data'!$BD$6:$BD$10000,$J$28)</f>
        <v/>
      </c>
      <c r="J35" s="140">
        <f>SUMIFS('Sales Data'!$AK$6:$AK$10000,'Sales Data'!$B$6:$B$10000,"Shopify",'Sales Data'!$BC$6:$BC$10000,"Aug",'Sales Data'!$BD$6:$BD$10000,$J$28)</f>
        <v/>
      </c>
      <c r="K35" s="140">
        <f>SUMIFS('Sales Data'!$AK$6:$AK$10000,'Sales Data'!$B$6:$B$10000,"Shopify",'Sales Data'!$BC$6:$BC$10000,"Sep",'Sales Data'!$BD$6:$BD$10000,$J$28)</f>
        <v/>
      </c>
      <c r="L35" s="140">
        <f>SUMIFS('Sales Data'!$AK$6:$AK$10000,'Sales Data'!$B$6:$B$10000,"Shopify",'Sales Data'!$BC$6:$BC$10000,"Oct",'Sales Data'!$BD$6:$BD$10000,$J$28)</f>
        <v/>
      </c>
      <c r="M35" s="140">
        <f>SUMIFS('Sales Data'!$AK$6:$AK$10000,'Sales Data'!$B$6:$B$10000,"Shopify",'Sales Data'!$BC$6:$BC$10000,"Nov",'Sales Data'!$BD$6:$BD$10000,$J$28)</f>
        <v/>
      </c>
      <c r="N35" s="140">
        <f>SUMIFS('Sales Data'!$AK$6:$AK$10000,'Sales Data'!$B$6:$B$10000,"Shopify",'Sales Data'!$BC$6:$BC$10000,"Dec",'Sales Data'!$BD$6:$BD$10000,$J$28)</f>
        <v/>
      </c>
      <c r="O35" s="141">
        <f>SUM(C35:N35)</f>
        <v/>
      </c>
    </row>
    <row r="36" ht="19.5" customHeight="1" s="104">
      <c r="B36" s="180" t="inlineStr">
        <is>
          <t>Net Profit</t>
        </is>
      </c>
      <c r="C36" s="152">
        <f>SUMIFS('Sales Data'!$AL$6:$AL$10000,'Sales Data'!$B$6:$B$10000,"Shopify",'Sales Data'!$BC$6:$BC$10000,"Jan",'Sales Data'!$BD$6:$BD$10000,$J$28)</f>
        <v/>
      </c>
      <c r="D36" s="152">
        <f>SUMIFS('Sales Data'!$AL$6:$AL$10000,'Sales Data'!$B$6:$B$10000,"Shopify",'Sales Data'!$BC$6:$BC$10000,"Feb",'Sales Data'!$BD$6:$BD$10000,$J$28)</f>
        <v/>
      </c>
      <c r="E36" s="152">
        <f>SUMIFS('Sales Data'!$AL$6:$AL$10000,'Sales Data'!$B$6:$B$10000,"Shopify",'Sales Data'!$BC$6:$BC$10000,"Mar",'Sales Data'!$BD$6:$BD$10000,$J$28)</f>
        <v/>
      </c>
      <c r="F36" s="152">
        <f>SUMIFS('Sales Data'!$AL$6:$AL$10000,'Sales Data'!$B$6:$B$10000,"Shopify",'Sales Data'!$BC$6:$BC$10000,"Apr",'Sales Data'!$BD$6:$BD$10000,$J$28)</f>
        <v/>
      </c>
      <c r="G36" s="152">
        <f>SUMIFS('Sales Data'!$AL$6:$AL$10000,'Sales Data'!$B$6:$B$10000,"Shopify",'Sales Data'!$BC$6:$BC$10000,"May",'Sales Data'!$BD$6:$BD$10000,$J$28)</f>
        <v/>
      </c>
      <c r="H36" s="152">
        <f>SUMIFS('Sales Data'!$AL$6:$AL$10000,'Sales Data'!$B$6:$B$10000,"Shopify",'Sales Data'!$BC$6:$BC$10000,"Jun",'Sales Data'!$BD$6:$BD$10000,$J$28)</f>
        <v/>
      </c>
      <c r="I36" s="152">
        <f>SUMIFS('Sales Data'!$AL$6:$AL$10000,'Sales Data'!$B$6:$B$10000,"Shopify",'Sales Data'!$BC$6:$BC$10000,"Jul",'Sales Data'!$BD$6:$BD$10000,$J$28)</f>
        <v/>
      </c>
      <c r="J36" s="152">
        <f>SUMIFS('Sales Data'!$AL$6:$AL$10000,'Sales Data'!$B$6:$B$10000,"Shopify",'Sales Data'!$BC$6:$BC$10000,"Aug",'Sales Data'!$BD$6:$BD$10000,$J$28)</f>
        <v/>
      </c>
      <c r="K36" s="152">
        <f>SUMIFS('Sales Data'!$AL$6:$AL$10000,'Sales Data'!$B$6:$B$10000,"Shopify",'Sales Data'!$BC$6:$BC$10000,"Sep",'Sales Data'!$BD$6:$BD$10000,$J$28)</f>
        <v/>
      </c>
      <c r="L36" s="152">
        <f>SUMIFS('Sales Data'!$AL$6:$AL$10000,'Sales Data'!$B$6:$B$10000,"Shopify",'Sales Data'!$BC$6:$BC$10000,"Oct",'Sales Data'!$BD$6:$BD$10000,$J$28)</f>
        <v/>
      </c>
      <c r="M36" s="152">
        <f>SUMIFS('Sales Data'!$AL$6:$AL$10000,'Sales Data'!$B$6:$B$10000,"Shopify",'Sales Data'!$BC$6:$BC$10000,"Nov",'Sales Data'!$BD$6:$BD$10000,$J$28)</f>
        <v/>
      </c>
      <c r="N36" s="152">
        <f>SUMIFS('Sales Data'!$AL$6:$AL$10000,'Sales Data'!$B$6:$B$10000,"Shopify",'Sales Data'!$BC$6:$BC$10000,"Dec",'Sales Data'!$BD$6:$BD$10000,$J$28)</f>
        <v/>
      </c>
      <c r="O36" s="141">
        <f>SUM(C36:N36)</f>
        <v/>
      </c>
    </row>
    <row r="37" ht="19.5" customHeight="1" s="104">
      <c r="B37" s="139" t="inlineStr">
        <is>
          <t>TACOS</t>
        </is>
      </c>
      <c r="C37" s="146">
        <f>SUMIFS('Sales Data'!$AM$6:$AM$10000,'Sales Data'!$B$6:$B$10000,"Shopify",'Sales Data'!$BC$6:$BC$10000,"Jan",'Sales Data'!$BD$6:$BD$10000,$J$28)</f>
        <v/>
      </c>
      <c r="D37" s="146">
        <f>SUMIFS('Sales Data'!$AM$6:$AM$10000,'Sales Data'!$B$6:$B$10000,"Shopify",'Sales Data'!$BC$6:$BC$10000,"Feb",'Sales Data'!$BD$6:$BD$10000,$J$28)</f>
        <v/>
      </c>
      <c r="E37" s="146">
        <f>SUMIFS('Sales Data'!$AM$6:$AM$10000,'Sales Data'!$B$6:$B$10000,"Shopify",'Sales Data'!$BC$6:$BC$10000,"Mar",'Sales Data'!$BD$6:$BD$10000,$J$28)</f>
        <v/>
      </c>
      <c r="F37" s="146">
        <f>SUMIFS('Sales Data'!$AM$6:$AM$10000,'Sales Data'!$B$6:$B$10000,"Shopify",'Sales Data'!$BC$6:$BC$10000,"Apr",'Sales Data'!$BD$6:$BD$10000,$J$28)</f>
        <v/>
      </c>
      <c r="G37" s="146">
        <f>SUMIFS('Sales Data'!$AM$6:$AM$10000,'Sales Data'!$B$6:$B$10000,"Shopify",'Sales Data'!$BC$6:$BC$10000,"May",'Sales Data'!$BD$6:$BD$10000,$J$28)</f>
        <v/>
      </c>
      <c r="H37" s="146">
        <f>SUMIFS('Sales Data'!$AM$6:$AM$10000,'Sales Data'!$B$6:$B$10000,"Shopify",'Sales Data'!$BC$6:$BC$10000,"Jun",'Sales Data'!$BD$6:$BD$10000,$J$28)</f>
        <v/>
      </c>
      <c r="I37" s="146">
        <f>SUMIFS('Sales Data'!$AM$6:$AM$10000,'Sales Data'!$B$6:$B$10000,"Shopify",'Sales Data'!$BC$6:$BC$10000,"Jul",'Sales Data'!$BD$6:$BD$10000,$J$28)</f>
        <v/>
      </c>
      <c r="J37" s="146">
        <f>SUMIFS('Sales Data'!$AM$6:$AM$10000,'Sales Data'!$B$6:$B$10000,"Shopify",'Sales Data'!$BC$6:$BC$10000,"Aug",'Sales Data'!$BD$6:$BD$10000,$J$28)</f>
        <v/>
      </c>
      <c r="K37" s="146">
        <f>SUMIFS('Sales Data'!$AM$6:$AM$10000,'Sales Data'!$B$6:$B$10000,"Shopify",'Sales Data'!$BC$6:$BC$10000,"Sep",'Sales Data'!$BD$6:$BD$10000,$J$28)</f>
        <v/>
      </c>
      <c r="L37" s="146">
        <f>SUMIFS('Sales Data'!$AM$6:$AM$10000,'Sales Data'!$B$6:$B$10000,"Shopify",'Sales Data'!$BC$6:$BC$10000,"Oct",'Sales Data'!$BD$6:$BD$10000,$J$28)</f>
        <v/>
      </c>
      <c r="M37" s="146">
        <f>SUMIFS('Sales Data'!$AM$6:$AM$10000,'Sales Data'!$B$6:$B$10000,"Shopify",'Sales Data'!$BC$6:$BC$10000,"Nov",'Sales Data'!$BD$6:$BD$10000,$J$28)</f>
        <v/>
      </c>
      <c r="N37" s="146">
        <f>SUMIFS('Sales Data'!$AM$6:$AM$10000,'Sales Data'!$B$6:$B$10000,"Shopify",'Sales Data'!$BC$6:$BC$10000,"Dec",'Sales Data'!$BD$6:$BD$10000,$J$28)</f>
        <v/>
      </c>
      <c r="O37" s="147">
        <f>IFERROR(AVERAGE(C37:N37),0)</f>
        <v/>
      </c>
    </row>
    <row r="38" ht="19.5" customHeight="1" s="104">
      <c r="B38" s="180" t="inlineStr">
        <is>
          <t>Margin</t>
        </is>
      </c>
      <c r="C38" s="181">
        <f>SUMIFS('Sales Data'!$AO$6:$AO$10000,'Sales Data'!$B$6:$B$10000,"Shopify",'Sales Data'!$BC$6:$BC$10000,"Jan",'Sales Data'!$BD$6:$BD$10000,$J$28)</f>
        <v/>
      </c>
      <c r="D38" s="181">
        <f>SUMIFS('Sales Data'!$AO$6:$AO$10000,'Sales Data'!$B$6:$B$10000,"Shopify",'Sales Data'!$BC$6:$BC$10000,"Feb",'Sales Data'!$BD$6:$BD$10000,$J$28)</f>
        <v/>
      </c>
      <c r="E38" s="181">
        <f>SUMIFS('Sales Data'!$AO$6:$AO$10000,'Sales Data'!$B$6:$B$10000,"Shopify",'Sales Data'!$BC$6:$BC$10000,"Mar",'Sales Data'!$BD$6:$BD$10000,$J$28)</f>
        <v/>
      </c>
      <c r="F38" s="181">
        <f>SUMIFS('Sales Data'!$AO$6:$AO$10000,'Sales Data'!$B$6:$B$10000,"Shopify",'Sales Data'!$BC$6:$BC$10000,"Apr",'Sales Data'!$BD$6:$BD$10000,$J$28)</f>
        <v/>
      </c>
      <c r="G38" s="181">
        <f>SUMIFS('Sales Data'!$AO$6:$AO$10000,'Sales Data'!$B$6:$B$10000,"Shopify",'Sales Data'!$BC$6:$BC$10000,"May",'Sales Data'!$BD$6:$BD$10000,$J$28)</f>
        <v/>
      </c>
      <c r="H38" s="181">
        <f>SUMIFS('Sales Data'!$AO$6:$AO$10000,'Sales Data'!$B$6:$B$10000,"Shopify",'Sales Data'!$BC$6:$BC$10000,"Jun",'Sales Data'!$BD$6:$BD$10000,$J$28)</f>
        <v/>
      </c>
      <c r="I38" s="181">
        <f>SUMIFS('Sales Data'!$AO$6:$AO$10000,'Sales Data'!$B$6:$B$10000,"Shopify",'Sales Data'!$BC$6:$BC$10000,"Jul",'Sales Data'!$BD$6:$BD$10000,$J$28)</f>
        <v/>
      </c>
      <c r="J38" s="181">
        <f>SUMIFS('Sales Data'!$AO$6:$AO$10000,'Sales Data'!$B$6:$B$10000,"Shopify",'Sales Data'!$BC$6:$BC$10000,"Aug",'Sales Data'!$BD$6:$BD$10000,$J$28)</f>
        <v/>
      </c>
      <c r="K38" s="181">
        <f>SUMIFS('Sales Data'!$AO$6:$AO$10000,'Sales Data'!$B$6:$B$10000,"Shopify",'Sales Data'!$BC$6:$BC$10000,"Sep",'Sales Data'!$BD$6:$BD$10000,$J$28)</f>
        <v/>
      </c>
      <c r="L38" s="181">
        <f>SUMIFS('Sales Data'!$AO$6:$AO$10000,'Sales Data'!$B$6:$B$10000,"Shopify",'Sales Data'!$BC$6:$BC$10000,"Oct",'Sales Data'!$BD$6:$BD$10000,$J$28)</f>
        <v/>
      </c>
      <c r="M38" s="181">
        <f>SUMIFS('Sales Data'!$AO$6:$AO$10000,'Sales Data'!$B$6:$B$10000,"Shopify",'Sales Data'!$BC$6:$BC$10000,"Nov",'Sales Data'!$BD$6:$BD$10000,$J$28)</f>
        <v/>
      </c>
      <c r="N38" s="181">
        <f>SUMIFS('Sales Data'!$AO$6:$AO$10000,'Sales Data'!$B$6:$B$10000,"Shopify",'Sales Data'!$BC$6:$BC$10000,"Dec",'Sales Data'!$BD$6:$BD$10000,$J$28)</f>
        <v/>
      </c>
      <c r="O38" s="147">
        <f>IFERROR(AVERAGE(C38:N38),0)</f>
        <v/>
      </c>
    </row>
    <row r="41" ht="15" customHeight="1" s="104">
      <c r="B41" s="164" t="inlineStr">
        <is>
          <t>EXPENSE BREAKDOWN · MAIN &amp; SUB CATEGORY</t>
        </is>
      </c>
      <c r="J41" s="164" t="inlineStr">
        <is>
          <t>SALES BREAKDOWN · SUB-CATEGORY</t>
        </is>
      </c>
    </row>
    <row r="42" ht="21.75" customHeight="1" s="104">
      <c r="B42" s="125" t="inlineStr">
        <is>
          <t>CATEGORY</t>
        </is>
      </c>
      <c r="C42" s="125" t="inlineStr">
        <is>
          <t>AMOUNT</t>
        </is>
      </c>
      <c r="D42" s="125" t="inlineStr">
        <is>
          <t>% OF EXPENSES</t>
        </is>
      </c>
      <c r="J42" s="125" t="inlineStr">
        <is>
          <t>SUB CATEGORY</t>
        </is>
      </c>
      <c r="K42" s="125" t="inlineStr">
        <is>
          <t>SALES AMOUNT</t>
        </is>
      </c>
      <c r="L42" s="125" t="inlineStr">
        <is>
          <t>% OF SALES</t>
        </is>
      </c>
    </row>
    <row r="43" ht="18" customHeight="1" s="104">
      <c r="B43" s="138" t="inlineStr">
        <is>
          <t>Advertising cost</t>
        </is>
      </c>
      <c r="C43" s="174">
        <f>IFERROR(SUMIFS('Main Expenses'!$E$6:$E$10000,'Main Expenses'!$B$6:$B$10000,"Shopify",'Main Expenses'!$D$6:$D$10000,"Advertising cost",'Main Expenses'!$K$6:$K$10000,$B$7,'Main Expenses'!$L$6:$L$10000,$C$7),0)</f>
        <v/>
      </c>
      <c r="D43" s="175">
        <f>IFERROR(C43/SUMIFS('Main Expenses'!$E$6:$E$10000,'Main Expenses'!$B$6:$B$10000,"Shopify",'Main Expenses'!$K$6:$K$10000,$B$7,'Main Expenses'!$L$6:$L$10000,$C$7),0)</f>
        <v/>
      </c>
      <c r="J43" s="139" t="inlineStr">
        <is>
          <t>Gross sales</t>
        </is>
      </c>
      <c r="K43" s="127">
        <f>IFERROR(SUMIFS('Sales Data'!$E$6:$E$10000,'Sales Data'!$B$6:$B$10000,"Shopify",'Sales Data'!$D$6:$D$10000,"Gross sales",'Sales Data'!$BC$6:$BC$10000,$B$7,'Sales Data'!$BD$6:$BD$10000,$C$7),0)</f>
        <v/>
      </c>
      <c r="L43" s="128">
        <f>IFERROR(K43/SUMIFS('Sales Data'!$E$6:$E$10000,'Sales Data'!$B$6:$B$10000,"Shopify",'Sales Data'!$BC$6:$BC$10000,$B$7,'Sales Data'!$BD$6:$BD$10000,$C$7),0)</f>
        <v/>
      </c>
    </row>
    <row r="44" hidden="1" outlineLevel="1" ht="18" customHeight="1" s="104">
      <c r="B44" s="176" t="inlineStr">
        <is>
          <t xml:space="preserve">    ↳ Advertising Cost</t>
        </is>
      </c>
      <c r="C44" s="177">
        <f>IFERROR(SUMIFS('Sub Expenses'!$E$6:$E$10000,'Sub Expenses'!$B$6:$B$10000,"Shopify",'Sub Expenses'!$C$6:$C$10000,"Advertising cost",'Sub Expenses'!$D$6:$D$10000,"Advertising Cost",'Sub Expenses'!$J$6:$J$10000,$B$7,'Sub Expenses'!$K$6:$K$10000,$C$7),0)</f>
        <v/>
      </c>
      <c r="D44" s="178">
        <f>IFERROR(C44/SUMIFS('Main Expenses'!$E$6:$E$10000,'Main Expenses'!$B$6:$B$10000,"Shopify",'Main Expenses'!$K$6:$K$10000,$B$7,'Main Expenses'!$L$6:$L$10000,$C$7),0)</f>
        <v/>
      </c>
      <c r="J44" s="149" t="inlineStr">
        <is>
          <t>Promo</t>
        </is>
      </c>
      <c r="K44" s="130">
        <f>IFERROR(SUMIFS('Sales Data'!$E$6:$E$10000,'Sales Data'!$B$6:$B$10000,"Shopify",'Sales Data'!$D$6:$D$10000,"Promo",'Sales Data'!$BC$6:$BC$10000,$B$7,'Sales Data'!$BD$6:$BD$10000,$C$7),0)</f>
        <v/>
      </c>
      <c r="L44" s="131">
        <f>IFERROR(K44/SUMIFS('Sales Data'!$E$6:$E$10000,'Sales Data'!$B$6:$B$10000,"Shopify",'Sales Data'!$BC$6:$BC$10000,$B$7,'Sales Data'!$BD$6:$BD$10000,$C$7),0)</f>
        <v/>
      </c>
    </row>
    <row r="45" ht="18" customHeight="1" s="104">
      <c r="B45" s="138" t="inlineStr">
        <is>
          <t>Cost of goods</t>
        </is>
      </c>
      <c r="C45" s="174">
        <f>IFERROR(SUMIFS('Main Expenses'!$E$6:$E$10000,'Main Expenses'!$B$6:$B$10000,"Shopify",'Main Expenses'!$D$6:$D$10000,"Cost of goods",'Main Expenses'!$K$6:$K$10000,$B$7,'Main Expenses'!$L$6:$L$10000,$C$7),0)</f>
        <v/>
      </c>
      <c r="D45" s="175">
        <f>IFERROR(C45/SUMIFS('Main Expenses'!$E$6:$E$10000,'Main Expenses'!$B$6:$B$10000,"Shopify",'Main Expenses'!$K$6:$K$10000,$B$7,'Main Expenses'!$L$6:$L$10000,$C$7),0)</f>
        <v/>
      </c>
      <c r="J45" s="139" t="inlineStr">
        <is>
          <t>Shipping</t>
        </is>
      </c>
      <c r="K45" s="127">
        <f>IFERROR(SUMIFS('Sales Data'!$E$6:$E$10000,'Sales Data'!$B$6:$B$10000,"Shopify",'Sales Data'!$D$6:$D$10000,"Shipping",'Sales Data'!$BC$6:$BC$10000,$B$7,'Sales Data'!$BD$6:$BD$10000,$C$7),0)</f>
        <v/>
      </c>
      <c r="L45" s="128">
        <f>IFERROR(K45/SUMIFS('Sales Data'!$E$6:$E$10000,'Sales Data'!$B$6:$B$10000,"Shopify",'Sales Data'!$BC$6:$BC$10000,$B$7,'Sales Data'!$BD$6:$BD$10000,$C$7),0)</f>
        <v/>
      </c>
    </row>
    <row r="46" hidden="1" outlineLevel="1" ht="18" customHeight="1" s="104">
      <c r="B46" s="176" t="inlineStr">
        <is>
          <t xml:space="preserve">    ↳ Cost of goods sold</t>
        </is>
      </c>
      <c r="C46" s="177">
        <f>IFERROR(SUMIFS('Sub Expenses'!$E$6:$E$10000,'Sub Expenses'!$B$6:$B$10000,"Shopify",'Sub Expenses'!$C$6:$C$10000,"Cost of goods",'Sub Expenses'!$D$6:$D$10000,"Cost of goods sold",'Sub Expenses'!$J$6:$J$10000,$B$7,'Sub Expenses'!$K$6:$K$10000,$C$7),0)</f>
        <v/>
      </c>
      <c r="D46" s="178">
        <f>IFERROR(C46/SUMIFS('Main Expenses'!$E$6:$E$10000,'Main Expenses'!$B$6:$B$10000,"Shopify",'Main Expenses'!$K$6:$K$10000,$B$7,'Main Expenses'!$L$6:$L$10000,$C$7),0)</f>
        <v/>
      </c>
      <c r="J46" s="149" t="inlineStr">
        <is>
          <t>Sales tax</t>
        </is>
      </c>
      <c r="K46" s="130">
        <f>IFERROR(SUMIFS('Sales Data'!$E$6:$E$10000,'Sales Data'!$B$6:$B$10000,"Shopify",'Sales Data'!$D$6:$D$10000,"Sales tax",'Sales Data'!$BC$6:$BC$10000,$B$7,'Sales Data'!$BD$6:$BD$10000,$C$7),0)</f>
        <v/>
      </c>
      <c r="L46" s="131">
        <f>IFERROR(K46/SUMIFS('Sales Data'!$E$6:$E$10000,'Sales Data'!$B$6:$B$10000,"Shopify",'Sales Data'!$BC$6:$BC$10000,$B$7,'Sales Data'!$BD$6:$BD$10000,$C$7),0)</f>
        <v/>
      </c>
    </row>
    <row r="47" ht="18" customHeight="1" s="104">
      <c r="B47" s="138" t="inlineStr">
        <is>
          <t>Payment fees</t>
        </is>
      </c>
      <c r="C47" s="174">
        <f>IFERROR(SUMIFS('Main Expenses'!$E$6:$E$10000,'Main Expenses'!$B$6:$B$10000,"Shopify",'Main Expenses'!$D$6:$D$10000,"Payment fees",'Main Expenses'!$K$6:$K$10000,$B$7,'Main Expenses'!$L$6:$L$10000,$C$7),0)</f>
        <v/>
      </c>
      <c r="D47" s="175">
        <f>IFERROR(C47/SUMIFS('Main Expenses'!$E$6:$E$10000,'Main Expenses'!$B$6:$B$10000,"Shopify",'Main Expenses'!$K$6:$K$10000,$B$7,'Main Expenses'!$L$6:$L$10000,$C$7),0)</f>
        <v/>
      </c>
      <c r="J47" s="139" t="inlineStr">
        <is>
          <t>Refunded amount</t>
        </is>
      </c>
      <c r="K47" s="127">
        <f>IFERROR(SUMIFS('Sales Data'!$E$6:$E$10000,'Sales Data'!$B$6:$B$10000,"Shopify",'Sales Data'!$D$6:$D$10000,"Refunded amount",'Sales Data'!$BC$6:$BC$10000,$B$7,'Sales Data'!$BD$6:$BD$10000,$C$7),0)</f>
        <v/>
      </c>
      <c r="L47" s="128">
        <f>IFERROR(K47/SUMIFS('Sales Data'!$E$6:$E$10000,'Sales Data'!$B$6:$B$10000,"Shopify",'Sales Data'!$BC$6:$BC$10000,$B$7,'Sales Data'!$BD$6:$BD$10000,$C$7),0)</f>
        <v/>
      </c>
    </row>
    <row r="48" hidden="1" outlineLevel="1" ht="18" customHeight="1" s="104">
      <c r="B48" s="176" t="inlineStr">
        <is>
          <t xml:space="preserve">    ↳ Shopify Payments fee</t>
        </is>
      </c>
      <c r="C48" s="177">
        <f>IFERROR(SUMIFS('Sub Expenses'!$E$6:$E$10000,'Sub Expenses'!$B$6:$B$10000,"Shopify",'Sub Expenses'!$C$6:$C$10000,"Payment fees",'Sub Expenses'!$D$6:$D$10000,"Shopify Payments fee",'Sub Expenses'!$J$6:$J$10000,$B$7,'Sub Expenses'!$K$6:$K$10000,$C$7),0)</f>
        <v/>
      </c>
      <c r="D48" s="178">
        <f>IFERROR(C48/SUMIFS('Main Expenses'!$E$6:$E$10000,'Main Expenses'!$B$6:$B$10000,"Shopify",'Main Expenses'!$K$6:$K$10000,$B$7,'Main Expenses'!$L$6:$L$10000,$C$7),0)</f>
        <v/>
      </c>
      <c r="J48" s="149" t="inlineStr">
        <is>
          <t>Refunded shipping</t>
        </is>
      </c>
      <c r="K48" s="130">
        <f>IFERROR(SUMIFS('Sales Data'!$E$6:$E$10000,'Sales Data'!$B$6:$B$10000,"Shopify",'Sales Data'!$D$6:$D$10000,"Refunded shipping",'Sales Data'!$BC$6:$BC$10000,$B$7,'Sales Data'!$BD$6:$BD$10000,$C$7),0)</f>
        <v/>
      </c>
      <c r="L48" s="131">
        <f>IFERROR(K48/SUMIFS('Sales Data'!$E$6:$E$10000,'Sales Data'!$B$6:$B$10000,"Shopify",'Sales Data'!$BC$6:$BC$10000,$B$7,'Sales Data'!$BD$6:$BD$10000,$C$7),0)</f>
        <v/>
      </c>
    </row>
    <row r="49" ht="18" customHeight="1" s="104">
      <c r="B49" s="138" t="inlineStr">
        <is>
          <t>Tax</t>
        </is>
      </c>
      <c r="C49" s="174">
        <f>IFERROR(SUMIFS('Main Expenses'!$E$6:$E$10000,'Main Expenses'!$B$6:$B$10000,"Shopify",'Main Expenses'!$D$6:$D$10000,"Tax",'Main Expenses'!$K$6:$K$10000,$B$7,'Main Expenses'!$L$6:$L$10000,$C$7),0)</f>
        <v/>
      </c>
      <c r="D49" s="175">
        <f>IFERROR(C49/SUMIFS('Main Expenses'!$E$6:$E$10000,'Main Expenses'!$B$6:$B$10000,"Shopify",'Main Expenses'!$K$6:$K$10000,$B$7,'Main Expenses'!$L$6:$L$10000,$C$7),0)</f>
        <v/>
      </c>
    </row>
    <row r="50" hidden="1" outlineLevel="1" ht="18" customHeight="1" s="104">
      <c r="B50" s="176" t="inlineStr">
        <is>
          <t xml:space="preserve">    ↳ Anderson Co Education Capital Improvement</t>
        </is>
      </c>
      <c r="C50" s="177">
        <f>IFERROR(SUMIFS('Sub Expenses'!$E$6:$E$10000,'Sub Expenses'!$B$6:$B$10000,"Shopify",'Sub Expenses'!$C$6:$C$10000,"Tax",'Sub Expenses'!$D$6:$D$10000,"Anderson Co Education Capital Improvement",'Sub Expenses'!$J$6:$J$10000,$B$7,'Sub Expenses'!$K$6:$K$10000,$C$7),0)</f>
        <v/>
      </c>
      <c r="D50" s="178">
        <f>IFERROR(C50/SUMIFS('Main Expenses'!$E$6:$E$10000,'Main Expenses'!$B$6:$B$10000,"Shopify",'Main Expenses'!$K$6:$K$10000,$B$7,'Main Expenses'!$L$6:$L$10000,$C$7),0)</f>
        <v/>
      </c>
    </row>
    <row r="51" hidden="1" outlineLevel="1" ht="18" customHeight="1" s="104">
      <c r="B51" s="176" t="inlineStr">
        <is>
          <t xml:space="preserve">    ↳ CONTRA COSTA CO LOC</t>
        </is>
      </c>
      <c r="C51" s="177">
        <f>IFERROR(SUMIFS('Sub Expenses'!$E$6:$E$10000,'Sub Expenses'!$B$6:$B$10000,"Shopify",'Sub Expenses'!$C$6:$C$10000,"Tax",'Sub Expenses'!$D$6:$D$10000,"CONTRA COSTA CO LOC",'Sub Expenses'!$J$6:$J$10000,$B$7,'Sub Expenses'!$K$6:$K$10000,$C$7),0)</f>
        <v/>
      </c>
      <c r="D51" s="178">
        <f>IFERROR(C51/SUMIFS('Main Expenses'!$E$6:$E$10000,'Main Expenses'!$B$6:$B$10000,"Shopify",'Main Expenses'!$K$6:$K$10000,$B$7,'Main Expenses'!$L$6:$L$10000,$C$7),0)</f>
        <v/>
      </c>
    </row>
    <row r="52" hidden="1" outlineLevel="1" ht="18" customHeight="1" s="104">
      <c r="B52" s="176" t="inlineStr">
        <is>
          <t xml:space="preserve">    ↳ CONTRA COSTA COUNTY</t>
        </is>
      </c>
      <c r="C52" s="177">
        <f>IFERROR(SUMIFS('Sub Expenses'!$E$6:$E$10000,'Sub Expenses'!$B$6:$B$10000,"Shopify",'Sub Expenses'!$C$6:$C$10000,"Tax",'Sub Expenses'!$D$6:$D$10000,"CONTRA COSTA COUNTY",'Sub Expenses'!$J$6:$J$10000,$B$7,'Sub Expenses'!$K$6:$K$10000,$C$7),0)</f>
        <v/>
      </c>
      <c r="D52" s="178">
        <f>IFERROR(C52/SUMIFS('Main Expenses'!$E$6:$E$10000,'Main Expenses'!$B$6:$B$10000,"Shopify",'Main Expenses'!$K$6:$K$10000,$B$7,'Main Expenses'!$L$6:$L$10000,$C$7),0)</f>
        <v/>
      </c>
    </row>
    <row r="53" hidden="1" outlineLevel="1" ht="18" customHeight="1" s="104">
      <c r="B53" s="176" t="inlineStr">
        <is>
          <t xml:space="preserve">    ↳ California State Tax</t>
        </is>
      </c>
      <c r="C53" s="177">
        <f>IFERROR(SUMIFS('Sub Expenses'!$E$6:$E$10000,'Sub Expenses'!$B$6:$B$10000,"Shopify",'Sub Expenses'!$C$6:$C$10000,"Tax",'Sub Expenses'!$D$6:$D$10000,"California State Tax",'Sub Expenses'!$J$6:$J$10000,$B$7,'Sub Expenses'!$K$6:$K$10000,$C$7),0)</f>
        <v/>
      </c>
      <c r="D53" s="178">
        <f>IFERROR(C53/SUMIFS('Main Expenses'!$E$6:$E$10000,'Main Expenses'!$B$6:$B$10000,"Shopify",'Main Expenses'!$K$6:$K$10000,$B$7,'Main Expenses'!$L$6:$L$10000,$C$7),0)</f>
        <v/>
      </c>
    </row>
    <row r="54" hidden="1" outlineLevel="1" ht="18" customHeight="1" s="104">
      <c r="B54" s="176" t="inlineStr">
        <is>
          <t xml:space="preserve">    ↳ Contra Costa County Tax</t>
        </is>
      </c>
      <c r="C54" s="177">
        <f>IFERROR(SUMIFS('Sub Expenses'!$E$6:$E$10000,'Sub Expenses'!$B$6:$B$10000,"Shopify",'Sub Expenses'!$C$6:$C$10000,"Tax",'Sub Expenses'!$D$6:$D$10000,"Contra Costa County Tax",'Sub Expenses'!$J$6:$J$10000,$B$7,'Sub Expenses'!$K$6:$K$10000,$C$7),0)</f>
        <v/>
      </c>
      <c r="D54" s="178">
        <f>IFERROR(C54/SUMIFS('Main Expenses'!$E$6:$E$10000,'Main Expenses'!$B$6:$B$10000,"Shopify",'Main Expenses'!$K$6:$K$10000,$B$7,'Main Expenses'!$L$6:$L$10000,$C$7),0)</f>
        <v/>
      </c>
    </row>
    <row r="55" hidden="1" outlineLevel="1" ht="18" customHeight="1" s="104">
      <c r="B55" s="176" t="inlineStr">
        <is>
          <t xml:space="preserve">    ↳ Cuyahoga County Tax</t>
        </is>
      </c>
      <c r="C55" s="177">
        <f>IFERROR(SUMIFS('Sub Expenses'!$E$6:$E$10000,'Sub Expenses'!$B$6:$B$10000,"Shopify",'Sub Expenses'!$C$6:$C$10000,"Tax",'Sub Expenses'!$D$6:$D$10000,"Cuyahoga County Tax",'Sub Expenses'!$J$6:$J$10000,$B$7,'Sub Expenses'!$K$6:$K$10000,$C$7),0)</f>
        <v/>
      </c>
      <c r="D55" s="178">
        <f>IFERROR(C55/SUMIFS('Main Expenses'!$E$6:$E$10000,'Main Expenses'!$B$6:$B$10000,"Shopify",'Main Expenses'!$K$6:$K$10000,$B$7,'Main Expenses'!$L$6:$L$10000,$C$7),0)</f>
        <v/>
      </c>
    </row>
    <row r="56" hidden="1" outlineLevel="1" ht="18" customHeight="1" s="104">
      <c r="B56" s="176" t="inlineStr">
        <is>
          <t xml:space="preserve">    ↳ Dekalb Co Tsplost Sp</t>
        </is>
      </c>
      <c r="C56" s="177">
        <f>IFERROR(SUMIFS('Sub Expenses'!$E$6:$E$10000,'Sub Expenses'!$B$6:$B$10000,"Shopify",'Sub Expenses'!$C$6:$C$10000,"Tax",'Sub Expenses'!$D$6:$D$10000,"Dekalb Co Tsplost Sp",'Sub Expenses'!$J$6:$J$10000,$B$7,'Sub Expenses'!$K$6:$K$10000,$C$7),0)</f>
        <v/>
      </c>
      <c r="D56" s="178">
        <f>IFERROR(C56/SUMIFS('Main Expenses'!$E$6:$E$10000,'Main Expenses'!$B$6:$B$10000,"Shopify",'Main Expenses'!$K$6:$K$10000,$B$7,'Main Expenses'!$L$6:$L$10000,$C$7),0)</f>
        <v/>
      </c>
    </row>
    <row r="57" hidden="1" outlineLevel="1" ht="18" customHeight="1" s="104">
      <c r="B57" s="176" t="inlineStr">
        <is>
          <t xml:space="preserve">    ↳ Dekalb County Tax</t>
        </is>
      </c>
      <c r="C57" s="177">
        <f>IFERROR(SUMIFS('Sub Expenses'!$E$6:$E$10000,'Sub Expenses'!$B$6:$B$10000,"Shopify",'Sub Expenses'!$C$6:$C$10000,"Tax",'Sub Expenses'!$D$6:$D$10000,"Dekalb County Tax",'Sub Expenses'!$J$6:$J$10000,$B$7,'Sub Expenses'!$K$6:$K$10000,$C$7),0)</f>
        <v/>
      </c>
      <c r="D57" s="178">
        <f>IFERROR(C57/SUMIFS('Main Expenses'!$E$6:$E$10000,'Main Expenses'!$B$6:$B$10000,"Shopify",'Main Expenses'!$K$6:$K$10000,$B$7,'Main Expenses'!$L$6:$L$10000,$C$7),0)</f>
        <v/>
      </c>
    </row>
    <row r="58" hidden="1" outlineLevel="1" ht="18" customHeight="1" s="104">
      <c r="B58" s="176" t="inlineStr">
        <is>
          <t xml:space="preserve">    ↳ Duval County Tax</t>
        </is>
      </c>
      <c r="C58" s="177">
        <f>IFERROR(SUMIFS('Sub Expenses'!$E$6:$E$10000,'Sub Expenses'!$B$6:$B$10000,"Shopify",'Sub Expenses'!$C$6:$C$10000,"Tax",'Sub Expenses'!$D$6:$D$10000,"Duval County Tax",'Sub Expenses'!$J$6:$J$10000,$B$7,'Sub Expenses'!$K$6:$K$10000,$C$7),0)</f>
        <v/>
      </c>
      <c r="D58" s="178">
        <f>IFERROR(C58/SUMIFS('Main Expenses'!$E$6:$E$10000,'Main Expenses'!$B$6:$B$10000,"Shopify",'Main Expenses'!$K$6:$K$10000,$B$7,'Main Expenses'!$L$6:$L$10000,$C$7),0)</f>
        <v/>
      </c>
    </row>
    <row r="59" hidden="1" outlineLevel="1" ht="18" customHeight="1" s="104">
      <c r="B59" s="176" t="inlineStr">
        <is>
          <t xml:space="preserve">    ↳ Federal Way City Tax</t>
        </is>
      </c>
      <c r="C59" s="177">
        <f>IFERROR(SUMIFS('Sub Expenses'!$E$6:$E$10000,'Sub Expenses'!$B$6:$B$10000,"Shopify",'Sub Expenses'!$C$6:$C$10000,"Tax",'Sub Expenses'!$D$6:$D$10000,"Federal Way City Tax",'Sub Expenses'!$J$6:$J$10000,$B$7,'Sub Expenses'!$K$6:$K$10000,$C$7),0)</f>
        <v/>
      </c>
      <c r="D59" s="178">
        <f>IFERROR(C59/SUMIFS('Main Expenses'!$E$6:$E$10000,'Main Expenses'!$B$6:$B$10000,"Shopify",'Main Expenses'!$K$6:$K$10000,$B$7,'Main Expenses'!$L$6:$L$10000,$C$7),0)</f>
        <v/>
      </c>
    </row>
    <row r="60" hidden="1" outlineLevel="1" ht="18" customHeight="1" s="104">
      <c r="B60" s="176" t="inlineStr">
        <is>
          <t xml:space="preserve">    ↳ Florida State Tax</t>
        </is>
      </c>
      <c r="C60" s="177">
        <f>IFERROR(SUMIFS('Sub Expenses'!$E$6:$E$10000,'Sub Expenses'!$B$6:$B$10000,"Shopify",'Sub Expenses'!$C$6:$C$10000,"Tax",'Sub Expenses'!$D$6:$D$10000,"Florida State Tax",'Sub Expenses'!$J$6:$J$10000,$B$7,'Sub Expenses'!$K$6:$K$10000,$C$7),0)</f>
        <v/>
      </c>
      <c r="D60" s="178">
        <f>IFERROR(C60/SUMIFS('Main Expenses'!$E$6:$E$10000,'Main Expenses'!$B$6:$B$10000,"Shopify",'Main Expenses'!$K$6:$K$10000,$B$7,'Main Expenses'!$L$6:$L$10000,$C$7),0)</f>
        <v/>
      </c>
    </row>
    <row r="61" hidden="1" outlineLevel="1" ht="18" customHeight="1" s="104">
      <c r="B61" s="176" t="inlineStr">
        <is>
          <t xml:space="preserve">    ↳ Forsyth County Tax</t>
        </is>
      </c>
      <c r="C61" s="177">
        <f>IFERROR(SUMIFS('Sub Expenses'!$E$6:$E$10000,'Sub Expenses'!$B$6:$B$10000,"Shopify",'Sub Expenses'!$C$6:$C$10000,"Tax",'Sub Expenses'!$D$6:$D$10000,"Forsyth County Tax",'Sub Expenses'!$J$6:$J$10000,$B$7,'Sub Expenses'!$K$6:$K$10000,$C$7),0)</f>
        <v/>
      </c>
      <c r="D61" s="178">
        <f>IFERROR(C61/SUMIFS('Main Expenses'!$E$6:$E$10000,'Main Expenses'!$B$6:$B$10000,"Shopify",'Main Expenses'!$K$6:$K$10000,$B$7,'Main Expenses'!$L$6:$L$10000,$C$7),0)</f>
        <v/>
      </c>
    </row>
    <row r="62" hidden="1" outlineLevel="1" ht="18" customHeight="1" s="104">
      <c r="B62" s="176" t="inlineStr">
        <is>
          <t xml:space="preserve">    ↳ Galveston City Tax</t>
        </is>
      </c>
      <c r="C62" s="177">
        <f>IFERROR(SUMIFS('Sub Expenses'!$E$6:$E$10000,'Sub Expenses'!$B$6:$B$10000,"Shopify",'Sub Expenses'!$C$6:$C$10000,"Tax",'Sub Expenses'!$D$6:$D$10000,"Galveston City Tax",'Sub Expenses'!$J$6:$J$10000,$B$7,'Sub Expenses'!$K$6:$K$10000,$C$7),0)</f>
        <v/>
      </c>
      <c r="D62" s="178">
        <f>IFERROR(C62/SUMIFS('Main Expenses'!$E$6:$E$10000,'Main Expenses'!$B$6:$B$10000,"Shopify",'Main Expenses'!$K$6:$K$10000,$B$7,'Main Expenses'!$L$6:$L$10000,$C$7),0)</f>
        <v/>
      </c>
    </row>
    <row r="63" hidden="1" outlineLevel="1" ht="18" customHeight="1" s="104">
      <c r="B63" s="176" t="inlineStr">
        <is>
          <t xml:space="preserve">    ↳ Georgia State Tax</t>
        </is>
      </c>
      <c r="C63" s="177">
        <f>IFERROR(SUMIFS('Sub Expenses'!$E$6:$E$10000,'Sub Expenses'!$B$6:$B$10000,"Shopify",'Sub Expenses'!$C$6:$C$10000,"Tax",'Sub Expenses'!$D$6:$D$10000,"Georgia State Tax",'Sub Expenses'!$J$6:$J$10000,$B$7,'Sub Expenses'!$K$6:$K$10000,$C$7),0)</f>
        <v/>
      </c>
      <c r="D63" s="178">
        <f>IFERROR(C63/SUMIFS('Main Expenses'!$E$6:$E$10000,'Main Expenses'!$B$6:$B$10000,"Shopify",'Main Expenses'!$K$6:$K$10000,$B$7,'Main Expenses'!$L$6:$L$10000,$C$7),0)</f>
        <v/>
      </c>
    </row>
    <row r="64" hidden="1" outlineLevel="1" ht="18" customHeight="1" s="104">
      <c r="B64" s="176" t="inlineStr">
        <is>
          <t xml:space="preserve">    ↳ Henrico Co Sp</t>
        </is>
      </c>
      <c r="C64" s="177">
        <f>IFERROR(SUMIFS('Sub Expenses'!$E$6:$E$10000,'Sub Expenses'!$B$6:$B$10000,"Shopify",'Sub Expenses'!$C$6:$C$10000,"Tax",'Sub Expenses'!$D$6:$D$10000,"Henrico Co Sp",'Sub Expenses'!$J$6:$J$10000,$B$7,'Sub Expenses'!$K$6:$K$10000,$C$7),0)</f>
        <v/>
      </c>
      <c r="D64" s="178">
        <f>IFERROR(C64/SUMIFS('Main Expenses'!$E$6:$E$10000,'Main Expenses'!$B$6:$B$10000,"Shopify",'Main Expenses'!$K$6:$K$10000,$B$7,'Main Expenses'!$L$6:$L$10000,$C$7),0)</f>
        <v/>
      </c>
    </row>
    <row r="65" hidden="1" outlineLevel="1" ht="18" customHeight="1" s="104">
      <c r="B65" s="176" t="inlineStr">
        <is>
          <t xml:space="preserve">    ↳ Henrico County Tax</t>
        </is>
      </c>
      <c r="C65" s="177">
        <f>IFERROR(SUMIFS('Sub Expenses'!$E$6:$E$10000,'Sub Expenses'!$B$6:$B$10000,"Shopify",'Sub Expenses'!$C$6:$C$10000,"Tax",'Sub Expenses'!$D$6:$D$10000,"Henrico County Tax",'Sub Expenses'!$J$6:$J$10000,$B$7,'Sub Expenses'!$K$6:$K$10000,$C$7),0)</f>
        <v/>
      </c>
      <c r="D65" s="178">
        <f>IFERROR(C65/SUMIFS('Main Expenses'!$E$6:$E$10000,'Main Expenses'!$B$6:$B$10000,"Shopify",'Main Expenses'!$K$6:$K$10000,$B$7,'Main Expenses'!$L$6:$L$10000,$C$7),0)</f>
        <v/>
      </c>
    </row>
    <row r="66" hidden="1" outlineLevel="1" ht="18" customHeight="1" s="104">
      <c r="B66" s="176" t="inlineStr">
        <is>
          <t xml:space="preserve">    ↳ Maryland State Tax</t>
        </is>
      </c>
      <c r="C66" s="177">
        <f>IFERROR(SUMIFS('Sub Expenses'!$E$6:$E$10000,'Sub Expenses'!$B$6:$B$10000,"Shopify",'Sub Expenses'!$C$6:$C$10000,"Tax",'Sub Expenses'!$D$6:$D$10000,"Maryland State Tax",'Sub Expenses'!$J$6:$J$10000,$B$7,'Sub Expenses'!$K$6:$K$10000,$C$7),0)</f>
        <v/>
      </c>
      <c r="D66" s="178">
        <f>IFERROR(C66/SUMIFS('Main Expenses'!$E$6:$E$10000,'Main Expenses'!$B$6:$B$10000,"Shopify",'Main Expenses'!$K$6:$K$10000,$B$7,'Main Expenses'!$L$6:$L$10000,$C$7),0)</f>
        <v/>
      </c>
    </row>
    <row r="67" hidden="1" outlineLevel="1" ht="18" customHeight="1" s="104">
      <c r="B67" s="176" t="inlineStr">
        <is>
          <t xml:space="preserve">    ↳ Metropolitan Commuter Transportation District</t>
        </is>
      </c>
      <c r="C67" s="177">
        <f>IFERROR(SUMIFS('Sub Expenses'!$E$6:$E$10000,'Sub Expenses'!$B$6:$B$10000,"Shopify",'Sub Expenses'!$C$6:$C$10000,"Tax",'Sub Expenses'!$D$6:$D$10000,"Metropolitan Commuter Transportation District",'Sub Expenses'!$J$6:$J$10000,$B$7,'Sub Expenses'!$K$6:$K$10000,$C$7),0)</f>
        <v/>
      </c>
      <c r="D67" s="178">
        <f>IFERROR(C67/SUMIFS('Main Expenses'!$E$6:$E$10000,'Main Expenses'!$B$6:$B$10000,"Shopify",'Main Expenses'!$K$6:$K$10000,$B$7,'Main Expenses'!$L$6:$L$10000,$C$7),0)</f>
        <v/>
      </c>
    </row>
    <row r="68" hidden="1" outlineLevel="1" ht="18" customHeight="1" s="104">
      <c r="B68" s="176" t="inlineStr">
        <is>
          <t xml:space="preserve">    ↳ Miami Dade County Tax</t>
        </is>
      </c>
      <c r="C68" s="177">
        <f>IFERROR(SUMIFS('Sub Expenses'!$E$6:$E$10000,'Sub Expenses'!$B$6:$B$10000,"Shopify",'Sub Expenses'!$C$6:$C$10000,"Tax",'Sub Expenses'!$D$6:$D$10000,"Miami Dade County Tax",'Sub Expenses'!$J$6:$J$10000,$B$7,'Sub Expenses'!$K$6:$K$10000,$C$7),0)</f>
        <v/>
      </c>
      <c r="D68" s="178">
        <f>IFERROR(C68/SUMIFS('Main Expenses'!$E$6:$E$10000,'Main Expenses'!$B$6:$B$10000,"Shopify",'Main Expenses'!$K$6:$K$10000,$B$7,'Main Expenses'!$L$6:$L$10000,$C$7),0)</f>
        <v/>
      </c>
    </row>
    <row r="69" hidden="1" outlineLevel="1" ht="18" customHeight="1" s="104">
      <c r="B69" s="176" t="inlineStr">
        <is>
          <t xml:space="preserve">    ↳ New Jersey State Tax</t>
        </is>
      </c>
      <c r="C69" s="177">
        <f>IFERROR(SUMIFS('Sub Expenses'!$E$6:$E$10000,'Sub Expenses'!$B$6:$B$10000,"Shopify",'Sub Expenses'!$C$6:$C$10000,"Tax",'Sub Expenses'!$D$6:$D$10000,"New Jersey State Tax",'Sub Expenses'!$J$6:$J$10000,$B$7,'Sub Expenses'!$K$6:$K$10000,$C$7),0)</f>
        <v/>
      </c>
      <c r="D69" s="178">
        <f>IFERROR(C69/SUMIFS('Main Expenses'!$E$6:$E$10000,'Main Expenses'!$B$6:$B$10000,"Shopify",'Main Expenses'!$K$6:$K$10000,$B$7,'Main Expenses'!$L$6:$L$10000,$C$7),0)</f>
        <v/>
      </c>
    </row>
    <row r="70" hidden="1" outlineLevel="1" ht="18" customHeight="1" s="104">
      <c r="B70" s="176" t="inlineStr">
        <is>
          <t xml:space="preserve">    ↳ New York  City Tax </t>
        </is>
      </c>
      <c r="C70" s="177">
        <f>IFERROR(SUMIFS('Sub Expenses'!$E$6:$E$10000,'Sub Expenses'!$B$6:$B$10000,"Shopify",'Sub Expenses'!$C$6:$C$10000,"Tax",'Sub Expenses'!$D$6:$D$10000,"New York  City Tax ",'Sub Expenses'!$J$6:$J$10000,$B$7,'Sub Expenses'!$K$6:$K$10000,$C$7),0)</f>
        <v/>
      </c>
      <c r="D70" s="178">
        <f>IFERROR(C70/SUMIFS('Main Expenses'!$E$6:$E$10000,'Main Expenses'!$B$6:$B$10000,"Shopify",'Main Expenses'!$K$6:$K$10000,$B$7,'Main Expenses'!$L$6:$L$10000,$C$7),0)</f>
        <v/>
      </c>
    </row>
    <row r="71" hidden="1" outlineLevel="1" ht="18" customHeight="1" s="104">
      <c r="B71" s="176" t="inlineStr">
        <is>
          <t xml:space="preserve">    ↳ Ohio State Tax</t>
        </is>
      </c>
      <c r="C71" s="177">
        <f>IFERROR(SUMIFS('Sub Expenses'!$E$6:$E$10000,'Sub Expenses'!$B$6:$B$10000,"Shopify",'Sub Expenses'!$C$6:$C$10000,"Tax",'Sub Expenses'!$D$6:$D$10000,"Ohio State Tax",'Sub Expenses'!$J$6:$J$10000,$B$7,'Sub Expenses'!$K$6:$K$10000,$C$7),0)</f>
        <v/>
      </c>
      <c r="D71" s="178">
        <f>IFERROR(C71/SUMIFS('Main Expenses'!$E$6:$E$10000,'Main Expenses'!$B$6:$B$10000,"Shopify",'Main Expenses'!$K$6:$K$10000,$B$7,'Main Expenses'!$L$6:$L$10000,$C$7),0)</f>
        <v/>
      </c>
    </row>
    <row r="72" hidden="1" outlineLevel="1" ht="18" customHeight="1" s="104">
      <c r="B72" s="176" t="inlineStr">
        <is>
          <t xml:space="preserve">    ↳ Refunded Galveston City Tax</t>
        </is>
      </c>
      <c r="C72" s="177">
        <f>IFERROR(SUMIFS('Sub Expenses'!$E$6:$E$10000,'Sub Expenses'!$B$6:$B$10000,"Shopify",'Sub Expenses'!$C$6:$C$10000,"Tax",'Sub Expenses'!$D$6:$D$10000,"Refunded Galveston City Tax",'Sub Expenses'!$J$6:$J$10000,$B$7,'Sub Expenses'!$K$6:$K$10000,$C$7),0)</f>
        <v/>
      </c>
      <c r="D72" s="178">
        <f>IFERROR(C72/SUMIFS('Main Expenses'!$E$6:$E$10000,'Main Expenses'!$B$6:$B$10000,"Shopify",'Main Expenses'!$K$6:$K$10000,$B$7,'Main Expenses'!$L$6:$L$10000,$C$7),0)</f>
        <v/>
      </c>
    </row>
    <row r="73" hidden="1" outlineLevel="1" ht="18" customHeight="1" s="104">
      <c r="B73" s="176" t="inlineStr">
        <is>
          <t xml:space="preserve">    ↳ Refunded Texas State Tax</t>
        </is>
      </c>
      <c r="C73" s="177">
        <f>IFERROR(SUMIFS('Sub Expenses'!$E$6:$E$10000,'Sub Expenses'!$B$6:$B$10000,"Shopify",'Sub Expenses'!$C$6:$C$10000,"Tax",'Sub Expenses'!$D$6:$D$10000,"Refunded Texas State Tax",'Sub Expenses'!$J$6:$J$10000,$B$7,'Sub Expenses'!$K$6:$K$10000,$C$7),0)</f>
        <v/>
      </c>
      <c r="D73" s="178">
        <f>IFERROR(C73/SUMIFS('Main Expenses'!$E$6:$E$10000,'Main Expenses'!$B$6:$B$10000,"Shopify",'Main Expenses'!$K$6:$K$10000,$B$7,'Main Expenses'!$L$6:$L$10000,$C$7),0)</f>
        <v/>
      </c>
    </row>
    <row r="74" hidden="1" outlineLevel="1" ht="18" customHeight="1" s="104">
      <c r="B74" s="176" t="inlineStr">
        <is>
          <t xml:space="preserve">    ↳ South Carolina State Tax</t>
        </is>
      </c>
      <c r="C74" s="177">
        <f>IFERROR(SUMIFS('Sub Expenses'!$E$6:$E$10000,'Sub Expenses'!$B$6:$B$10000,"Shopify",'Sub Expenses'!$C$6:$C$10000,"Tax",'Sub Expenses'!$D$6:$D$10000,"South Carolina State Tax",'Sub Expenses'!$J$6:$J$10000,$B$7,'Sub Expenses'!$K$6:$K$10000,$C$7),0)</f>
        <v/>
      </c>
      <c r="D74" s="178">
        <f>IFERROR(C74/SUMIFS('Main Expenses'!$E$6:$E$10000,'Main Expenses'!$B$6:$B$10000,"Shopify",'Main Expenses'!$K$6:$K$10000,$B$7,'Main Expenses'!$L$6:$L$10000,$C$7),0)</f>
        <v/>
      </c>
    </row>
    <row r="75" hidden="1" outlineLevel="1" ht="18" customHeight="1" s="104">
      <c r="B75" s="176" t="inlineStr">
        <is>
          <t xml:space="preserve">    ↳ Texas State Tax</t>
        </is>
      </c>
      <c r="C75" s="177">
        <f>IFERROR(SUMIFS('Sub Expenses'!$E$6:$E$10000,'Sub Expenses'!$B$6:$B$10000,"Shopify",'Sub Expenses'!$C$6:$C$10000,"Tax",'Sub Expenses'!$D$6:$D$10000,"Texas State Tax",'Sub Expenses'!$J$6:$J$10000,$B$7,'Sub Expenses'!$K$6:$K$10000,$C$7),0)</f>
        <v/>
      </c>
      <c r="D75" s="178">
        <f>IFERROR(C75/SUMIFS('Main Expenses'!$E$6:$E$10000,'Main Expenses'!$B$6:$B$10000,"Shopify",'Main Expenses'!$K$6:$K$10000,$B$7,'Main Expenses'!$L$6:$L$10000,$C$7),0)</f>
        <v/>
      </c>
    </row>
    <row r="76" hidden="1" outlineLevel="1" ht="18" customHeight="1" s="104">
      <c r="B76" s="176" t="inlineStr">
        <is>
          <t xml:space="preserve">    ↳ Virginia State Tax</t>
        </is>
      </c>
      <c r="C76" s="177">
        <f>IFERROR(SUMIFS('Sub Expenses'!$E$6:$E$10000,'Sub Expenses'!$B$6:$B$10000,"Shopify",'Sub Expenses'!$C$6:$C$10000,"Tax",'Sub Expenses'!$D$6:$D$10000,"Virginia State Tax",'Sub Expenses'!$J$6:$J$10000,$B$7,'Sub Expenses'!$K$6:$K$10000,$C$7),0)</f>
        <v/>
      </c>
      <c r="D76" s="178">
        <f>IFERROR(C76/SUMIFS('Main Expenses'!$E$6:$E$10000,'Main Expenses'!$B$6:$B$10000,"Shopify",'Main Expenses'!$K$6:$K$10000,$B$7,'Main Expenses'!$L$6:$L$10000,$C$7),0)</f>
        <v/>
      </c>
    </row>
    <row r="77" hidden="1" outlineLevel="1" ht="18" customHeight="1" s="104">
      <c r="B77" s="176" t="inlineStr">
        <is>
          <t xml:space="preserve">    ↳ Volusia County Tax</t>
        </is>
      </c>
      <c r="C77" s="177">
        <f>IFERROR(SUMIFS('Sub Expenses'!$E$6:$E$10000,'Sub Expenses'!$B$6:$B$10000,"Shopify",'Sub Expenses'!$C$6:$C$10000,"Tax",'Sub Expenses'!$D$6:$D$10000,"Volusia County Tax",'Sub Expenses'!$J$6:$J$10000,$B$7,'Sub Expenses'!$K$6:$K$10000,$C$7),0)</f>
        <v/>
      </c>
      <c r="D77" s="178">
        <f>IFERROR(C77/SUMIFS('Main Expenses'!$E$6:$E$10000,'Main Expenses'!$B$6:$B$10000,"Shopify",'Main Expenses'!$K$6:$K$10000,$B$7,'Main Expenses'!$L$6:$L$10000,$C$7),0)</f>
        <v/>
      </c>
    </row>
    <row r="78" hidden="1" outlineLevel="1" ht="18" customHeight="1" s="104">
      <c r="B78" s="176" t="inlineStr">
        <is>
          <t xml:space="preserve">    ↳ Washington State Tax</t>
        </is>
      </c>
      <c r="C78" s="177">
        <f>IFERROR(SUMIFS('Sub Expenses'!$E$6:$E$10000,'Sub Expenses'!$B$6:$B$10000,"Shopify",'Sub Expenses'!$C$6:$C$10000,"Tax",'Sub Expenses'!$D$6:$D$10000,"Washington State Tax",'Sub Expenses'!$J$6:$J$10000,$B$7,'Sub Expenses'!$K$6:$K$10000,$C$7),0)</f>
        <v/>
      </c>
      <c r="D78" s="178">
        <f>IFERROR(C78/SUMIFS('Main Expenses'!$E$6:$E$10000,'Main Expenses'!$B$6:$B$10000,"Shopify",'Main Expenses'!$K$6:$K$10000,$B$7,'Main Expenses'!$L$6:$L$10000,$C$7),0)</f>
        <v/>
      </c>
    </row>
    <row r="79" hidden="1" outlineLevel="1" ht="18" customHeight="1" s="104">
      <c r="B79" s="176" t="inlineStr">
        <is>
          <t xml:space="preserve">    ↳ Wisconsin State Tax</t>
        </is>
      </c>
      <c r="C79" s="177">
        <f>IFERROR(SUMIFS('Sub Expenses'!$E$6:$E$10000,'Sub Expenses'!$B$6:$B$10000,"Shopify",'Sub Expenses'!$C$6:$C$10000,"Tax",'Sub Expenses'!$D$6:$D$10000,"Wisconsin State Tax",'Sub Expenses'!$J$6:$J$10000,$B$7,'Sub Expenses'!$K$6:$K$10000,$C$7),0)</f>
        <v/>
      </c>
      <c r="D79" s="178">
        <f>IFERROR(C79/SUMIFS('Main Expenses'!$E$6:$E$10000,'Main Expenses'!$B$6:$B$10000,"Shopify",'Main Expenses'!$K$6:$K$10000,$B$7,'Main Expenses'!$L$6:$L$10000,$C$7),0)</f>
        <v/>
      </c>
    </row>
    <row r="80" ht="18" customHeight="1" s="104">
      <c r="B80" s="138" t="inlineStr">
        <is>
          <t>Shipping Cost</t>
        </is>
      </c>
      <c r="C80" s="174">
        <f>IFERROR(SUMIFS('Main Expenses'!$E$6:$E$10000,'Main Expenses'!$B$6:$B$10000,"Shopify",'Main Expenses'!$D$6:$D$10000,"Shipping Cost",'Main Expenses'!$K$6:$K$10000,$B$7,'Main Expenses'!$L$6:$L$10000,$C$7),0)</f>
        <v/>
      </c>
      <c r="D80" s="175">
        <f>IFERROR(C80/SUMIFS('Main Expenses'!$E$6:$E$10000,'Main Expenses'!$B$6:$B$10000,"Shopify",'Main Expenses'!$K$6:$K$10000,$B$7,'Main Expenses'!$L$6:$L$10000,$C$7),0)</f>
        <v/>
      </c>
    </row>
    <row r="81" hidden="1" outlineLevel="1" ht="18" customHeight="1" s="104">
      <c r="B81" s="176" t="inlineStr">
        <is>
          <t xml:space="preserve">    ↳ Shipping Cost</t>
        </is>
      </c>
      <c r="C81" s="177">
        <f>IFERROR(SUMIFS('Sub Expenses'!$E$6:$E$10000,'Sub Expenses'!$B$6:$B$10000,"Shopify",'Sub Expenses'!$C$6:$C$10000,"Shipping Cost",'Sub Expenses'!$D$6:$D$10000,"Shipping Cost",'Sub Expenses'!$J$6:$J$10000,$B$7,'Sub Expenses'!$K$6:$K$10000,$C$7),0)</f>
        <v/>
      </c>
      <c r="D81" s="178">
        <f>IFERROR(C81/SUMIFS('Main Expenses'!$E$6:$E$10000,'Main Expenses'!$B$6:$B$10000,"Shopify",'Main Expenses'!$K$6:$K$10000,$B$7,'Main Expenses'!$L$6:$L$10000,$C$7),0)</f>
        <v/>
      </c>
    </row>
    <row r="82" ht="18" customHeight="1" s="104">
      <c r="B82" s="138" t="inlineStr">
        <is>
          <t>MCF Shipping fees</t>
        </is>
      </c>
      <c r="C82" s="174">
        <f>IFERROR(SUMIFS('Main Expenses'!$E$6:$E$10000,'Main Expenses'!$B$6:$B$10000,"Shopify",'Main Expenses'!$D$6:$D$10000,"MCF Shipping fees",'Main Expenses'!$K$6:$K$10000,$B$7,'Main Expenses'!$L$6:$L$10000,$C$7),0)</f>
        <v/>
      </c>
      <c r="D82" s="175">
        <f>IFERROR(C82/SUMIFS('Main Expenses'!$E$6:$E$10000,'Main Expenses'!$B$6:$B$10000,"Shopify",'Main Expenses'!$K$6:$K$10000,$B$7,'Main Expenses'!$L$6:$L$10000,$C$7),0)</f>
        <v/>
      </c>
    </row>
    <row r="83" hidden="1" outlineLevel="1" ht="18" customHeight="1" s="104">
      <c r="B83" s="176" t="inlineStr">
        <is>
          <t xml:space="preserve">    ↳ MCF Shipping fees</t>
        </is>
      </c>
      <c r="C83" s="177">
        <f>IFERROR(SUMIFS('Sub Expenses'!$E$6:$E$10000,'Sub Expenses'!$B$6:$B$10000,"Shopify",'Sub Expenses'!$C$6:$C$10000,"MCF Shipping fees",'Sub Expenses'!$D$6:$D$10000,"MCF Shipping fees",'Sub Expenses'!$J$6:$J$10000,$B$7,'Sub Expenses'!$K$6:$K$10000,$C$7),0)</f>
        <v/>
      </c>
      <c r="D83" s="178">
        <f>IFERROR(C83/SUMIFS('Main Expenses'!$E$6:$E$10000,'Main Expenses'!$B$6:$B$10000,"Shopify",'Main Expenses'!$K$6:$K$10000,$B$7,'Main Expenses'!$L$6:$L$10000,$C$7),0)</f>
        <v/>
      </c>
    </row>
    <row r="84" hidden="1" outlineLevel="1" ht="18" customHeight="1" s="104">
      <c r="B84" s="176" t="inlineStr">
        <is>
          <t xml:space="preserve">    ↳ Shiphype Label Cost</t>
        </is>
      </c>
      <c r="C84" s="177">
        <f>IFERROR(SUMIFS('Sub Expenses'!$E$6:$E$10000,'Sub Expenses'!$B$6:$B$10000,"Shopify",'Sub Expenses'!$C$6:$C$10000,"MCF Shipping fees",'Sub Expenses'!$D$6:$D$10000,"Shiphype Label Cost",'Sub Expenses'!$J$6:$J$10000,$B$7,'Sub Expenses'!$K$6:$K$10000,$C$7),0)</f>
        <v/>
      </c>
      <c r="D84" s="178">
        <f>IFERROR(C84/SUMIFS('Main Expenses'!$E$6:$E$10000,'Main Expenses'!$B$6:$B$10000,"Shopify",'Main Expenses'!$K$6:$K$10000,$B$7,'Main Expenses'!$L$6:$L$10000,$C$7),0)</f>
        <v/>
      </c>
    </row>
    <row r="85" ht="21.75" customHeight="1" s="104">
      <c r="B85" s="132" t="inlineStr">
        <is>
          <t>TOTAL EXPENSES</t>
        </is>
      </c>
      <c r="C85" s="133">
        <f>SUMIFS('Main Expenses'!$E$6:$E$10000,'Main Expenses'!$B$6:$B$10000,"Shopify",'Main Expenses'!$K$6:$K$10000,$B$7,'Main Expenses'!$L$6:$L$10000,$C$7)</f>
        <v/>
      </c>
      <c r="D85" s="134" t="n">
        <v>1</v>
      </c>
      <c r="J85" s="132" t="inlineStr">
        <is>
          <t>TOTAL SALES</t>
        </is>
      </c>
      <c r="K85" s="133">
        <f>SUMIFS('Sales Data'!$E$6:$E$10000,'Sales Data'!$B$6:$B$10000,"Shopify",'Sales Data'!$BC$6:$BC$10000,$B$7,'Sales Data'!$BD$6:$BD$10000,$C$7)</f>
        <v/>
      </c>
      <c r="L85" s="134" t="n">
        <v>1</v>
      </c>
    </row>
  </sheetData>
  <mergeCells count="34">
    <mergeCell ref="J41:P41"/>
    <mergeCell ref="D13:F13"/>
    <mergeCell ref="D11:F11"/>
    <mergeCell ref="B16:C16"/>
    <mergeCell ref="B25:C25"/>
    <mergeCell ref="B22:C22"/>
    <mergeCell ref="D17:F17"/>
    <mergeCell ref="B3:R3"/>
    <mergeCell ref="B18:C18"/>
    <mergeCell ref="D16:F16"/>
    <mergeCell ref="B12:C12"/>
    <mergeCell ref="B21:C21"/>
    <mergeCell ref="B41:H41"/>
    <mergeCell ref="B11:C11"/>
    <mergeCell ref="D12:F12"/>
    <mergeCell ref="B2:R2"/>
    <mergeCell ref="D18:F18"/>
    <mergeCell ref="B14:C14"/>
    <mergeCell ref="B23:C23"/>
    <mergeCell ref="B17:C17"/>
    <mergeCell ref="D25:F25"/>
    <mergeCell ref="D15:F15"/>
    <mergeCell ref="D24:F24"/>
    <mergeCell ref="B13:C13"/>
    <mergeCell ref="D14:F14"/>
    <mergeCell ref="D23:F23"/>
    <mergeCell ref="B19:C19"/>
    <mergeCell ref="D20:F20"/>
    <mergeCell ref="D19:F19"/>
    <mergeCell ref="B24:C24"/>
    <mergeCell ref="B15:C15"/>
    <mergeCell ref="B20:C20"/>
    <mergeCell ref="D22:F22"/>
    <mergeCell ref="D21:F21"/>
  </mergeCells>
  <dataValidations count="3">
    <dataValidation sqref="B7" showDropDown="0" showInputMessage="0" showErrorMessage="0" allowBlank="0" type="list" errorStyle="stop" operator="between">
      <formula1>MonthList</formula1>
      <formula2>0</formula2>
    </dataValidation>
    <dataValidation sqref="C7" showDropDown="0" showInputMessage="0" showErrorMessage="0" allowBlank="0" type="list" errorStyle="stop" operator="between">
      <formula1>YearList</formula1>
      <formula2>0</formula2>
    </dataValidation>
    <dataValidation sqref="J28" showDropDown="0" showInputMessage="0" showErrorMessage="0" allowBlank="0" type="list" errorStyle="stop" operator="between">
      <formula1>YearList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0"/>
    <pageSetUpPr fitToPage="0"/>
  </sheetPr>
  <dimension ref="B2:R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1"/>
  <cols>
    <col width="2" customWidth="1" style="103" min="1" max="1"/>
    <col width="32" customWidth="1" style="103" min="2" max="2"/>
    <col width="18" customWidth="1" style="103" min="3" max="6"/>
    <col width="12" customWidth="1" style="103" min="7" max="18"/>
    <col width="14" customWidth="1" style="103" min="19" max="19"/>
    <col width="2" customWidth="1" style="103" min="20" max="20"/>
  </cols>
  <sheetData>
    <row r="2" ht="33.75" customHeight="1" s="104">
      <c r="B2" s="121" t="inlineStr">
        <is>
          <t>WALMART DASHBOARD</t>
        </is>
      </c>
    </row>
    <row r="3" ht="15" customHeight="1" s="104">
      <c r="B3" s="107" t="inlineStr">
        <is>
          <t>Click the + symbol on the left margin to expand sub-categories · all KPIs update live via SUMIFS formulas.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</row>
    <row r="6" ht="21.75" customHeight="1" s="104">
      <c r="B6" s="122" t="inlineStr">
        <is>
          <t>MONTH</t>
        </is>
      </c>
      <c r="C6" s="122" t="inlineStr">
        <is>
          <t>YEAR</t>
        </is>
      </c>
      <c r="D6" s="122" t="inlineStr">
        <is>
          <t>CATEGORY</t>
        </is>
      </c>
    </row>
    <row r="7" ht="27.75" customHeight="1" s="104">
      <c r="B7" s="123" t="inlineStr">
        <is>
          <t>Mar</t>
        </is>
      </c>
      <c r="C7" s="123" t="n">
        <v>2026</v>
      </c>
      <c r="D7" s="123" t="inlineStr">
        <is>
          <t>All Categories</t>
        </is>
      </c>
    </row>
    <row r="9" ht="15" customHeight="1" s="104">
      <c r="B9" s="164" t="inlineStr">
        <is>
          <t>KEY METRICS</t>
        </is>
      </c>
    </row>
    <row r="11" ht="21.75" customHeight="1" s="104">
      <c r="B11" s="114" t="inlineStr">
        <is>
          <t>SALES</t>
        </is>
      </c>
      <c r="C11" s="112" t="n"/>
      <c r="D11" s="165">
        <f>SUMIFS('Sales Data'!$E$6:$E$10000,'Sales Data'!$B$6:$B$10000,"Walmart",'Sales Data'!$BC$6:$BC$10000,$B$7,'Sales Data'!$BD$6:$BD$10000,$C$7)</f>
        <v/>
      </c>
      <c r="E11" s="111" t="n"/>
      <c r="F11" s="112" t="n"/>
    </row>
    <row r="12" ht="21.75" customHeight="1" s="104">
      <c r="B12" s="117" t="inlineStr">
        <is>
          <t>UNIT SALES</t>
        </is>
      </c>
      <c r="C12" s="112" t="n"/>
      <c r="D12" s="179">
        <f>SUMIFS('Sales Data'!$G$6:$G$10000,'Sales Data'!$B$6:$B$10000,"Walmart",'Sales Data'!$BC$6:$BC$10000,$B$7,'Sales Data'!$BD$6:$BD$10000,$C$7)</f>
        <v/>
      </c>
      <c r="E12" s="111" t="n"/>
      <c r="F12" s="112" t="n"/>
    </row>
    <row r="13" ht="21.75" customHeight="1" s="104">
      <c r="B13" s="114" t="inlineStr">
        <is>
          <t>ADVERTISING COST</t>
        </is>
      </c>
      <c r="C13" s="112" t="n"/>
      <c r="D13" s="165">
        <f>SUMIFS('Sales Data'!$AQ$6:$AQ$10000,'Sales Data'!$B$6:$B$10000,"Walmart",'Sales Data'!$BC$6:$BC$10000,$B$7,'Sales Data'!$BD$6:$BD$10000,$C$7)</f>
        <v/>
      </c>
      <c r="E13" s="111" t="n"/>
      <c r="F13" s="112" t="n"/>
    </row>
    <row r="14" ht="21.75" customHeight="1" s="104">
      <c r="B14" s="117" t="inlineStr">
        <is>
          <t>WFS SHIPPING COST</t>
        </is>
      </c>
      <c r="C14" s="112" t="n"/>
      <c r="D14" s="166">
        <f>SUMIFS('Sales Data'!$AR$6:$AR$10000,'Sales Data'!$B$6:$B$10000,"Walmart",'Sales Data'!$BC$6:$BC$10000,$B$7,'Sales Data'!$BD$6:$BD$10000,$C$7)</f>
        <v/>
      </c>
      <c r="E14" s="111" t="n"/>
      <c r="F14" s="112" t="n"/>
    </row>
    <row r="15" ht="21.75" customHeight="1" s="104">
      <c r="B15" s="114" t="inlineStr">
        <is>
          <t>MCF SHIPPING FEES</t>
        </is>
      </c>
      <c r="C15" s="112" t="n"/>
      <c r="D15" s="165">
        <f>SUMIFS('Sales Data'!$AS$6:$AS$10000,'Sales Data'!$B$6:$B$10000,"Walmart",'Sales Data'!$BC$6:$BC$10000,$B$7,'Sales Data'!$BD$6:$BD$10000,$C$7)</f>
        <v/>
      </c>
      <c r="E15" s="111" t="n"/>
      <c r="F15" s="112" t="n"/>
    </row>
    <row r="16" ht="21.75" customHeight="1" s="104">
      <c r="B16" s="117" t="inlineStr">
        <is>
          <t>3PL LABEL COST</t>
        </is>
      </c>
      <c r="C16" s="112" t="n"/>
      <c r="D16" s="166">
        <f>SUMIFS('Sales Data'!$AT$6:$AT$10000,'Sales Data'!$B$6:$B$10000,"Walmart",'Sales Data'!$BC$6:$BC$10000,$B$7,'Sales Data'!$BD$6:$BD$10000,$C$7)</f>
        <v/>
      </c>
      <c r="E16" s="111" t="n"/>
      <c r="F16" s="112" t="n"/>
    </row>
    <row r="17" ht="21.75" customHeight="1" s="104">
      <c r="B17" s="114" t="inlineStr">
        <is>
          <t>FEES (Commission on product)</t>
        </is>
      </c>
      <c r="C17" s="112" t="n"/>
      <c r="D17" s="165">
        <f>SUMIFS('Sales Data'!$AU$6:$AU$10000,'Sales Data'!$B$6:$B$10000,"Walmart",'Sales Data'!$BC$6:$BC$10000,$B$7,'Sales Data'!$BD$6:$BD$10000,$C$7)</f>
        <v/>
      </c>
      <c r="E17" s="111" t="n"/>
      <c r="F17" s="112" t="n"/>
    </row>
    <row r="18" ht="21.75" customHeight="1" s="104">
      <c r="B18" s="117" t="inlineStr">
        <is>
          <t>FEES (Storage fee)</t>
        </is>
      </c>
      <c r="C18" s="112" t="n"/>
      <c r="D18" s="166">
        <f>SUMIFS('Sales Data'!$AV$6:$AV$10000,'Sales Data'!$B$6:$B$10000,"Walmart",'Sales Data'!$BC$6:$BC$10000,$B$7,'Sales Data'!$BD$6:$BD$10000,$C$7)</f>
        <v/>
      </c>
      <c r="E18" s="111" t="n"/>
      <c r="F18" s="112" t="n"/>
    </row>
    <row r="19" ht="21.75" customHeight="1" s="104">
      <c r="B19" s="114" t="inlineStr">
        <is>
          <t>OTHER FEES</t>
        </is>
      </c>
      <c r="C19" s="112" t="n"/>
      <c r="D19" s="165">
        <f>SUMIFS('Sales Data'!$AW$6:$AW$10000,'Sales Data'!$B$6:$B$10000,"Walmart",'Sales Data'!$BC$6:$BC$10000,$B$7,'Sales Data'!$BD$6:$BD$10000,$C$7)</f>
        <v/>
      </c>
      <c r="E19" s="111" t="n"/>
      <c r="F19" s="112" t="n"/>
    </row>
    <row r="20" ht="21.75" customHeight="1" s="104">
      <c r="B20" s="117" t="inlineStr">
        <is>
          <t>COGS</t>
        </is>
      </c>
      <c r="C20" s="112" t="n"/>
      <c r="D20" s="166">
        <f>SUMIFS('Sales Data'!$AX$6:$AX$10000,'Sales Data'!$B$6:$B$10000,"Walmart",'Sales Data'!$BC$6:$BC$10000,$B$7,'Sales Data'!$BD$6:$BD$10000,$C$7)</f>
        <v/>
      </c>
      <c r="E20" s="111" t="n"/>
      <c r="F20" s="112" t="n"/>
    </row>
    <row r="21" ht="21.75" customHeight="1" s="104">
      <c r="B21" s="114" t="inlineStr">
        <is>
          <t>NET PROFIT (USD)</t>
        </is>
      </c>
      <c r="C21" s="112" t="n"/>
      <c r="D21" s="165">
        <f>SUMIFS('Sales Data'!$AY$6:$AY$10000,'Sales Data'!$B$6:$B$10000,"Walmart",'Sales Data'!$BC$6:$BC$10000,$B$7,'Sales Data'!$BD$6:$BD$10000,$C$7)</f>
        <v/>
      </c>
      <c r="E21" s="111" t="n"/>
      <c r="F21" s="112" t="n"/>
    </row>
    <row r="22" ht="21.75" customHeight="1" s="104">
      <c r="B22" s="117" t="inlineStr">
        <is>
          <t>TACOS</t>
        </is>
      </c>
      <c r="C22" s="112" t="n"/>
      <c r="D22" s="168">
        <f>SUMIFS('Sales Data'!$M$6:$M$10000,'Sales Data'!$B$6:$B$10000,"Walmart",'Sales Data'!$BC$6:$BC$10000,$B$7,'Sales Data'!$BD$6:$BD$10000,$C$7)</f>
        <v/>
      </c>
      <c r="E22" s="111" t="n"/>
      <c r="F22" s="112" t="n"/>
    </row>
    <row r="23" ht="21.75" customHeight="1" s="104">
      <c r="B23" s="114" t="inlineStr">
        <is>
          <t>% REFUNDS</t>
        </is>
      </c>
      <c r="C23" s="112" t="n"/>
      <c r="D23" s="169">
        <f>SUMIFS('Sales Data'!$N$6:$N$10000,'Sales Data'!$B$6:$B$10000,"Walmart",'Sales Data'!$BC$6:$BC$10000,$B$7,'Sales Data'!$BD$6:$BD$10000,$C$7)</f>
        <v/>
      </c>
      <c r="E23" s="111" t="n"/>
      <c r="F23" s="112" t="n"/>
    </row>
    <row r="24" ht="21.75" customHeight="1" s="104">
      <c r="B24" s="117" t="inlineStr">
        <is>
          <t>MARGIN</t>
        </is>
      </c>
      <c r="C24" s="112" t="n"/>
      <c r="D24" s="168">
        <f>SUMIFS('Sales Data'!$P$6:$P$10000,'Sales Data'!$B$6:$B$10000,"Walmart",'Sales Data'!$BC$6:$BC$10000,$B$7,'Sales Data'!$BD$6:$BD$10000,$C$7)</f>
        <v/>
      </c>
      <c r="E24" s="111" t="n"/>
      <c r="F24" s="112" t="n"/>
    </row>
    <row r="27" ht="25.5" customHeight="1" s="104">
      <c r="B27" s="164" t="inlineStr">
        <is>
          <t>MONTHLY TREND</t>
        </is>
      </c>
      <c r="I27" s="135" t="inlineStr">
        <is>
          <t>Trend Year:</t>
        </is>
      </c>
      <c r="J27" s="123" t="n">
        <v>2026</v>
      </c>
    </row>
    <row r="29" ht="21.75" customHeight="1" s="104">
      <c r="B29" s="136" t="inlineStr">
        <is>
          <t>METRIC</t>
        </is>
      </c>
      <c r="C29" s="125" t="inlineStr">
        <is>
          <t>Jan</t>
        </is>
      </c>
      <c r="D29" s="125" t="inlineStr">
        <is>
          <t>Feb</t>
        </is>
      </c>
      <c r="E29" s="125" t="inlineStr">
        <is>
          <t>Mar</t>
        </is>
      </c>
      <c r="F29" s="125" t="inlineStr">
        <is>
          <t>Apr</t>
        </is>
      </c>
      <c r="G29" s="125" t="inlineStr">
        <is>
          <t>May</t>
        </is>
      </c>
      <c r="H29" s="125" t="inlineStr">
        <is>
          <t>Jun</t>
        </is>
      </c>
      <c r="I29" s="125" t="inlineStr">
        <is>
          <t>Jul</t>
        </is>
      </c>
      <c r="J29" s="125" t="inlineStr">
        <is>
          <t>Aug</t>
        </is>
      </c>
      <c r="K29" s="125" t="inlineStr">
        <is>
          <t>Sep</t>
        </is>
      </c>
      <c r="L29" s="125" t="inlineStr">
        <is>
          <t>Oct</t>
        </is>
      </c>
      <c r="M29" s="125" t="inlineStr">
        <is>
          <t>Nov</t>
        </is>
      </c>
      <c r="N29" s="125" t="inlineStr">
        <is>
          <t>Dec</t>
        </is>
      </c>
      <c r="O29" s="137" t="inlineStr">
        <is>
          <t>YEAR TOTAL</t>
        </is>
      </c>
    </row>
    <row r="30" ht="19.5" customHeight="1" s="104">
      <c r="B30" s="170" t="inlineStr">
        <is>
          <t>Sales (USD)</t>
        </is>
      </c>
      <c r="C30" s="144">
        <f>SUMIFS('Sales Data'!$E$6:$E$10000,'Sales Data'!$B$6:$B$10000,"Walmart",'Sales Data'!$BC$6:$BC$10000,"Jan",'Sales Data'!$BD$6:$BD$10000,$J$27)</f>
        <v/>
      </c>
      <c r="D30" s="144">
        <f>SUMIFS('Sales Data'!$E$6:$E$10000,'Sales Data'!$B$6:$B$10000,"Walmart",'Sales Data'!$BC$6:$BC$10000,"Feb",'Sales Data'!$BD$6:$BD$10000,$J$27)</f>
        <v/>
      </c>
      <c r="E30" s="144">
        <f>SUMIFS('Sales Data'!$E$6:$E$10000,'Sales Data'!$B$6:$B$10000,"Walmart",'Sales Data'!$BC$6:$BC$10000,"Mar",'Sales Data'!$BD$6:$BD$10000,$J$27)</f>
        <v/>
      </c>
      <c r="F30" s="144">
        <f>SUMIFS('Sales Data'!$E$6:$E$10000,'Sales Data'!$B$6:$B$10000,"Walmart",'Sales Data'!$BC$6:$BC$10000,"Apr",'Sales Data'!$BD$6:$BD$10000,$J$27)</f>
        <v/>
      </c>
      <c r="G30" s="144">
        <f>SUMIFS('Sales Data'!$E$6:$E$10000,'Sales Data'!$B$6:$B$10000,"Walmart",'Sales Data'!$BC$6:$BC$10000,"May",'Sales Data'!$BD$6:$BD$10000,$J$27)</f>
        <v/>
      </c>
      <c r="H30" s="144">
        <f>SUMIFS('Sales Data'!$E$6:$E$10000,'Sales Data'!$B$6:$B$10000,"Walmart",'Sales Data'!$BC$6:$BC$10000,"Jun",'Sales Data'!$BD$6:$BD$10000,$J$27)</f>
        <v/>
      </c>
      <c r="I30" s="144">
        <f>SUMIFS('Sales Data'!$E$6:$E$10000,'Sales Data'!$B$6:$B$10000,"Walmart",'Sales Data'!$BC$6:$BC$10000,"Jul",'Sales Data'!$BD$6:$BD$10000,$J$27)</f>
        <v/>
      </c>
      <c r="J30" s="144">
        <f>SUMIFS('Sales Data'!$E$6:$E$10000,'Sales Data'!$B$6:$B$10000,"Walmart",'Sales Data'!$BC$6:$BC$10000,"Aug",'Sales Data'!$BD$6:$BD$10000,$J$27)</f>
        <v/>
      </c>
      <c r="K30" s="144">
        <f>SUMIFS('Sales Data'!$E$6:$E$10000,'Sales Data'!$B$6:$B$10000,"Walmart",'Sales Data'!$BC$6:$BC$10000,"Sep",'Sales Data'!$BD$6:$BD$10000,$J$27)</f>
        <v/>
      </c>
      <c r="L30" s="144">
        <f>SUMIFS('Sales Data'!$E$6:$E$10000,'Sales Data'!$B$6:$B$10000,"Walmart",'Sales Data'!$BC$6:$BC$10000,"Oct",'Sales Data'!$BD$6:$BD$10000,$J$27)</f>
        <v/>
      </c>
      <c r="M30" s="144">
        <f>SUMIFS('Sales Data'!$E$6:$E$10000,'Sales Data'!$B$6:$B$10000,"Walmart",'Sales Data'!$BC$6:$BC$10000,"Nov",'Sales Data'!$BD$6:$BD$10000,$J$27)</f>
        <v/>
      </c>
      <c r="N30" s="144">
        <f>SUMIFS('Sales Data'!$E$6:$E$10000,'Sales Data'!$B$6:$B$10000,"Walmart",'Sales Data'!$BC$6:$BC$10000,"Dec",'Sales Data'!$BD$6:$BD$10000,$J$27)</f>
        <v/>
      </c>
      <c r="O30" s="141">
        <f>SUM(C30:N30)</f>
        <v/>
      </c>
    </row>
    <row r="31" ht="19.5" customHeight="1" s="104">
      <c r="B31" s="149" t="inlineStr">
        <is>
          <t>Units</t>
        </is>
      </c>
      <c r="C31" s="171">
        <f>SUMIFS('Sales Data'!$G$6:$G$10000,'Sales Data'!$B$6:$B$10000,"Walmart",'Sales Data'!$BC$6:$BC$10000,"Jan",'Sales Data'!$BD$6:$BD$10000,$J$27)</f>
        <v/>
      </c>
      <c r="D31" s="171">
        <f>SUMIFS('Sales Data'!$G$6:$G$10000,'Sales Data'!$B$6:$B$10000,"Walmart",'Sales Data'!$BC$6:$BC$10000,"Feb",'Sales Data'!$BD$6:$BD$10000,$J$27)</f>
        <v/>
      </c>
      <c r="E31" s="171">
        <f>SUMIFS('Sales Data'!$G$6:$G$10000,'Sales Data'!$B$6:$B$10000,"Walmart",'Sales Data'!$BC$6:$BC$10000,"Mar",'Sales Data'!$BD$6:$BD$10000,$J$27)</f>
        <v/>
      </c>
      <c r="F31" s="171">
        <f>SUMIFS('Sales Data'!$G$6:$G$10000,'Sales Data'!$B$6:$B$10000,"Walmart",'Sales Data'!$BC$6:$BC$10000,"Apr",'Sales Data'!$BD$6:$BD$10000,$J$27)</f>
        <v/>
      </c>
      <c r="G31" s="171">
        <f>SUMIFS('Sales Data'!$G$6:$G$10000,'Sales Data'!$B$6:$B$10000,"Walmart",'Sales Data'!$BC$6:$BC$10000,"May",'Sales Data'!$BD$6:$BD$10000,$J$27)</f>
        <v/>
      </c>
      <c r="H31" s="171">
        <f>SUMIFS('Sales Data'!$G$6:$G$10000,'Sales Data'!$B$6:$B$10000,"Walmart",'Sales Data'!$BC$6:$BC$10000,"Jun",'Sales Data'!$BD$6:$BD$10000,$J$27)</f>
        <v/>
      </c>
      <c r="I31" s="171">
        <f>SUMIFS('Sales Data'!$G$6:$G$10000,'Sales Data'!$B$6:$B$10000,"Walmart",'Sales Data'!$BC$6:$BC$10000,"Jul",'Sales Data'!$BD$6:$BD$10000,$J$27)</f>
        <v/>
      </c>
      <c r="J31" s="171">
        <f>SUMIFS('Sales Data'!$G$6:$G$10000,'Sales Data'!$B$6:$B$10000,"Walmart",'Sales Data'!$BC$6:$BC$10000,"Aug",'Sales Data'!$BD$6:$BD$10000,$J$27)</f>
        <v/>
      </c>
      <c r="K31" s="171">
        <f>SUMIFS('Sales Data'!$G$6:$G$10000,'Sales Data'!$B$6:$B$10000,"Walmart",'Sales Data'!$BC$6:$BC$10000,"Sep",'Sales Data'!$BD$6:$BD$10000,$J$27)</f>
        <v/>
      </c>
      <c r="L31" s="171">
        <f>SUMIFS('Sales Data'!$G$6:$G$10000,'Sales Data'!$B$6:$B$10000,"Walmart",'Sales Data'!$BC$6:$BC$10000,"Oct",'Sales Data'!$BD$6:$BD$10000,$J$27)</f>
        <v/>
      </c>
      <c r="M31" s="171">
        <f>SUMIFS('Sales Data'!$G$6:$G$10000,'Sales Data'!$B$6:$B$10000,"Walmart",'Sales Data'!$BC$6:$BC$10000,"Nov",'Sales Data'!$BD$6:$BD$10000,$J$27)</f>
        <v/>
      </c>
      <c r="N31" s="171">
        <f>SUMIFS('Sales Data'!$G$6:$G$10000,'Sales Data'!$B$6:$B$10000,"Walmart",'Sales Data'!$BC$6:$BC$10000,"Dec",'Sales Data'!$BD$6:$BD$10000,$J$27)</f>
        <v/>
      </c>
      <c r="O31" s="172">
        <f>SUM(C31:N31)</f>
        <v/>
      </c>
    </row>
    <row r="32" ht="19.5" customHeight="1" s="104">
      <c r="B32" s="139" t="inlineStr">
        <is>
          <t>Ad Cost</t>
        </is>
      </c>
      <c r="C32" s="140">
        <f>SUMIFS('Sales Data'!$AQ$6:$AQ$10000,'Sales Data'!$B$6:$B$10000,"Walmart",'Sales Data'!$BC$6:$BC$10000,"Jan",'Sales Data'!$BD$6:$BD$10000,$J$27)</f>
        <v/>
      </c>
      <c r="D32" s="140">
        <f>SUMIFS('Sales Data'!$AQ$6:$AQ$10000,'Sales Data'!$B$6:$B$10000,"Walmart",'Sales Data'!$BC$6:$BC$10000,"Feb",'Sales Data'!$BD$6:$BD$10000,$J$27)</f>
        <v/>
      </c>
      <c r="E32" s="140">
        <f>SUMIFS('Sales Data'!$AQ$6:$AQ$10000,'Sales Data'!$B$6:$B$10000,"Walmart",'Sales Data'!$BC$6:$BC$10000,"Mar",'Sales Data'!$BD$6:$BD$10000,$J$27)</f>
        <v/>
      </c>
      <c r="F32" s="140">
        <f>SUMIFS('Sales Data'!$AQ$6:$AQ$10000,'Sales Data'!$B$6:$B$10000,"Walmart",'Sales Data'!$BC$6:$BC$10000,"Apr",'Sales Data'!$BD$6:$BD$10000,$J$27)</f>
        <v/>
      </c>
      <c r="G32" s="140">
        <f>SUMIFS('Sales Data'!$AQ$6:$AQ$10000,'Sales Data'!$B$6:$B$10000,"Walmart",'Sales Data'!$BC$6:$BC$10000,"May",'Sales Data'!$BD$6:$BD$10000,$J$27)</f>
        <v/>
      </c>
      <c r="H32" s="140">
        <f>SUMIFS('Sales Data'!$AQ$6:$AQ$10000,'Sales Data'!$B$6:$B$10000,"Walmart",'Sales Data'!$BC$6:$BC$10000,"Jun",'Sales Data'!$BD$6:$BD$10000,$J$27)</f>
        <v/>
      </c>
      <c r="I32" s="140">
        <f>SUMIFS('Sales Data'!$AQ$6:$AQ$10000,'Sales Data'!$B$6:$B$10000,"Walmart",'Sales Data'!$BC$6:$BC$10000,"Jul",'Sales Data'!$BD$6:$BD$10000,$J$27)</f>
        <v/>
      </c>
      <c r="J32" s="140">
        <f>SUMIFS('Sales Data'!$AQ$6:$AQ$10000,'Sales Data'!$B$6:$B$10000,"Walmart",'Sales Data'!$BC$6:$BC$10000,"Aug",'Sales Data'!$BD$6:$BD$10000,$J$27)</f>
        <v/>
      </c>
      <c r="K32" s="140">
        <f>SUMIFS('Sales Data'!$AQ$6:$AQ$10000,'Sales Data'!$B$6:$B$10000,"Walmart",'Sales Data'!$BC$6:$BC$10000,"Sep",'Sales Data'!$BD$6:$BD$10000,$J$27)</f>
        <v/>
      </c>
      <c r="L32" s="140">
        <f>SUMIFS('Sales Data'!$AQ$6:$AQ$10000,'Sales Data'!$B$6:$B$10000,"Walmart",'Sales Data'!$BC$6:$BC$10000,"Oct",'Sales Data'!$BD$6:$BD$10000,$J$27)</f>
        <v/>
      </c>
      <c r="M32" s="140">
        <f>SUMIFS('Sales Data'!$AQ$6:$AQ$10000,'Sales Data'!$B$6:$B$10000,"Walmart",'Sales Data'!$BC$6:$BC$10000,"Nov",'Sales Data'!$BD$6:$BD$10000,$J$27)</f>
        <v/>
      </c>
      <c r="N32" s="140">
        <f>SUMIFS('Sales Data'!$AQ$6:$AQ$10000,'Sales Data'!$B$6:$B$10000,"Walmart",'Sales Data'!$BC$6:$BC$10000,"Dec",'Sales Data'!$BD$6:$BD$10000,$J$27)</f>
        <v/>
      </c>
      <c r="O32" s="141">
        <f>SUM(C32:N32)</f>
        <v/>
      </c>
    </row>
    <row r="33" ht="19.5" customHeight="1" s="104">
      <c r="B33" s="149" t="inlineStr">
        <is>
          <t>COGS</t>
        </is>
      </c>
      <c r="C33" s="150">
        <f>SUMIFS('Sales Data'!$AX$6:$AX$10000,'Sales Data'!$B$6:$B$10000,"Walmart",'Sales Data'!$BC$6:$BC$10000,"Jan",'Sales Data'!$BD$6:$BD$10000,$J$27)</f>
        <v/>
      </c>
      <c r="D33" s="150">
        <f>SUMIFS('Sales Data'!$AX$6:$AX$10000,'Sales Data'!$B$6:$B$10000,"Walmart",'Sales Data'!$BC$6:$BC$10000,"Feb",'Sales Data'!$BD$6:$BD$10000,$J$27)</f>
        <v/>
      </c>
      <c r="E33" s="150">
        <f>SUMIFS('Sales Data'!$AX$6:$AX$10000,'Sales Data'!$B$6:$B$10000,"Walmart",'Sales Data'!$BC$6:$BC$10000,"Mar",'Sales Data'!$BD$6:$BD$10000,$J$27)</f>
        <v/>
      </c>
      <c r="F33" s="150">
        <f>SUMIFS('Sales Data'!$AX$6:$AX$10000,'Sales Data'!$B$6:$B$10000,"Walmart",'Sales Data'!$BC$6:$BC$10000,"Apr",'Sales Data'!$BD$6:$BD$10000,$J$27)</f>
        <v/>
      </c>
      <c r="G33" s="150">
        <f>SUMIFS('Sales Data'!$AX$6:$AX$10000,'Sales Data'!$B$6:$B$10000,"Walmart",'Sales Data'!$BC$6:$BC$10000,"May",'Sales Data'!$BD$6:$BD$10000,$J$27)</f>
        <v/>
      </c>
      <c r="H33" s="150">
        <f>SUMIFS('Sales Data'!$AX$6:$AX$10000,'Sales Data'!$B$6:$B$10000,"Walmart",'Sales Data'!$BC$6:$BC$10000,"Jun",'Sales Data'!$BD$6:$BD$10000,$J$27)</f>
        <v/>
      </c>
      <c r="I33" s="150">
        <f>SUMIFS('Sales Data'!$AX$6:$AX$10000,'Sales Data'!$B$6:$B$10000,"Walmart",'Sales Data'!$BC$6:$BC$10000,"Jul",'Sales Data'!$BD$6:$BD$10000,$J$27)</f>
        <v/>
      </c>
      <c r="J33" s="150">
        <f>SUMIFS('Sales Data'!$AX$6:$AX$10000,'Sales Data'!$B$6:$B$10000,"Walmart",'Sales Data'!$BC$6:$BC$10000,"Aug",'Sales Data'!$BD$6:$BD$10000,$J$27)</f>
        <v/>
      </c>
      <c r="K33" s="150">
        <f>SUMIFS('Sales Data'!$AX$6:$AX$10000,'Sales Data'!$B$6:$B$10000,"Walmart",'Sales Data'!$BC$6:$BC$10000,"Sep",'Sales Data'!$BD$6:$BD$10000,$J$27)</f>
        <v/>
      </c>
      <c r="L33" s="150">
        <f>SUMIFS('Sales Data'!$AX$6:$AX$10000,'Sales Data'!$B$6:$B$10000,"Walmart",'Sales Data'!$BC$6:$BC$10000,"Oct",'Sales Data'!$BD$6:$BD$10000,$J$27)</f>
        <v/>
      </c>
      <c r="M33" s="150">
        <f>SUMIFS('Sales Data'!$AX$6:$AX$10000,'Sales Data'!$B$6:$B$10000,"Walmart",'Sales Data'!$BC$6:$BC$10000,"Nov",'Sales Data'!$BD$6:$BD$10000,$J$27)</f>
        <v/>
      </c>
      <c r="N33" s="150">
        <f>SUMIFS('Sales Data'!$AX$6:$AX$10000,'Sales Data'!$B$6:$B$10000,"Walmart",'Sales Data'!$BC$6:$BC$10000,"Dec",'Sales Data'!$BD$6:$BD$10000,$J$27)</f>
        <v/>
      </c>
      <c r="O33" s="141">
        <f>SUM(C33:N33)</f>
        <v/>
      </c>
    </row>
    <row r="34" ht="19.5" customHeight="1" s="104">
      <c r="B34" s="170" t="inlineStr">
        <is>
          <t>Net Profit</t>
        </is>
      </c>
      <c r="C34" s="144">
        <f>SUMIFS('Sales Data'!$AY$6:$AY$10000,'Sales Data'!$B$6:$B$10000,"Walmart",'Sales Data'!$BC$6:$BC$10000,"Jan",'Sales Data'!$BD$6:$BD$10000,$J$27)</f>
        <v/>
      </c>
      <c r="D34" s="144">
        <f>SUMIFS('Sales Data'!$AY$6:$AY$10000,'Sales Data'!$B$6:$B$10000,"Walmart",'Sales Data'!$BC$6:$BC$10000,"Feb",'Sales Data'!$BD$6:$BD$10000,$J$27)</f>
        <v/>
      </c>
      <c r="E34" s="144">
        <f>SUMIFS('Sales Data'!$AY$6:$AY$10000,'Sales Data'!$B$6:$B$10000,"Walmart",'Sales Data'!$BC$6:$BC$10000,"Mar",'Sales Data'!$BD$6:$BD$10000,$J$27)</f>
        <v/>
      </c>
      <c r="F34" s="144">
        <f>SUMIFS('Sales Data'!$AY$6:$AY$10000,'Sales Data'!$B$6:$B$10000,"Walmart",'Sales Data'!$BC$6:$BC$10000,"Apr",'Sales Data'!$BD$6:$BD$10000,$J$27)</f>
        <v/>
      </c>
      <c r="G34" s="144">
        <f>SUMIFS('Sales Data'!$AY$6:$AY$10000,'Sales Data'!$B$6:$B$10000,"Walmart",'Sales Data'!$BC$6:$BC$10000,"May",'Sales Data'!$BD$6:$BD$10000,$J$27)</f>
        <v/>
      </c>
      <c r="H34" s="144">
        <f>SUMIFS('Sales Data'!$AY$6:$AY$10000,'Sales Data'!$B$6:$B$10000,"Walmart",'Sales Data'!$BC$6:$BC$10000,"Jun",'Sales Data'!$BD$6:$BD$10000,$J$27)</f>
        <v/>
      </c>
      <c r="I34" s="144">
        <f>SUMIFS('Sales Data'!$AY$6:$AY$10000,'Sales Data'!$B$6:$B$10000,"Walmart",'Sales Data'!$BC$6:$BC$10000,"Jul",'Sales Data'!$BD$6:$BD$10000,$J$27)</f>
        <v/>
      </c>
      <c r="J34" s="144">
        <f>SUMIFS('Sales Data'!$AY$6:$AY$10000,'Sales Data'!$B$6:$B$10000,"Walmart",'Sales Data'!$BC$6:$BC$10000,"Aug",'Sales Data'!$BD$6:$BD$10000,$J$27)</f>
        <v/>
      </c>
      <c r="K34" s="144">
        <f>SUMIFS('Sales Data'!$AY$6:$AY$10000,'Sales Data'!$B$6:$B$10000,"Walmart",'Sales Data'!$BC$6:$BC$10000,"Sep",'Sales Data'!$BD$6:$BD$10000,$J$27)</f>
        <v/>
      </c>
      <c r="L34" s="144">
        <f>SUMIFS('Sales Data'!$AY$6:$AY$10000,'Sales Data'!$B$6:$B$10000,"Walmart",'Sales Data'!$BC$6:$BC$10000,"Oct",'Sales Data'!$BD$6:$BD$10000,$J$27)</f>
        <v/>
      </c>
      <c r="M34" s="144">
        <f>SUMIFS('Sales Data'!$AY$6:$AY$10000,'Sales Data'!$B$6:$B$10000,"Walmart",'Sales Data'!$BC$6:$BC$10000,"Nov",'Sales Data'!$BD$6:$BD$10000,$J$27)</f>
        <v/>
      </c>
      <c r="N34" s="144">
        <f>SUMIFS('Sales Data'!$AY$6:$AY$10000,'Sales Data'!$B$6:$B$10000,"Walmart",'Sales Data'!$BC$6:$BC$10000,"Dec",'Sales Data'!$BD$6:$BD$10000,$J$27)</f>
        <v/>
      </c>
      <c r="O34" s="141">
        <f>SUM(C34:N34)</f>
        <v/>
      </c>
    </row>
    <row r="35" ht="19.5" customHeight="1" s="104">
      <c r="B35" s="149" t="inlineStr">
        <is>
          <t>TACOS</t>
        </is>
      </c>
      <c r="C35" s="153">
        <f>SUMIFS('Sales Data'!$M$6:$M$10000,'Sales Data'!$B$6:$B$10000,"Walmart",'Sales Data'!$BC$6:$BC$10000,"Jan",'Sales Data'!$BD$6:$BD$10000,$J$27)</f>
        <v/>
      </c>
      <c r="D35" s="153">
        <f>SUMIFS('Sales Data'!$M$6:$M$10000,'Sales Data'!$B$6:$B$10000,"Walmart",'Sales Data'!$BC$6:$BC$10000,"Feb",'Sales Data'!$BD$6:$BD$10000,$J$27)</f>
        <v/>
      </c>
      <c r="E35" s="153">
        <f>SUMIFS('Sales Data'!$M$6:$M$10000,'Sales Data'!$B$6:$B$10000,"Walmart",'Sales Data'!$BC$6:$BC$10000,"Mar",'Sales Data'!$BD$6:$BD$10000,$J$27)</f>
        <v/>
      </c>
      <c r="F35" s="153">
        <f>SUMIFS('Sales Data'!$M$6:$M$10000,'Sales Data'!$B$6:$B$10000,"Walmart",'Sales Data'!$BC$6:$BC$10000,"Apr",'Sales Data'!$BD$6:$BD$10000,$J$27)</f>
        <v/>
      </c>
      <c r="G35" s="153">
        <f>SUMIFS('Sales Data'!$M$6:$M$10000,'Sales Data'!$B$6:$B$10000,"Walmart",'Sales Data'!$BC$6:$BC$10000,"May",'Sales Data'!$BD$6:$BD$10000,$J$27)</f>
        <v/>
      </c>
      <c r="H35" s="153">
        <f>SUMIFS('Sales Data'!$M$6:$M$10000,'Sales Data'!$B$6:$B$10000,"Walmart",'Sales Data'!$BC$6:$BC$10000,"Jun",'Sales Data'!$BD$6:$BD$10000,$J$27)</f>
        <v/>
      </c>
      <c r="I35" s="153">
        <f>SUMIFS('Sales Data'!$M$6:$M$10000,'Sales Data'!$B$6:$B$10000,"Walmart",'Sales Data'!$BC$6:$BC$10000,"Jul",'Sales Data'!$BD$6:$BD$10000,$J$27)</f>
        <v/>
      </c>
      <c r="J35" s="153">
        <f>SUMIFS('Sales Data'!$M$6:$M$10000,'Sales Data'!$B$6:$B$10000,"Walmart",'Sales Data'!$BC$6:$BC$10000,"Aug",'Sales Data'!$BD$6:$BD$10000,$J$27)</f>
        <v/>
      </c>
      <c r="K35" s="153">
        <f>SUMIFS('Sales Data'!$M$6:$M$10000,'Sales Data'!$B$6:$B$10000,"Walmart",'Sales Data'!$BC$6:$BC$10000,"Sep",'Sales Data'!$BD$6:$BD$10000,$J$27)</f>
        <v/>
      </c>
      <c r="L35" s="153">
        <f>SUMIFS('Sales Data'!$M$6:$M$10000,'Sales Data'!$B$6:$B$10000,"Walmart",'Sales Data'!$BC$6:$BC$10000,"Oct",'Sales Data'!$BD$6:$BD$10000,$J$27)</f>
        <v/>
      </c>
      <c r="M35" s="153">
        <f>SUMIFS('Sales Data'!$M$6:$M$10000,'Sales Data'!$B$6:$B$10000,"Walmart",'Sales Data'!$BC$6:$BC$10000,"Nov",'Sales Data'!$BD$6:$BD$10000,$J$27)</f>
        <v/>
      </c>
      <c r="N35" s="153">
        <f>SUMIFS('Sales Data'!$M$6:$M$10000,'Sales Data'!$B$6:$B$10000,"Walmart",'Sales Data'!$BC$6:$BC$10000,"Dec",'Sales Data'!$BD$6:$BD$10000,$J$27)</f>
        <v/>
      </c>
      <c r="O35" s="147">
        <f>IFERROR(AVERAGE(C35:N35),0)</f>
        <v/>
      </c>
    </row>
    <row r="36" ht="19.5" customHeight="1" s="104">
      <c r="B36" s="170" t="inlineStr">
        <is>
          <t>Margin</t>
        </is>
      </c>
      <c r="C36" s="173">
        <f>SUMIFS('Sales Data'!$P$6:$P$10000,'Sales Data'!$B$6:$B$10000,"Walmart",'Sales Data'!$BC$6:$BC$10000,"Jan",'Sales Data'!$BD$6:$BD$10000,$J$27)</f>
        <v/>
      </c>
      <c r="D36" s="173">
        <f>SUMIFS('Sales Data'!$P$6:$P$10000,'Sales Data'!$B$6:$B$10000,"Walmart",'Sales Data'!$BC$6:$BC$10000,"Feb",'Sales Data'!$BD$6:$BD$10000,$J$27)</f>
        <v/>
      </c>
      <c r="E36" s="173">
        <f>SUMIFS('Sales Data'!$P$6:$P$10000,'Sales Data'!$B$6:$B$10000,"Walmart",'Sales Data'!$BC$6:$BC$10000,"Mar",'Sales Data'!$BD$6:$BD$10000,$J$27)</f>
        <v/>
      </c>
      <c r="F36" s="173">
        <f>SUMIFS('Sales Data'!$P$6:$P$10000,'Sales Data'!$B$6:$B$10000,"Walmart",'Sales Data'!$BC$6:$BC$10000,"Apr",'Sales Data'!$BD$6:$BD$10000,$J$27)</f>
        <v/>
      </c>
      <c r="G36" s="173">
        <f>SUMIFS('Sales Data'!$P$6:$P$10000,'Sales Data'!$B$6:$B$10000,"Walmart",'Sales Data'!$BC$6:$BC$10000,"May",'Sales Data'!$BD$6:$BD$10000,$J$27)</f>
        <v/>
      </c>
      <c r="H36" s="173">
        <f>SUMIFS('Sales Data'!$P$6:$P$10000,'Sales Data'!$B$6:$B$10000,"Walmart",'Sales Data'!$BC$6:$BC$10000,"Jun",'Sales Data'!$BD$6:$BD$10000,$J$27)</f>
        <v/>
      </c>
      <c r="I36" s="173">
        <f>SUMIFS('Sales Data'!$P$6:$P$10000,'Sales Data'!$B$6:$B$10000,"Walmart",'Sales Data'!$BC$6:$BC$10000,"Jul",'Sales Data'!$BD$6:$BD$10000,$J$27)</f>
        <v/>
      </c>
      <c r="J36" s="173">
        <f>SUMIFS('Sales Data'!$P$6:$P$10000,'Sales Data'!$B$6:$B$10000,"Walmart",'Sales Data'!$BC$6:$BC$10000,"Aug",'Sales Data'!$BD$6:$BD$10000,$J$27)</f>
        <v/>
      </c>
      <c r="K36" s="173">
        <f>SUMIFS('Sales Data'!$P$6:$P$10000,'Sales Data'!$B$6:$B$10000,"Walmart",'Sales Data'!$BC$6:$BC$10000,"Sep",'Sales Data'!$BD$6:$BD$10000,$J$27)</f>
        <v/>
      </c>
      <c r="L36" s="173">
        <f>SUMIFS('Sales Data'!$P$6:$P$10000,'Sales Data'!$B$6:$B$10000,"Walmart",'Sales Data'!$BC$6:$BC$10000,"Oct",'Sales Data'!$BD$6:$BD$10000,$J$27)</f>
        <v/>
      </c>
      <c r="M36" s="173">
        <f>SUMIFS('Sales Data'!$P$6:$P$10000,'Sales Data'!$B$6:$B$10000,"Walmart",'Sales Data'!$BC$6:$BC$10000,"Nov",'Sales Data'!$BD$6:$BD$10000,$J$27)</f>
        <v/>
      </c>
      <c r="N36" s="173">
        <f>SUMIFS('Sales Data'!$P$6:$P$10000,'Sales Data'!$B$6:$B$10000,"Walmart",'Sales Data'!$BC$6:$BC$10000,"Dec",'Sales Data'!$BD$6:$BD$10000,$J$27)</f>
        <v/>
      </c>
      <c r="O36" s="147">
        <f>IFERROR(AVERAGE(C36:N36),0)</f>
        <v/>
      </c>
    </row>
    <row r="39" ht="15" customHeight="1" s="104">
      <c r="B39" s="164" t="inlineStr">
        <is>
          <t>EXPENSE BREAKDOWN · MAIN &amp; SUB CATEGORY</t>
        </is>
      </c>
      <c r="J39" s="164" t="inlineStr">
        <is>
          <t>SALES BREAKDOWN · SUB-CATEGORY</t>
        </is>
      </c>
    </row>
    <row r="40" ht="21.75" customHeight="1" s="104">
      <c r="B40" s="125" t="inlineStr">
        <is>
          <t>CATEGORY</t>
        </is>
      </c>
      <c r="C40" s="125" t="inlineStr">
        <is>
          <t>AMOUNT</t>
        </is>
      </c>
      <c r="D40" s="125" t="inlineStr">
        <is>
          <t>% OF EXPENSES</t>
        </is>
      </c>
      <c r="J40" s="125" t="inlineStr">
        <is>
          <t>SUB CATEGORY</t>
        </is>
      </c>
      <c r="K40" s="125" t="inlineStr">
        <is>
          <t>SALES AMOUNT</t>
        </is>
      </c>
      <c r="L40" s="125" t="inlineStr">
        <is>
          <t>% OF SALES</t>
        </is>
      </c>
    </row>
    <row r="41" ht="18" customHeight="1" s="104">
      <c r="B41" s="138" t="inlineStr">
        <is>
          <t>Advertising cost</t>
        </is>
      </c>
      <c r="C41" s="174">
        <f>IFERROR(SUMIFS('Main Expenses'!$E$6:$E$10000,'Main Expenses'!$B$6:$B$10000,"Walmart",'Main Expenses'!$D$6:$D$10000,"Advertising cost",'Main Expenses'!$K$6:$K$10000,$B$7,'Main Expenses'!$L$6:$L$10000,$C$7),0)</f>
        <v/>
      </c>
      <c r="D41" s="175">
        <f>IFERROR(C41/SUMIFS('Main Expenses'!$E$6:$E$10000,'Main Expenses'!$B$6:$B$10000,"Walmart",'Main Expenses'!$K$6:$K$10000,$B$7,'Main Expenses'!$L$6:$L$10000,$C$7),0)</f>
        <v/>
      </c>
      <c r="J41" s="139" t="inlineStr">
        <is>
          <t>Sales</t>
        </is>
      </c>
      <c r="K41" s="127">
        <f>IFERROR(SUMIFS('Sales Data'!$E$6:$E$10000,'Sales Data'!$B$6:$B$10000,"Walmart",'Sales Data'!$D$6:$D$10000,"Sales",'Sales Data'!$BC$6:$BC$10000,$B$7,'Sales Data'!$BD$6:$BD$10000,$C$7),0)</f>
        <v/>
      </c>
      <c r="L41" s="128">
        <f>IFERROR(K41/SUMIFS('Sales Data'!$E$6:$E$10000,'Sales Data'!$B$6:$B$10000,"Walmart",'Sales Data'!$BC$6:$BC$10000,$B$7,'Sales Data'!$BD$6:$BD$10000,$C$7),0)</f>
        <v/>
      </c>
    </row>
    <row r="42" hidden="1" outlineLevel="1" ht="18" customHeight="1" s="104">
      <c r="B42" s="176" t="inlineStr">
        <is>
          <t xml:space="preserve">    ↳ Advertising Cost</t>
        </is>
      </c>
      <c r="C42" s="177">
        <f>IFERROR(SUMIFS('Sub Expenses'!$E$6:$E$10000,'Sub Expenses'!$B$6:$B$10000,"Walmart",'Sub Expenses'!$C$6:$C$10000,"Advertising cost",'Sub Expenses'!$D$6:$D$10000,"Advertising Cost",'Sub Expenses'!$J$6:$J$10000,$B$7,'Sub Expenses'!$K$6:$K$10000,$C$7),0)</f>
        <v/>
      </c>
      <c r="D42" s="178">
        <f>IFERROR(C42/SUMIFS('Main Expenses'!$E$6:$E$10000,'Main Expenses'!$B$6:$B$10000,"Walmart",'Main Expenses'!$K$6:$K$10000,$B$7,'Main Expenses'!$L$6:$L$10000,$C$7),0)</f>
        <v/>
      </c>
    </row>
    <row r="43" ht="18" customHeight="1" s="104">
      <c r="B43" s="138" t="inlineStr">
        <is>
          <t>Shipping Cost</t>
        </is>
      </c>
      <c r="C43" s="174">
        <f>IFERROR(SUMIFS('Main Expenses'!$E$6:$E$10000,'Main Expenses'!$B$6:$B$10000,"Walmart",'Main Expenses'!$D$6:$D$10000,"Shipping Cost",'Main Expenses'!$K$6:$K$10000,$B$7,'Main Expenses'!$L$6:$L$10000,$C$7),0)</f>
        <v/>
      </c>
      <c r="D43" s="175">
        <f>IFERROR(C43/SUMIFS('Main Expenses'!$E$6:$E$10000,'Main Expenses'!$B$6:$B$10000,"Walmart",'Main Expenses'!$K$6:$K$10000,$B$7,'Main Expenses'!$L$6:$L$10000,$C$7),0)</f>
        <v/>
      </c>
    </row>
    <row r="44" hidden="1" outlineLevel="1" ht="18" customHeight="1" s="104">
      <c r="B44" s="176" t="inlineStr">
        <is>
          <t xml:space="preserve">    ↳ MCF Shipping fees</t>
        </is>
      </c>
      <c r="C44" s="177">
        <f>IFERROR(SUMIFS('Sub Expenses'!$E$6:$E$10000,'Sub Expenses'!$B$6:$B$10000,"Walmart",'Sub Expenses'!$C$6:$C$10000,"Shipping Cost",'Sub Expenses'!$D$6:$D$10000,"MCF Shipping fees",'Sub Expenses'!$J$6:$J$10000,$B$7,'Sub Expenses'!$K$6:$K$10000,$C$7),0)</f>
        <v/>
      </c>
      <c r="D44" s="178">
        <f>IFERROR(C44/SUMIFS('Main Expenses'!$E$6:$E$10000,'Main Expenses'!$B$6:$B$10000,"Walmart",'Main Expenses'!$K$6:$K$10000,$B$7,'Main Expenses'!$L$6:$L$10000,$C$7),0)</f>
        <v/>
      </c>
    </row>
    <row r="45" hidden="1" outlineLevel="1" ht="18" customHeight="1" s="104">
      <c r="B45" s="176" t="inlineStr">
        <is>
          <t xml:space="preserve">    ↳ Shiphero Shipping Cost</t>
        </is>
      </c>
      <c r="C45" s="177">
        <f>IFERROR(SUMIFS('Sub Expenses'!$E$6:$E$10000,'Sub Expenses'!$B$6:$B$10000,"Walmart",'Sub Expenses'!$C$6:$C$10000,"Shipping Cost",'Sub Expenses'!$D$6:$D$10000,"Shiphero Shipping Cost",'Sub Expenses'!$J$6:$J$10000,$B$7,'Sub Expenses'!$K$6:$K$10000,$C$7),0)</f>
        <v/>
      </c>
      <c r="D45" s="178">
        <f>IFERROR(C45/SUMIFS('Main Expenses'!$E$6:$E$10000,'Main Expenses'!$B$6:$B$10000,"Walmart",'Main Expenses'!$K$6:$K$10000,$B$7,'Main Expenses'!$L$6:$L$10000,$C$7),0)</f>
        <v/>
      </c>
    </row>
    <row r="46" hidden="1" outlineLevel="1" ht="18" customHeight="1" s="104">
      <c r="B46" s="176" t="inlineStr">
        <is>
          <t xml:space="preserve">    ↳ WFS Fulfillment fee</t>
        </is>
      </c>
      <c r="C46" s="177">
        <f>IFERROR(SUMIFS('Sub Expenses'!$E$6:$E$10000,'Sub Expenses'!$B$6:$B$10000,"Walmart",'Sub Expenses'!$C$6:$C$10000,"Shipping Cost",'Sub Expenses'!$D$6:$D$10000,"WFS Fulfillment fee",'Sub Expenses'!$J$6:$J$10000,$B$7,'Sub Expenses'!$K$6:$K$10000,$C$7),0)</f>
        <v/>
      </c>
      <c r="D46" s="178">
        <f>IFERROR(C46/SUMIFS('Main Expenses'!$E$6:$E$10000,'Main Expenses'!$B$6:$B$10000,"Walmart",'Main Expenses'!$K$6:$K$10000,$B$7,'Main Expenses'!$L$6:$L$10000,$C$7),0)</f>
        <v/>
      </c>
    </row>
    <row r="47" hidden="1" outlineLevel="1" ht="18" customHeight="1" s="104">
      <c r="B47" s="176" t="inlineStr">
        <is>
          <t xml:space="preserve">    ↳ WFS Shipping Reversal fee</t>
        </is>
      </c>
      <c r="C47" s="177">
        <f>IFERROR(SUMIFS('Sub Expenses'!$E$6:$E$10000,'Sub Expenses'!$B$6:$B$10000,"Walmart",'Sub Expenses'!$C$6:$C$10000,"Shipping Cost",'Sub Expenses'!$D$6:$D$10000,"WFS Shipping Reversal fee",'Sub Expenses'!$J$6:$J$10000,$B$7,'Sub Expenses'!$K$6:$K$10000,$C$7),0)</f>
        <v/>
      </c>
      <c r="D47" s="178">
        <f>IFERROR(C47/SUMIFS('Main Expenses'!$E$6:$E$10000,'Main Expenses'!$B$6:$B$10000,"Walmart",'Main Expenses'!$K$6:$K$10000,$B$7,'Main Expenses'!$L$6:$L$10000,$C$7),0)</f>
        <v/>
      </c>
    </row>
    <row r="48" ht="18" customHeight="1" s="104">
      <c r="B48" s="138" t="inlineStr">
        <is>
          <t>Fees</t>
        </is>
      </c>
      <c r="C48" s="174">
        <f>IFERROR(SUMIFS('Main Expenses'!$E$6:$E$10000,'Main Expenses'!$B$6:$B$10000,"Walmart",'Main Expenses'!$D$6:$D$10000,"Fees",'Main Expenses'!$K$6:$K$10000,$B$7,'Main Expenses'!$L$6:$L$10000,$C$7),0)</f>
        <v/>
      </c>
      <c r="D48" s="175">
        <f>IFERROR(C48/SUMIFS('Main Expenses'!$E$6:$E$10000,'Main Expenses'!$B$6:$B$10000,"Walmart",'Main Expenses'!$K$6:$K$10000,$B$7,'Main Expenses'!$L$6:$L$10000,$C$7),0)</f>
        <v/>
      </c>
    </row>
    <row r="49" hidden="1" outlineLevel="1" ht="18" customHeight="1" s="104">
      <c r="B49" s="176" t="inlineStr">
        <is>
          <t xml:space="preserve">    ↳ Commission on product</t>
        </is>
      </c>
      <c r="C49" s="177">
        <f>IFERROR(SUMIFS('Sub Expenses'!$E$6:$E$10000,'Sub Expenses'!$B$6:$B$10000,"Walmart",'Sub Expenses'!$C$6:$C$10000,"Fees",'Sub Expenses'!$D$6:$D$10000,"Commission on product",'Sub Expenses'!$J$6:$J$10000,$B$7,'Sub Expenses'!$K$6:$K$10000,$C$7),0)</f>
        <v/>
      </c>
      <c r="D49" s="178">
        <f>IFERROR(C49/SUMIFS('Main Expenses'!$E$6:$E$10000,'Main Expenses'!$B$6:$B$10000,"Walmart",'Main Expenses'!$K$6:$K$10000,$B$7,'Main Expenses'!$L$6:$L$10000,$C$7),0)</f>
        <v/>
      </c>
    </row>
    <row r="50" hidden="1" outlineLevel="1" ht="18" customHeight="1" s="104">
      <c r="B50" s="176" t="inlineStr">
        <is>
          <t xml:space="preserve">    ↳ Lost inventory</t>
        </is>
      </c>
      <c r="C50" s="177">
        <f>IFERROR(SUMIFS('Sub Expenses'!$E$6:$E$10000,'Sub Expenses'!$B$6:$B$10000,"Walmart",'Sub Expenses'!$C$6:$C$10000,"Fees",'Sub Expenses'!$D$6:$D$10000,"Lost inventory",'Sub Expenses'!$J$6:$J$10000,$B$7,'Sub Expenses'!$K$6:$K$10000,$C$7),0)</f>
        <v/>
      </c>
      <c r="D50" s="178">
        <f>IFERROR(C50/SUMIFS('Main Expenses'!$E$6:$E$10000,'Main Expenses'!$B$6:$B$10000,"Walmart",'Main Expenses'!$K$6:$K$10000,$B$7,'Main Expenses'!$L$6:$L$10000,$C$7),0)</f>
        <v/>
      </c>
    </row>
    <row r="51" hidden="1" outlineLevel="1" ht="18" customHeight="1" s="104">
      <c r="B51" s="176" t="inlineStr">
        <is>
          <t xml:space="preserve">    ↳ Prep service fee</t>
        </is>
      </c>
      <c r="C51" s="177">
        <f>IFERROR(SUMIFS('Sub Expenses'!$E$6:$E$10000,'Sub Expenses'!$B$6:$B$10000,"Walmart",'Sub Expenses'!$C$6:$C$10000,"Fees",'Sub Expenses'!$D$6:$D$10000,"Prep service fee",'Sub Expenses'!$J$6:$J$10000,$B$7,'Sub Expenses'!$K$6:$K$10000,$C$7),0)</f>
        <v/>
      </c>
      <c r="D51" s="178">
        <f>IFERROR(C51/SUMIFS('Main Expenses'!$E$6:$E$10000,'Main Expenses'!$B$6:$B$10000,"Walmart",'Main Expenses'!$K$6:$K$10000,$B$7,'Main Expenses'!$L$6:$L$10000,$C$7),0)</f>
        <v/>
      </c>
    </row>
    <row r="52" hidden="1" outlineLevel="1" ht="18" customHeight="1" s="104">
      <c r="B52" s="176" t="inlineStr">
        <is>
          <t xml:space="preserve">    ↳ RC inventory disposal fee</t>
        </is>
      </c>
      <c r="C52" s="177">
        <f>IFERROR(SUMIFS('Sub Expenses'!$E$6:$E$10000,'Sub Expenses'!$B$6:$B$10000,"Walmart",'Sub Expenses'!$C$6:$C$10000,"Fees",'Sub Expenses'!$D$6:$D$10000,"RC inventory disposal fee",'Sub Expenses'!$J$6:$J$10000,$B$7,'Sub Expenses'!$K$6:$K$10000,$C$7),0)</f>
        <v/>
      </c>
      <c r="D52" s="178">
        <f>IFERROR(C52/SUMIFS('Main Expenses'!$E$6:$E$10000,'Main Expenses'!$B$6:$B$10000,"Walmart",'Main Expenses'!$K$6:$K$10000,$B$7,'Main Expenses'!$L$6:$L$10000,$C$7),0)</f>
        <v/>
      </c>
    </row>
    <row r="53" hidden="1" outlineLevel="1" ht="18" customHeight="1" s="104">
      <c r="B53" s="176" t="inlineStr">
        <is>
          <t xml:space="preserve">    ↳ Refund commission on product</t>
        </is>
      </c>
      <c r="C53" s="177">
        <f>IFERROR(SUMIFS('Sub Expenses'!$E$6:$E$10000,'Sub Expenses'!$B$6:$B$10000,"Walmart",'Sub Expenses'!$C$6:$C$10000,"Fees",'Sub Expenses'!$D$6:$D$10000,"Refund commission on product",'Sub Expenses'!$J$6:$J$10000,$B$7,'Sub Expenses'!$K$6:$K$10000,$C$7),0)</f>
        <v/>
      </c>
      <c r="D53" s="178">
        <f>IFERROR(C53/SUMIFS('Main Expenses'!$E$6:$E$10000,'Main Expenses'!$B$6:$B$10000,"Walmart",'Main Expenses'!$K$6:$K$10000,$B$7,'Main Expenses'!$L$6:$L$10000,$C$7),0)</f>
        <v/>
      </c>
    </row>
    <row r="54" hidden="1" outlineLevel="1" ht="18" customHeight="1" s="104">
      <c r="B54" s="176" t="inlineStr">
        <is>
          <t xml:space="preserve">    ↳ Refund product tax</t>
        </is>
      </c>
      <c r="C54" s="177">
        <f>IFERROR(SUMIFS('Sub Expenses'!$E$6:$E$10000,'Sub Expenses'!$B$6:$B$10000,"Walmart",'Sub Expenses'!$C$6:$C$10000,"Fees",'Sub Expenses'!$D$6:$D$10000,"Refund product tax",'Sub Expenses'!$J$6:$J$10000,$B$7,'Sub Expenses'!$K$6:$K$10000,$C$7),0)</f>
        <v/>
      </c>
      <c r="D54" s="178">
        <f>IFERROR(C54/SUMIFS('Main Expenses'!$E$6:$E$10000,'Main Expenses'!$B$6:$B$10000,"Walmart",'Main Expenses'!$K$6:$K$10000,$B$7,'Main Expenses'!$L$6:$L$10000,$C$7),0)</f>
        <v/>
      </c>
    </row>
    <row r="55" hidden="1" outlineLevel="1" ht="18" customHeight="1" s="104">
      <c r="B55" s="176" t="inlineStr">
        <is>
          <t xml:space="preserve">    ↳ Storage fee</t>
        </is>
      </c>
      <c r="C55" s="177">
        <f>IFERROR(SUMIFS('Sub Expenses'!$E$6:$E$10000,'Sub Expenses'!$B$6:$B$10000,"Walmart",'Sub Expenses'!$C$6:$C$10000,"Fees",'Sub Expenses'!$D$6:$D$10000,"Storage fee",'Sub Expenses'!$J$6:$J$10000,$B$7,'Sub Expenses'!$K$6:$K$10000,$C$7),0)</f>
        <v/>
      </c>
      <c r="D55" s="178">
        <f>IFERROR(C55/SUMIFS('Main Expenses'!$E$6:$E$10000,'Main Expenses'!$B$6:$B$10000,"Walmart",'Main Expenses'!$K$6:$K$10000,$B$7,'Main Expenses'!$L$6:$L$10000,$C$7),0)</f>
        <v/>
      </c>
    </row>
    <row r="56" hidden="1" outlineLevel="1" ht="18" customHeight="1" s="104">
      <c r="B56" s="176" t="inlineStr">
        <is>
          <t xml:space="preserve">    ↳ Total Walmart funded</t>
        </is>
      </c>
      <c r="C56" s="177">
        <f>IFERROR(SUMIFS('Sub Expenses'!$E$6:$E$10000,'Sub Expenses'!$B$6:$B$10000,"Walmart",'Sub Expenses'!$C$6:$C$10000,"Fees",'Sub Expenses'!$D$6:$D$10000,"Total Walmart funded",'Sub Expenses'!$J$6:$J$10000,$B$7,'Sub Expenses'!$K$6:$K$10000,$C$7),0)</f>
        <v/>
      </c>
      <c r="D56" s="178">
        <f>IFERROR(C56/SUMIFS('Main Expenses'!$E$6:$E$10000,'Main Expenses'!$B$6:$B$10000,"Walmart",'Main Expenses'!$K$6:$K$10000,$B$7,'Main Expenses'!$L$6:$L$10000,$C$7),0)</f>
        <v/>
      </c>
    </row>
    <row r="57" hidden="1" outlineLevel="1" ht="18" customHeight="1" s="104">
      <c r="B57" s="176" t="inlineStr">
        <is>
          <t xml:space="preserve">    ↳ Total Walmart funded savings</t>
        </is>
      </c>
      <c r="C57" s="177">
        <f>IFERROR(SUMIFS('Sub Expenses'!$E$6:$E$10000,'Sub Expenses'!$B$6:$B$10000,"Walmart",'Sub Expenses'!$C$6:$C$10000,"Fees",'Sub Expenses'!$D$6:$D$10000,"Total Walmart funded savings",'Sub Expenses'!$J$6:$J$10000,$B$7,'Sub Expenses'!$K$6:$K$10000,$C$7),0)</f>
        <v/>
      </c>
      <c r="D57" s="178">
        <f>IFERROR(C57/SUMIFS('Main Expenses'!$E$6:$E$10000,'Main Expenses'!$B$6:$B$10000,"Walmart",'Main Expenses'!$K$6:$K$10000,$B$7,'Main Expenses'!$L$6:$L$10000,$C$7),0)</f>
        <v/>
      </c>
    </row>
    <row r="58" hidden="1" outlineLevel="1" ht="18" customHeight="1" s="104">
      <c r="B58" s="176" t="inlineStr">
        <is>
          <t xml:space="preserve">    ↳ Wfs inventory fee/reimbursement</t>
        </is>
      </c>
      <c r="C58" s="177">
        <f>IFERROR(SUMIFS('Sub Expenses'!$E$6:$E$10000,'Sub Expenses'!$B$6:$B$10000,"Walmart",'Sub Expenses'!$C$6:$C$10000,"Fees",'Sub Expenses'!$D$6:$D$10000,"Wfs inventory fee/reimbursement",'Sub Expenses'!$J$6:$J$10000,$B$7,'Sub Expenses'!$K$6:$K$10000,$C$7),0)</f>
        <v/>
      </c>
      <c r="D58" s="178">
        <f>IFERROR(C58/SUMIFS('Main Expenses'!$E$6:$E$10000,'Main Expenses'!$B$6:$B$10000,"Walmart",'Main Expenses'!$K$6:$K$10000,$B$7,'Main Expenses'!$L$6:$L$10000,$C$7),0)</f>
        <v/>
      </c>
    </row>
    <row r="59" hidden="1" outlineLevel="1" ht="18" customHeight="1" s="104">
      <c r="B59" s="176" t="inlineStr">
        <is>
          <t xml:space="preserve">    ↳ Wfs return shipping fee</t>
        </is>
      </c>
      <c r="C59" s="177">
        <f>IFERROR(SUMIFS('Sub Expenses'!$E$6:$E$10000,'Sub Expenses'!$B$6:$B$10000,"Walmart",'Sub Expenses'!$C$6:$C$10000,"Fees",'Sub Expenses'!$D$6:$D$10000,"Wfs return shipping fee",'Sub Expenses'!$J$6:$J$10000,$B$7,'Sub Expenses'!$K$6:$K$10000,$C$7),0)</f>
        <v/>
      </c>
      <c r="D59" s="178">
        <f>IFERROR(C59/SUMIFS('Main Expenses'!$E$6:$E$10000,'Main Expenses'!$B$6:$B$10000,"Walmart",'Main Expenses'!$K$6:$K$10000,$B$7,'Main Expenses'!$L$6:$L$10000,$C$7),0)</f>
        <v/>
      </c>
    </row>
    <row r="60" ht="18" customHeight="1" s="104">
      <c r="B60" s="138" t="inlineStr">
        <is>
          <t>Cost of goods</t>
        </is>
      </c>
      <c r="C60" s="174">
        <f>IFERROR(SUMIFS('Main Expenses'!$E$6:$E$10000,'Main Expenses'!$B$6:$B$10000,"Walmart",'Main Expenses'!$D$6:$D$10000,"Cost of goods",'Main Expenses'!$K$6:$K$10000,$B$7,'Main Expenses'!$L$6:$L$10000,$C$7),0)</f>
        <v/>
      </c>
      <c r="D60" s="175">
        <f>IFERROR(C60/SUMIFS('Main Expenses'!$E$6:$E$10000,'Main Expenses'!$B$6:$B$10000,"Walmart",'Main Expenses'!$K$6:$K$10000,$B$7,'Main Expenses'!$L$6:$L$10000,$C$7),0)</f>
        <v/>
      </c>
    </row>
    <row r="61" hidden="1" outlineLevel="1" ht="18" customHeight="1" s="104">
      <c r="B61" s="176" t="inlineStr">
        <is>
          <t xml:space="preserve">    ↳ Cost of goods sold</t>
        </is>
      </c>
      <c r="C61" s="177">
        <f>IFERROR(SUMIFS('Sub Expenses'!$E$6:$E$10000,'Sub Expenses'!$B$6:$B$10000,"Walmart",'Sub Expenses'!$C$6:$C$10000,"Cost of goods",'Sub Expenses'!$D$6:$D$10000,"Cost of goods sold",'Sub Expenses'!$J$6:$J$10000,$B$7,'Sub Expenses'!$K$6:$K$10000,$C$7),0)</f>
        <v/>
      </c>
      <c r="D61" s="178">
        <f>IFERROR(C61/SUMIFS('Main Expenses'!$E$6:$E$10000,'Main Expenses'!$B$6:$B$10000,"Walmart",'Main Expenses'!$K$6:$K$10000,$B$7,'Main Expenses'!$L$6:$L$10000,$C$7),0)</f>
        <v/>
      </c>
    </row>
    <row r="62" hidden="1" outlineLevel="1" ht="18" customHeight="1" s="104">
      <c r="B62" s="176" t="inlineStr">
        <is>
          <t xml:space="preserve">    ↳ Value of returned items</t>
        </is>
      </c>
      <c r="C62" s="177">
        <f>IFERROR(SUMIFS('Sub Expenses'!$E$6:$E$10000,'Sub Expenses'!$B$6:$B$10000,"Walmart",'Sub Expenses'!$C$6:$C$10000,"Cost of goods",'Sub Expenses'!$D$6:$D$10000,"Value of returned items",'Sub Expenses'!$J$6:$J$10000,$B$7,'Sub Expenses'!$K$6:$K$10000,$C$7),0)</f>
        <v/>
      </c>
      <c r="D62" s="178">
        <f>IFERROR(C62/SUMIFS('Main Expenses'!$E$6:$E$10000,'Main Expenses'!$B$6:$B$10000,"Walmart",'Main Expenses'!$K$6:$K$10000,$B$7,'Main Expenses'!$L$6:$L$10000,$C$7),0)</f>
        <v/>
      </c>
    </row>
    <row r="63" ht="21.75" customHeight="1" s="104">
      <c r="B63" s="132" t="inlineStr">
        <is>
          <t>TOTAL EXPENSES</t>
        </is>
      </c>
      <c r="C63" s="133">
        <f>SUMIFS('Main Expenses'!$E$6:$E$10000,'Main Expenses'!$B$6:$B$10000,"Walmart",'Main Expenses'!$K$6:$K$10000,$B$7,'Main Expenses'!$L$6:$L$10000,$C$7)</f>
        <v/>
      </c>
      <c r="D63" s="134" t="n">
        <v>1</v>
      </c>
      <c r="J63" s="132" t="inlineStr">
        <is>
          <t>TOTAL SALES</t>
        </is>
      </c>
      <c r="K63" s="133">
        <f>SUMIFS('Sales Data'!$E$6:$E$10000,'Sales Data'!$B$6:$B$10000,"Walmart",'Sales Data'!$BC$6:$BC$10000,$B$7,'Sales Data'!$BD$6:$BD$10000,$C$7)</f>
        <v/>
      </c>
      <c r="L63" s="134" t="n">
        <v>1</v>
      </c>
    </row>
  </sheetData>
  <mergeCells count="32">
    <mergeCell ref="D13:F13"/>
    <mergeCell ref="D11:F11"/>
    <mergeCell ref="B16:C16"/>
    <mergeCell ref="B22:C22"/>
    <mergeCell ref="D17:F17"/>
    <mergeCell ref="B3:R3"/>
    <mergeCell ref="B18:C18"/>
    <mergeCell ref="D16:F16"/>
    <mergeCell ref="B12:C12"/>
    <mergeCell ref="B21:C21"/>
    <mergeCell ref="B11:C11"/>
    <mergeCell ref="J39:P39"/>
    <mergeCell ref="D12:F12"/>
    <mergeCell ref="B2:R2"/>
    <mergeCell ref="D18:F18"/>
    <mergeCell ref="B14:C14"/>
    <mergeCell ref="B23:C23"/>
    <mergeCell ref="B17:C17"/>
    <mergeCell ref="D15:F15"/>
    <mergeCell ref="D24:F24"/>
    <mergeCell ref="B13:C13"/>
    <mergeCell ref="D14:F14"/>
    <mergeCell ref="D23:F23"/>
    <mergeCell ref="B19:C19"/>
    <mergeCell ref="B39:H39"/>
    <mergeCell ref="D20:F20"/>
    <mergeCell ref="D19:F19"/>
    <mergeCell ref="B24:C24"/>
    <mergeCell ref="B15:C15"/>
    <mergeCell ref="B20:C20"/>
    <mergeCell ref="D22:F22"/>
    <mergeCell ref="D21:F21"/>
  </mergeCells>
  <dataValidations count="3">
    <dataValidation sqref="B7" showDropDown="0" showInputMessage="0" showErrorMessage="0" allowBlank="0" type="list" errorStyle="stop" operator="between">
      <formula1>MonthList</formula1>
      <formula2>0</formula2>
    </dataValidation>
    <dataValidation sqref="C7" showDropDown="0" showInputMessage="0" showErrorMessage="0" allowBlank="0" type="list" errorStyle="stop" operator="between">
      <formula1>YearList</formula1>
      <formula2>0</formula2>
    </dataValidation>
    <dataValidation sqref="J27" showDropDown="0" showInputMessage="0" showErrorMessage="0" allowBlank="0" type="list" errorStyle="stop" operator="between">
      <formula1>YearList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E99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103" min="1" max="2"/>
    <col width="16" customWidth="1" style="103" min="3" max="3"/>
    <col width="22" customWidth="1" style="103" min="4" max="4"/>
    <col width="15" customWidth="1" style="103" min="5" max="57"/>
  </cols>
  <sheetData>
    <row r="1" ht="27.75" customHeight="1" s="104">
      <c r="A1" s="182" t="inlineStr">
        <is>
          <t>SALES DATA · RAW RECORDS</t>
        </is>
      </c>
    </row>
    <row r="2" ht="15" customHeight="1" s="104">
      <c r="A2" s="107" t="inlineStr">
        <is>
          <t>Soft-blue cells = where you type new data each month · Colored headers group by marketplace</t>
        </is>
      </c>
    </row>
    <row r="3" ht="3.75" customHeight="1" s="104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8" t="n"/>
      <c r="AD3" s="108" t="n"/>
      <c r="AE3" s="108" t="n"/>
      <c r="AF3" s="108" t="n"/>
      <c r="AG3" s="108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8" t="n"/>
      <c r="AR3" s="108" t="n"/>
      <c r="AS3" s="108" t="n"/>
      <c r="AT3" s="108" t="n"/>
      <c r="AU3" s="108" t="n"/>
      <c r="AV3" s="108" t="n"/>
      <c r="AW3" s="108" t="n"/>
      <c r="AX3" s="108" t="n"/>
      <c r="AY3" s="108" t="n"/>
      <c r="AZ3" s="108" t="n"/>
      <c r="BA3" s="108" t="n"/>
      <c r="BB3" s="108" t="n"/>
      <c r="BC3" s="108" t="n"/>
      <c r="BD3" s="108" t="n"/>
      <c r="BE3" s="108" t="n"/>
    </row>
    <row r="4" ht="21.75" customHeight="1" s="104">
      <c r="A4" s="183" t="inlineStr">
        <is>
          <t>METADATA</t>
        </is>
      </c>
      <c r="E4" s="184" t="inlineStr">
        <is>
          <t>SHARED · AMAZON</t>
        </is>
      </c>
      <c r="R4" s="185" t="inlineStr">
        <is>
          <t>TIKTOK</t>
        </is>
      </c>
      <c r="AD4" s="186" t="inlineStr">
        <is>
          <t>SHOPIFY</t>
        </is>
      </c>
      <c r="AQ4" s="187" t="inlineStr">
        <is>
          <t>WALMART</t>
        </is>
      </c>
      <c r="AZ4" s="188" t="inlineStr">
        <is>
          <t>HELPERS</t>
        </is>
      </c>
    </row>
    <row r="5" ht="39.75" customHeight="1" s="104">
      <c r="A5" s="189" t="inlineStr">
        <is>
          <t>DATE</t>
        </is>
      </c>
      <c r="B5" s="189" t="inlineStr">
        <is>
          <t>MARKETPLACE</t>
        </is>
      </c>
      <c r="C5" s="189" t="inlineStr">
        <is>
          <t>MAIN CATEGORY</t>
        </is>
      </c>
      <c r="D5" s="189" t="inlineStr">
        <is>
          <t>SUB CATEGORY</t>
        </is>
      </c>
      <c r="E5" s="190" t="inlineStr">
        <is>
          <t>SALES AMOUNT (USD) GROSS SALES</t>
        </is>
      </c>
      <c r="F5" s="190" t="inlineStr">
        <is>
          <t>PERCENTAGE</t>
        </is>
      </c>
      <c r="G5" s="190" t="inlineStr">
        <is>
          <t>TOTAL UNITS</t>
        </is>
      </c>
      <c r="H5" s="190" t="inlineStr">
        <is>
          <t>UNITS (Sponsored Products (same day)</t>
        </is>
      </c>
      <c r="I5" s="190" t="inlineStr">
        <is>
          <t>UNITS Sponsored Display (same day)</t>
        </is>
      </c>
      <c r="J5" s="190" t="inlineStr">
        <is>
          <t>VAT</t>
        </is>
      </c>
      <c r="K5" s="190" t="inlineStr">
        <is>
          <t>Gross profit</t>
        </is>
      </c>
      <c r="L5" s="190" t="inlineStr">
        <is>
          <t>Net Profit</t>
        </is>
      </c>
      <c r="M5" s="190" t="inlineStr">
        <is>
          <t>Real ACOS (TACOS)</t>
        </is>
      </c>
      <c r="N5" s="190" t="inlineStr">
        <is>
          <t>% Refunds</t>
        </is>
      </c>
      <c r="O5" s="190" t="inlineStr">
        <is>
          <t>Sallable Returns</t>
        </is>
      </c>
      <c r="P5" s="190" t="inlineStr">
        <is>
          <t>Margin</t>
        </is>
      </c>
      <c r="Q5" s="190" t="inlineStr">
        <is>
          <t>ROI</t>
        </is>
      </c>
      <c r="R5" s="191" t="inlineStr">
        <is>
          <t>NET SALES</t>
        </is>
      </c>
      <c r="S5" s="191" t="inlineStr">
        <is>
          <t>TIKTOK SHIPPING</t>
        </is>
      </c>
      <c r="T5" s="191" t="inlineStr">
        <is>
          <t>3PL LABEL COST</t>
        </is>
      </c>
      <c r="U5" s="191" t="inlineStr">
        <is>
          <t>MCF SHIPPING FEES</t>
        </is>
      </c>
      <c r="V5" s="191" t="inlineStr">
        <is>
          <t>FEES</t>
        </is>
      </c>
      <c r="W5" s="191" t="inlineStr">
        <is>
          <t>Refferal Fees</t>
        </is>
      </c>
      <c r="X5" s="191" t="inlineStr">
        <is>
          <t>Affialiate Commision</t>
        </is>
      </c>
      <c r="Y5" s="191" t="inlineStr">
        <is>
          <t>ADJUSTMENTS</t>
        </is>
      </c>
      <c r="Z5" s="191" t="inlineStr">
        <is>
          <t>COGS</t>
        </is>
      </c>
      <c r="AA5" s="191" t="inlineStr">
        <is>
          <t>ADVERTISING COST</t>
        </is>
      </c>
      <c r="AB5" s="191" t="inlineStr">
        <is>
          <t>NET PROFIT</t>
        </is>
      </c>
      <c r="AC5" s="191" t="inlineStr">
        <is>
          <t>MARGIN</t>
        </is>
      </c>
      <c r="AD5" s="192" t="inlineStr">
        <is>
          <t>ADVERTISING COST</t>
        </is>
      </c>
      <c r="AE5" s="192" t="inlineStr">
        <is>
          <t>SHIPPING COST</t>
        </is>
      </c>
      <c r="AF5" s="192" t="inlineStr">
        <is>
          <t>MCF SHIPPING FEE + shiphero label cost</t>
        </is>
      </c>
      <c r="AG5" s="192" t="inlineStr">
        <is>
          <t>3PL LABEL COST</t>
        </is>
      </c>
      <c r="AH5" s="192" t="inlineStr">
        <is>
          <t>PAYMENT FEES</t>
        </is>
      </c>
      <c r="AI5" s="192" t="inlineStr">
        <is>
          <t>COGS</t>
        </is>
      </c>
      <c r="AJ5" s="192" t="inlineStr">
        <is>
          <t>TAX</t>
        </is>
      </c>
      <c r="AK5" s="192" t="inlineStr">
        <is>
          <t>GROSS PROFIT (USD)</t>
        </is>
      </c>
      <c r="AL5" s="192" t="inlineStr">
        <is>
          <t>NET PROFIT   (USD)</t>
        </is>
      </c>
      <c r="AM5" s="192" t="inlineStr">
        <is>
          <t>TACOS</t>
        </is>
      </c>
      <c r="AN5" s="192" t="inlineStr">
        <is>
          <t>% REFUNDS</t>
        </is>
      </c>
      <c r="AO5" s="192" t="inlineStr">
        <is>
          <t>MARGIN</t>
        </is>
      </c>
      <c r="AP5" s="192" t="inlineStr">
        <is>
          <t>ROI</t>
        </is>
      </c>
      <c r="AQ5" s="193" t="inlineStr">
        <is>
          <t>ADVERTISING COST</t>
        </is>
      </c>
      <c r="AR5" s="193" t="inlineStr">
        <is>
          <t>WFS SHIPPING COST</t>
        </is>
      </c>
      <c r="AS5" s="193" t="inlineStr">
        <is>
          <t>MCF</t>
        </is>
      </c>
      <c r="AT5" s="193" t="inlineStr">
        <is>
          <t>3PL LABEL COST</t>
        </is>
      </c>
      <c r="AU5" s="193" t="inlineStr">
        <is>
          <t>FEES (Commission on product)</t>
        </is>
      </c>
      <c r="AV5" s="193" t="inlineStr">
        <is>
          <t>FEES (Storage fee)</t>
        </is>
      </c>
      <c r="AW5" s="193" t="inlineStr">
        <is>
          <t>RC inventory disposal fee and (Other fees)</t>
        </is>
      </c>
      <c r="AX5" s="193" t="inlineStr">
        <is>
          <t>COGS</t>
        </is>
      </c>
      <c r="AY5" s="193" t="inlineStr">
        <is>
          <t>NET PROFIT   (USD)</t>
        </is>
      </c>
      <c r="AZ5" s="189" t="inlineStr">
        <is>
          <t>GROSS SALES</t>
        </is>
      </c>
      <c r="BA5" s="189" t="inlineStr">
        <is>
          <t>SALES AMOUNT (USD) GROSS SALES</t>
        </is>
      </c>
      <c r="BB5" s="189" t="inlineStr">
        <is>
          <t>DATE COVERAGE</t>
        </is>
      </c>
      <c r="BC5" s="189" t="inlineStr">
        <is>
          <t>M</t>
        </is>
      </c>
      <c r="BD5" s="189" t="inlineStr">
        <is>
          <t>Y</t>
        </is>
      </c>
      <c r="BE5" s="189" t="inlineStr">
        <is>
          <t>Y2</t>
        </is>
      </c>
    </row>
    <row r="6" ht="15" customHeight="1" s="104">
      <c r="A6" s="194" t="n">
        <v>45688</v>
      </c>
      <c r="B6" s="195" t="inlineStr">
        <is>
          <t>Amazon US</t>
        </is>
      </c>
      <c r="C6" s="195" t="inlineStr">
        <is>
          <t>Sales</t>
        </is>
      </c>
      <c r="D6" s="195" t="inlineStr">
        <is>
          <t>Organic</t>
        </is>
      </c>
      <c r="E6" s="196" t="n">
        <v>60312.47</v>
      </c>
      <c r="F6" s="197" t="n">
        <v>0.6740544374</v>
      </c>
      <c r="G6" s="196" t="n">
        <v>1992</v>
      </c>
      <c r="H6" s="196" t="n">
        <v>628</v>
      </c>
      <c r="I6" s="198" t="n">
        <v>0</v>
      </c>
      <c r="J6" s="198" t="n">
        <v>0</v>
      </c>
      <c r="K6" s="196" t="n">
        <v>13395.84</v>
      </c>
      <c r="L6" s="196" t="n">
        <v>13358.48</v>
      </c>
      <c r="M6" s="197" t="n">
        <v>0.0968</v>
      </c>
      <c r="N6" s="197" t="n">
        <v>0.119</v>
      </c>
      <c r="O6" s="197" t="n">
        <v>0.5569</v>
      </c>
      <c r="P6" s="197" t="n">
        <v>0.1493</v>
      </c>
      <c r="Q6" s="197" t="n">
        <v>0.5311</v>
      </c>
      <c r="BA6" s="199" t="n">
        <v>60312.47</v>
      </c>
      <c r="BB6" s="200" t="inlineStr">
        <is>
          <t>JAN 1 - JAN 31, 2025</t>
        </is>
      </c>
      <c r="BC6" s="200" t="inlineStr">
        <is>
          <t>Jan</t>
        </is>
      </c>
      <c r="BD6" s="199" t="n">
        <v>2025</v>
      </c>
      <c r="BE6" s="199" t="n">
        <v>2025</v>
      </c>
    </row>
    <row r="7" ht="15" customHeight="1" s="104">
      <c r="A7" s="194" t="n">
        <v>45688</v>
      </c>
      <c r="B7" s="195" t="inlineStr">
        <is>
          <t>Amazon US</t>
        </is>
      </c>
      <c r="C7" s="195" t="inlineStr">
        <is>
          <t>Sales</t>
        </is>
      </c>
      <c r="D7" s="195" t="inlineStr">
        <is>
          <t>Sponsored Products (same day)</t>
        </is>
      </c>
      <c r="E7" s="196" t="n">
        <v>29164.68</v>
      </c>
      <c r="F7" s="197" t="n">
        <v>0.3259455626</v>
      </c>
      <c r="BA7" s="199" t="n">
        <v>29164.68</v>
      </c>
      <c r="BB7" s="200" t="inlineStr">
        <is>
          <t>JAN 1 - JAN 31, 2025</t>
        </is>
      </c>
      <c r="BC7" s="200" t="inlineStr">
        <is>
          <t>Jan</t>
        </is>
      </c>
      <c r="BD7" s="199" t="n">
        <v>2025</v>
      </c>
      <c r="BE7" s="199" t="n">
        <v>2025</v>
      </c>
    </row>
    <row r="8" ht="15" customHeight="1" s="104">
      <c r="A8" s="194" t="n">
        <v>45688</v>
      </c>
      <c r="B8" s="195" t="inlineStr">
        <is>
          <t>Amazon US</t>
        </is>
      </c>
      <c r="C8" s="195" t="inlineStr">
        <is>
          <t>Sales</t>
        </is>
      </c>
      <c r="D8" s="195" t="inlineStr">
        <is>
          <t>Sponsored Display (same day)</t>
        </is>
      </c>
      <c r="E8" s="198" t="n">
        <v>0</v>
      </c>
      <c r="F8" s="198" t="n">
        <v>0</v>
      </c>
      <c r="BA8" s="201" t="n">
        <v>0</v>
      </c>
      <c r="BB8" s="200" t="inlineStr">
        <is>
          <t>JAN 1 - JAN 31, 2025</t>
        </is>
      </c>
      <c r="BC8" s="200" t="inlineStr">
        <is>
          <t>Jan</t>
        </is>
      </c>
      <c r="BD8" s="199" t="n">
        <v>2025</v>
      </c>
      <c r="BE8" s="199" t="n">
        <v>2025</v>
      </c>
    </row>
    <row r="9" ht="15" customHeight="1" s="104">
      <c r="A9" s="194" t="n">
        <v>45688</v>
      </c>
      <c r="B9" s="195" t="inlineStr">
        <is>
          <t>Amazon CA</t>
        </is>
      </c>
      <c r="C9" s="195" t="inlineStr">
        <is>
          <t>Sales</t>
        </is>
      </c>
      <c r="D9" s="195" t="inlineStr">
        <is>
          <t>Organic</t>
        </is>
      </c>
      <c r="E9" s="196" t="n">
        <v>1491.93</v>
      </c>
      <c r="F9" s="197" t="n">
        <v>0.8037246737</v>
      </c>
      <c r="G9" s="196" t="n">
        <v>49</v>
      </c>
      <c r="H9" s="196" t="n">
        <v>10</v>
      </c>
      <c r="I9" s="198" t="n">
        <v>0</v>
      </c>
      <c r="J9" s="198" t="n">
        <v>0</v>
      </c>
      <c r="K9" s="196" t="n">
        <v>288.41</v>
      </c>
      <c r="L9" s="196" t="n">
        <v>288.41</v>
      </c>
      <c r="M9" s="197" t="n">
        <v>0.06</v>
      </c>
      <c r="N9" s="197" t="n">
        <v>0.2041</v>
      </c>
      <c r="O9" s="197" t="n">
        <v>0.75</v>
      </c>
      <c r="P9" s="197" t="n">
        <v>0.1554</v>
      </c>
      <c r="Q9" s="196" t="n">
        <v>1.2316</v>
      </c>
      <c r="BA9" s="199" t="n">
        <v>1491.93</v>
      </c>
      <c r="BB9" s="200" t="inlineStr">
        <is>
          <t>JAN 1 - JAN 31, 2025</t>
        </is>
      </c>
      <c r="BC9" s="200" t="inlineStr">
        <is>
          <t>Jan</t>
        </is>
      </c>
      <c r="BD9" s="199" t="n">
        <v>2025</v>
      </c>
      <c r="BE9" s="199" t="n">
        <v>2025</v>
      </c>
    </row>
    <row r="10" ht="15" customHeight="1" s="104">
      <c r="A10" s="194" t="n">
        <v>45688</v>
      </c>
      <c r="B10" s="195" t="inlineStr">
        <is>
          <t>Amazon CA</t>
        </is>
      </c>
      <c r="C10" s="195" t="inlineStr">
        <is>
          <t>Sales</t>
        </is>
      </c>
      <c r="D10" s="195" t="inlineStr">
        <is>
          <t>Sponsored Products (same day)</t>
        </is>
      </c>
      <c r="E10" s="196" t="n">
        <v>364.34</v>
      </c>
      <c r="F10" s="197" t="n">
        <v>0.1962753263</v>
      </c>
      <c r="BA10" s="199" t="n">
        <v>364.34</v>
      </c>
      <c r="BB10" s="200" t="inlineStr">
        <is>
          <t>JAN 1 - JAN 31, 2025</t>
        </is>
      </c>
      <c r="BC10" s="200" t="inlineStr">
        <is>
          <t>Jan</t>
        </is>
      </c>
      <c r="BD10" s="199" t="n">
        <v>2025</v>
      </c>
      <c r="BE10" s="199" t="n">
        <v>2025</v>
      </c>
    </row>
    <row r="11" ht="15" customHeight="1" s="104">
      <c r="A11" s="194" t="n">
        <v>45688</v>
      </c>
      <c r="B11" s="195" t="inlineStr">
        <is>
          <t>Amazon CA</t>
        </is>
      </c>
      <c r="C11" s="195" t="inlineStr">
        <is>
          <t>Sales</t>
        </is>
      </c>
      <c r="D11" s="195" t="inlineStr">
        <is>
          <t>Sponsored Display (same day)</t>
        </is>
      </c>
      <c r="E11" s="198" t="n">
        <v>0</v>
      </c>
      <c r="F11" s="198" t="n">
        <v>0</v>
      </c>
      <c r="BA11" s="201" t="n">
        <v>0</v>
      </c>
      <c r="BB11" s="200" t="inlineStr">
        <is>
          <t>JAN 1 - JAN 31, 2025</t>
        </is>
      </c>
      <c r="BC11" s="200" t="inlineStr">
        <is>
          <t>Jan</t>
        </is>
      </c>
      <c r="BD11" s="199" t="n">
        <v>2025</v>
      </c>
      <c r="BE11" s="199" t="n">
        <v>2025</v>
      </c>
    </row>
    <row r="12" ht="15" customHeight="1" s="104">
      <c r="A12" s="194" t="n">
        <v>45688</v>
      </c>
      <c r="B12" s="195" t="inlineStr">
        <is>
          <t>Tiktok</t>
        </is>
      </c>
      <c r="C12" s="195" t="inlineStr">
        <is>
          <t>Net sales</t>
        </is>
      </c>
      <c r="D12" s="195" t="inlineStr">
        <is>
          <t>Gross sales</t>
        </is>
      </c>
      <c r="E12" s="196" t="n">
        <v>8882.629999999999</v>
      </c>
      <c r="F12" s="196" t="n">
        <v>1.06343779</v>
      </c>
      <c r="G12" s="196" t="n">
        <v>266</v>
      </c>
      <c r="H12" s="198" t="n">
        <v>0</v>
      </c>
      <c r="I12" s="198" t="n">
        <v>0</v>
      </c>
      <c r="K12" s="196" t="n">
        <v>8882.629999999999</v>
      </c>
      <c r="L12" s="196" t="n">
        <v>1353.42</v>
      </c>
      <c r="M12" s="197" t="n">
        <v>0.1348</v>
      </c>
      <c r="N12" s="197" t="n">
        <v>0.0484</v>
      </c>
      <c r="O12" s="202" t="inlineStr">
        <is>
          <t>-</t>
        </is>
      </c>
      <c r="P12" s="197" t="n">
        <v>0.1620328634</v>
      </c>
      <c r="Q12" s="197" t="n">
        <v>0.193364222</v>
      </c>
      <c r="R12" s="196" t="n">
        <v>8352.75</v>
      </c>
      <c r="S12" s="196" t="n">
        <v>-191.18</v>
      </c>
      <c r="U12" s="196" t="n">
        <v>-2398.62</v>
      </c>
      <c r="V12" s="196" t="n">
        <v>-30.8</v>
      </c>
      <c r="W12" s="196" t="n">
        <v>-511.28</v>
      </c>
      <c r="X12" s="196" t="n">
        <v>-883.5</v>
      </c>
      <c r="Y12" s="198" t="n">
        <v>0</v>
      </c>
      <c r="Z12" s="196" t="n">
        <v>-2983.95</v>
      </c>
      <c r="AA12" s="196" t="n">
        <v>-242.72</v>
      </c>
      <c r="AB12" s="196" t="n">
        <v>1110.7</v>
      </c>
      <c r="AC12" s="197" t="n">
        <v>0.1329741702</v>
      </c>
      <c r="BA12" s="199" t="n">
        <v>8882.629999999999</v>
      </c>
      <c r="BB12" s="200" t="inlineStr">
        <is>
          <t>JAN 1 - JAN 31, 2025</t>
        </is>
      </c>
      <c r="BC12" s="200" t="inlineStr">
        <is>
          <t>Jan</t>
        </is>
      </c>
      <c r="BD12" s="199" t="n">
        <v>2025</v>
      </c>
      <c r="BE12" s="199" t="n">
        <v>2025</v>
      </c>
    </row>
    <row r="13" ht="15" customHeight="1" s="104">
      <c r="A13" s="194" t="n">
        <v>45688</v>
      </c>
      <c r="B13" s="195" t="inlineStr">
        <is>
          <t>Tiktok</t>
        </is>
      </c>
      <c r="C13" s="195" t="inlineStr">
        <is>
          <t>Net Sales</t>
        </is>
      </c>
      <c r="D13" s="195" t="inlineStr">
        <is>
          <t>Gross sales refund</t>
        </is>
      </c>
      <c r="E13" s="196" t="n">
        <v>-429.88</v>
      </c>
      <c r="F13" s="197" t="n">
        <v>-0.05146568495</v>
      </c>
      <c r="BA13" s="199" t="n">
        <v>-429.88</v>
      </c>
      <c r="BB13" s="200" t="inlineStr">
        <is>
          <t>JAN 1 - JAN 31, 2025</t>
        </is>
      </c>
      <c r="BC13" s="200" t="inlineStr">
        <is>
          <t>Jan</t>
        </is>
      </c>
      <c r="BD13" s="199" t="n">
        <v>2025</v>
      </c>
      <c r="BE13" s="199" t="n">
        <v>2025</v>
      </c>
    </row>
    <row r="14" ht="15" customHeight="1" s="104">
      <c r="A14" s="194" t="n">
        <v>45688</v>
      </c>
      <c r="B14" s="195" t="inlineStr">
        <is>
          <t>Tiktok</t>
        </is>
      </c>
      <c r="C14" s="195" t="inlineStr">
        <is>
          <t>Net Sales</t>
        </is>
      </c>
      <c r="D14" s="195" t="inlineStr">
        <is>
          <t>Seller discount</t>
        </is>
      </c>
      <c r="E14" s="196" t="n">
        <v>-100</v>
      </c>
      <c r="F14" s="197" t="n">
        <v>-0.011972105</v>
      </c>
      <c r="BA14" s="199" t="n">
        <v>-100</v>
      </c>
      <c r="BB14" s="200" t="inlineStr">
        <is>
          <t>JAN 1 - JAN 31, 2025</t>
        </is>
      </c>
      <c r="BC14" s="200" t="inlineStr">
        <is>
          <t>Jan</t>
        </is>
      </c>
      <c r="BD14" s="199" t="n">
        <v>2025</v>
      </c>
      <c r="BE14" s="199" t="n">
        <v>2025</v>
      </c>
    </row>
    <row r="15" ht="15" customHeight="1" s="104">
      <c r="A15" s="194" t="n">
        <v>45688</v>
      </c>
      <c r="B15" s="195" t="inlineStr">
        <is>
          <t>Tiktok</t>
        </is>
      </c>
      <c r="C15" s="195" t="inlineStr">
        <is>
          <t>Net Sales</t>
        </is>
      </c>
      <c r="D15" s="195" t="inlineStr">
        <is>
          <t>Seller discount refund</t>
        </is>
      </c>
      <c r="E15" s="198" t="n">
        <v>0</v>
      </c>
      <c r="F15" s="198" t="n">
        <v>0</v>
      </c>
      <c r="BA15" s="201" t="n">
        <v>0</v>
      </c>
      <c r="BB15" s="200" t="inlineStr">
        <is>
          <t>JAN 1 - JAN 31, 2025</t>
        </is>
      </c>
      <c r="BC15" s="200" t="inlineStr">
        <is>
          <t>Jan</t>
        </is>
      </c>
      <c r="BD15" s="199" t="n">
        <v>2025</v>
      </c>
      <c r="BE15" s="199" t="n">
        <v>2025</v>
      </c>
    </row>
    <row r="16" ht="15" customHeight="1" s="104">
      <c r="A16" s="194" t="n">
        <v>45688</v>
      </c>
      <c r="B16" s="195" t="inlineStr">
        <is>
          <t>Shopify</t>
        </is>
      </c>
      <c r="C16" s="195" t="inlineStr">
        <is>
          <t>Sales</t>
        </is>
      </c>
      <c r="D16" s="195" t="inlineStr">
        <is>
          <t>Gross sales</t>
        </is>
      </c>
      <c r="E16" s="196" t="n">
        <v>519.83</v>
      </c>
      <c r="F16" s="197" t="n">
        <v>0.973975118</v>
      </c>
      <c r="G16" s="196" t="n">
        <v>17</v>
      </c>
      <c r="H16" s="198" t="n">
        <v>0</v>
      </c>
      <c r="I16" s="198" t="n">
        <v>0</v>
      </c>
      <c r="K16" s="196" t="n">
        <v>362.52</v>
      </c>
      <c r="L16" s="196" t="n">
        <v>362.52</v>
      </c>
      <c r="M16" s="198" t="n">
        <v>0</v>
      </c>
      <c r="N16" s="198" t="n">
        <v>0</v>
      </c>
      <c r="O16" s="198" t="n">
        <v>0</v>
      </c>
      <c r="P16" s="197" t="n">
        <v>0.6792</v>
      </c>
      <c r="Q16" s="196" t="n">
        <v>2.4162</v>
      </c>
      <c r="AD16" s="198" t="n">
        <v>0</v>
      </c>
      <c r="AE16" s="198" t="n">
        <v>0</v>
      </c>
      <c r="AF16" s="196" t="n">
        <v>-143.07</v>
      </c>
      <c r="AH16" s="196" t="n">
        <v>-19.07</v>
      </c>
      <c r="AI16" s="196" t="n">
        <v>-150.04</v>
      </c>
      <c r="AJ16" s="196" t="n">
        <v>-2.09</v>
      </c>
      <c r="AK16" s="196" t="n">
        <v>362.52</v>
      </c>
      <c r="AL16" s="196" t="n">
        <v>219.45</v>
      </c>
      <c r="AM16" s="198" t="n">
        <v>0</v>
      </c>
      <c r="AN16" s="198" t="n">
        <v>0</v>
      </c>
      <c r="AO16" s="197" t="n">
        <v>0.4111706513</v>
      </c>
      <c r="BA16" s="199" t="n">
        <v>519.83</v>
      </c>
      <c r="BB16" s="200" t="inlineStr">
        <is>
          <t>JAN 1 - JAN 31, 2025</t>
        </is>
      </c>
      <c r="BC16" s="200" t="inlineStr">
        <is>
          <t>Jan</t>
        </is>
      </c>
      <c r="BD16" s="199" t="n">
        <v>2025</v>
      </c>
      <c r="BE16" s="199" t="n">
        <v>2025</v>
      </c>
    </row>
    <row r="17" ht="15" customHeight="1" s="104">
      <c r="A17" s="194" t="n">
        <v>45688</v>
      </c>
      <c r="B17" s="195" t="inlineStr">
        <is>
          <t>Shopify</t>
        </is>
      </c>
      <c r="C17" s="195" t="inlineStr">
        <is>
          <t>Sales</t>
        </is>
      </c>
      <c r="D17" s="195" t="inlineStr">
        <is>
          <t>Promo</t>
        </is>
      </c>
      <c r="E17" s="198" t="n">
        <v>0</v>
      </c>
      <c r="F17" s="198" t="n">
        <v>0</v>
      </c>
      <c r="BA17" s="201" t="n">
        <v>0</v>
      </c>
      <c r="BB17" s="200" t="inlineStr">
        <is>
          <t>JAN 1 - JAN 31, 2025</t>
        </is>
      </c>
      <c r="BC17" s="200" t="inlineStr">
        <is>
          <t>Jan</t>
        </is>
      </c>
      <c r="BD17" s="199" t="n">
        <v>2025</v>
      </c>
      <c r="BE17" s="199" t="n">
        <v>2025</v>
      </c>
    </row>
    <row r="18" ht="15" customHeight="1" s="104">
      <c r="A18" s="194" t="n">
        <v>45688</v>
      </c>
      <c r="B18" s="195" t="inlineStr">
        <is>
          <t>Shopify</t>
        </is>
      </c>
      <c r="C18" s="195" t="inlineStr">
        <is>
          <t>Sales</t>
        </is>
      </c>
      <c r="D18" s="195" t="inlineStr">
        <is>
          <t>Shipping</t>
        </is>
      </c>
      <c r="E18" s="196" t="n">
        <v>11.8</v>
      </c>
      <c r="F18" s="197" t="n">
        <v>0.022108971</v>
      </c>
      <c r="BA18" s="199" t="n">
        <v>11.8</v>
      </c>
      <c r="BB18" s="200" t="inlineStr">
        <is>
          <t>JAN 1 - JAN 31, 2025</t>
        </is>
      </c>
      <c r="BC18" s="200" t="inlineStr">
        <is>
          <t>Jan</t>
        </is>
      </c>
      <c r="BD18" s="199" t="n">
        <v>2025</v>
      </c>
      <c r="BE18" s="199" t="n">
        <v>2025</v>
      </c>
    </row>
    <row r="19" ht="15" customHeight="1" s="104">
      <c r="A19" s="194" t="n">
        <v>45688</v>
      </c>
      <c r="B19" s="195" t="inlineStr">
        <is>
          <t>Shopify</t>
        </is>
      </c>
      <c r="C19" s="195" t="inlineStr">
        <is>
          <t>Sales</t>
        </is>
      </c>
      <c r="D19" s="195" t="inlineStr">
        <is>
          <t>Sales tax</t>
        </is>
      </c>
      <c r="E19" s="196" t="n">
        <v>2.09</v>
      </c>
      <c r="F19" s="197" t="n">
        <v>0.003915910965</v>
      </c>
      <c r="BA19" s="199" t="n">
        <v>2.09</v>
      </c>
      <c r="BB19" s="200" t="inlineStr">
        <is>
          <t>JAN 1 - JAN 31, 2025</t>
        </is>
      </c>
      <c r="BC19" s="200" t="inlineStr">
        <is>
          <t>Jan</t>
        </is>
      </c>
      <c r="BD19" s="199" t="n">
        <v>2025</v>
      </c>
      <c r="BE19" s="199" t="n">
        <v>2025</v>
      </c>
    </row>
    <row r="20" ht="15" customHeight="1" s="104">
      <c r="A20" s="194" t="n">
        <v>45716</v>
      </c>
      <c r="B20" s="195" t="inlineStr">
        <is>
          <t>Amazon US</t>
        </is>
      </c>
      <c r="C20" s="195" t="inlineStr">
        <is>
          <t>Sales</t>
        </is>
      </c>
      <c r="D20" s="195" t="inlineStr">
        <is>
          <t>Organic</t>
        </is>
      </c>
      <c r="E20" s="196" t="n">
        <v>64237.79</v>
      </c>
      <c r="F20" s="197" t="n">
        <v>0.7567138875</v>
      </c>
      <c r="G20" s="196" t="n">
        <v>1910</v>
      </c>
      <c r="H20" s="196" t="n">
        <v>433</v>
      </c>
      <c r="I20" s="198" t="n">
        <v>0</v>
      </c>
      <c r="J20" s="198" t="n">
        <v>0</v>
      </c>
      <c r="K20" s="196" t="n">
        <v>18510.82</v>
      </c>
      <c r="L20" s="196" t="n">
        <v>18510.82</v>
      </c>
      <c r="M20" s="197" t="n">
        <v>0.0862</v>
      </c>
      <c r="N20" s="197" t="n">
        <v>0.0639</v>
      </c>
      <c r="O20" s="197" t="n">
        <v>0.6042999999999999</v>
      </c>
      <c r="P20" s="197" t="n">
        <v>0.2181</v>
      </c>
      <c r="Q20" s="197" t="n">
        <v>0.7857</v>
      </c>
      <c r="BA20" s="199" t="n">
        <v>64237.79</v>
      </c>
      <c r="BC20" s="200" t="inlineStr">
        <is>
          <t>Feb</t>
        </is>
      </c>
      <c r="BD20" s="199" t="n">
        <v>2025</v>
      </c>
      <c r="BE20" s="199" t="n">
        <v>2025</v>
      </c>
    </row>
    <row r="21" ht="15" customHeight="1" s="104">
      <c r="A21" s="194" t="n">
        <v>45716</v>
      </c>
      <c r="B21" s="195" t="inlineStr">
        <is>
          <t>Amazon US</t>
        </is>
      </c>
      <c r="C21" s="195" t="inlineStr">
        <is>
          <t>Sales</t>
        </is>
      </c>
      <c r="D21" s="195" t="inlineStr">
        <is>
          <t>Sponsored Products (same day)</t>
        </is>
      </c>
      <c r="E21" s="196" t="n">
        <v>20652.67</v>
      </c>
      <c r="F21" s="197" t="n">
        <v>0.2432861125</v>
      </c>
      <c r="BA21" s="199" t="n">
        <v>20652.67</v>
      </c>
      <c r="BC21" s="200" t="inlineStr">
        <is>
          <t>Feb</t>
        </is>
      </c>
      <c r="BD21" s="199" t="n">
        <v>2025</v>
      </c>
      <c r="BE21" s="199" t="n">
        <v>2025</v>
      </c>
    </row>
    <row r="22" ht="15" customHeight="1" s="104">
      <c r="A22" s="194" t="n">
        <v>45716</v>
      </c>
      <c r="B22" s="195" t="inlineStr">
        <is>
          <t>Amazon US</t>
        </is>
      </c>
      <c r="C22" s="195" t="inlineStr">
        <is>
          <t>Sales</t>
        </is>
      </c>
      <c r="D22" s="195" t="inlineStr">
        <is>
          <t>Sponsored Display (same day)</t>
        </is>
      </c>
      <c r="E22" s="198" t="n">
        <v>0</v>
      </c>
      <c r="F22" s="198" t="n">
        <v>0</v>
      </c>
      <c r="BA22" s="201" t="n">
        <v>0</v>
      </c>
      <c r="BC22" s="200" t="inlineStr">
        <is>
          <t>Feb</t>
        </is>
      </c>
      <c r="BD22" s="199" t="n">
        <v>2025</v>
      </c>
      <c r="BE22" s="199" t="n">
        <v>2025</v>
      </c>
    </row>
    <row r="23" ht="15" customHeight="1" s="104">
      <c r="A23" s="194" t="n">
        <v>45716</v>
      </c>
      <c r="B23" s="195" t="inlineStr">
        <is>
          <t>Amazon CA</t>
        </is>
      </c>
      <c r="C23" s="195" t="inlineStr">
        <is>
          <t>Sales</t>
        </is>
      </c>
      <c r="D23" s="195" t="inlineStr">
        <is>
          <t>Organic</t>
        </is>
      </c>
      <c r="E23" s="196" t="n">
        <v>3528.44</v>
      </c>
      <c r="F23" s="197" t="n">
        <v>0.8274235116000001</v>
      </c>
      <c r="G23" s="196" t="n">
        <v>81</v>
      </c>
      <c r="H23" s="196" t="n">
        <v>15</v>
      </c>
      <c r="I23" s="198" t="n">
        <v>0</v>
      </c>
      <c r="J23" s="198" t="n">
        <v>0</v>
      </c>
      <c r="K23" s="196" t="n">
        <v>1336.8</v>
      </c>
      <c r="L23" s="196" t="n">
        <v>1336.8</v>
      </c>
      <c r="M23" s="197" t="n">
        <v>0.0398</v>
      </c>
      <c r="N23" s="197" t="n">
        <v>0.0494</v>
      </c>
      <c r="O23" s="197" t="n">
        <v>0.7143</v>
      </c>
      <c r="P23" s="197" t="n">
        <v>0.3135</v>
      </c>
      <c r="Q23" s="196" t="n">
        <v>1.0458</v>
      </c>
      <c r="BA23" s="199" t="n">
        <v>3447.44</v>
      </c>
      <c r="BC23" s="200" t="inlineStr">
        <is>
          <t>Feb</t>
        </is>
      </c>
      <c r="BD23" s="199" t="n">
        <v>2025</v>
      </c>
      <c r="BE23" s="199" t="n">
        <v>2025</v>
      </c>
    </row>
    <row r="24" ht="15" customHeight="1" s="104">
      <c r="A24" s="194" t="n">
        <v>45716</v>
      </c>
      <c r="B24" s="195" t="inlineStr">
        <is>
          <t>Amazon CA</t>
        </is>
      </c>
      <c r="C24" s="195" t="inlineStr">
        <is>
          <t>Sales</t>
        </is>
      </c>
      <c r="D24" s="195" t="inlineStr">
        <is>
          <t>Sponsored Products (same day)</t>
        </is>
      </c>
      <c r="E24" s="196" t="n">
        <v>735.9299999999999</v>
      </c>
      <c r="F24" s="197" t="n">
        <v>0.1725764884</v>
      </c>
      <c r="BA24" s="199" t="n">
        <v>735.9299999999999</v>
      </c>
      <c r="BC24" s="200" t="inlineStr">
        <is>
          <t>Feb</t>
        </is>
      </c>
      <c r="BD24" s="199" t="n">
        <v>2025</v>
      </c>
      <c r="BE24" s="199" t="n">
        <v>2025</v>
      </c>
    </row>
    <row r="25" ht="15" customHeight="1" s="104">
      <c r="A25" s="194" t="n">
        <v>45716</v>
      </c>
      <c r="B25" s="195" t="inlineStr">
        <is>
          <t>Amazon CA</t>
        </is>
      </c>
      <c r="C25" s="195" t="inlineStr">
        <is>
          <t>Sales</t>
        </is>
      </c>
      <c r="D25" s="195" t="inlineStr">
        <is>
          <t>Sponsored Display (same day)</t>
        </is>
      </c>
      <c r="E25" s="198" t="n">
        <v>0</v>
      </c>
      <c r="F25" s="198" t="n">
        <v>0</v>
      </c>
      <c r="BA25" s="201" t="n">
        <v>0</v>
      </c>
      <c r="BC25" s="200" t="inlineStr">
        <is>
          <t>Feb</t>
        </is>
      </c>
      <c r="BD25" s="199" t="n">
        <v>2025</v>
      </c>
      <c r="BE25" s="199" t="n">
        <v>2025</v>
      </c>
    </row>
    <row r="26" ht="15" customHeight="1" s="104">
      <c r="A26" s="194" t="n">
        <v>45716</v>
      </c>
      <c r="B26" s="195" t="inlineStr">
        <is>
          <t>Tiktok</t>
        </is>
      </c>
      <c r="C26" s="195" t="inlineStr">
        <is>
          <t>Net Sales</t>
        </is>
      </c>
      <c r="D26" s="195" t="inlineStr">
        <is>
          <t>Gross sales</t>
        </is>
      </c>
      <c r="E26" s="196" t="n">
        <v>6398.3</v>
      </c>
      <c r="F26" s="196" t="n">
        <v>1.085666581</v>
      </c>
      <c r="G26" s="196" t="n">
        <v>178</v>
      </c>
      <c r="H26" s="198" t="n">
        <v>0</v>
      </c>
      <c r="I26" s="198" t="n">
        <v>0</v>
      </c>
      <c r="K26" s="196" t="n">
        <v>6398.3</v>
      </c>
      <c r="L26" s="196" t="n">
        <v>302.41</v>
      </c>
      <c r="M26" s="197" t="n">
        <v>0.1556</v>
      </c>
      <c r="N26" s="197" t="n">
        <v>0.0789</v>
      </c>
      <c r="O26" s="202" t="inlineStr">
        <is>
          <t>-</t>
        </is>
      </c>
      <c r="P26" s="197" t="n">
        <v>0.05131307235</v>
      </c>
      <c r="R26" s="196" t="n">
        <v>5893.43</v>
      </c>
      <c r="S26" s="196" t="n">
        <v>-279.95</v>
      </c>
      <c r="U26" s="196" t="n">
        <v>-2008.24</v>
      </c>
      <c r="V26" s="196" t="n">
        <v>-42.06</v>
      </c>
      <c r="W26" s="196" t="n">
        <v>-359.41</v>
      </c>
      <c r="X26" s="196" t="n">
        <v>-568.5</v>
      </c>
      <c r="Y26" s="196" t="n">
        <v>-357.28</v>
      </c>
      <c r="Z26" s="196" t="n">
        <v>-1975.58</v>
      </c>
      <c r="AA26" s="196" t="n">
        <v>-348.39</v>
      </c>
      <c r="AB26" s="196" t="n">
        <v>-45.98</v>
      </c>
      <c r="AC26" s="197" t="n">
        <v>-0.007801908227</v>
      </c>
      <c r="BA26" s="199" t="n">
        <v>6220.3</v>
      </c>
      <c r="BC26" s="200" t="inlineStr">
        <is>
          <t>Feb</t>
        </is>
      </c>
      <c r="BD26" s="199" t="n">
        <v>2025</v>
      </c>
      <c r="BE26" s="199" t="n">
        <v>2025</v>
      </c>
    </row>
    <row r="27" ht="15" customHeight="1" s="104">
      <c r="A27" s="194" t="n">
        <v>45716</v>
      </c>
      <c r="B27" s="195" t="inlineStr">
        <is>
          <t>Tiktok</t>
        </is>
      </c>
      <c r="C27" s="195" t="inlineStr">
        <is>
          <t>Net Sales</t>
        </is>
      </c>
      <c r="D27" s="195" t="inlineStr">
        <is>
          <t>Gross sales refund</t>
        </is>
      </c>
      <c r="E27" s="196" t="n">
        <v>-504.87</v>
      </c>
      <c r="F27" s="197" t="n">
        <v>-0.08566658126</v>
      </c>
      <c r="BA27" s="199" t="n">
        <v>-504.87</v>
      </c>
      <c r="BC27" s="200" t="inlineStr">
        <is>
          <t>Feb</t>
        </is>
      </c>
      <c r="BD27" s="199" t="n">
        <v>2025</v>
      </c>
      <c r="BE27" s="199" t="n">
        <v>2025</v>
      </c>
    </row>
    <row r="28" ht="15" customHeight="1" s="104">
      <c r="A28" s="194" t="n">
        <v>45716</v>
      </c>
      <c r="B28" s="195" t="inlineStr">
        <is>
          <t>Tiktok</t>
        </is>
      </c>
      <c r="C28" s="195" t="inlineStr">
        <is>
          <t>Net Sales</t>
        </is>
      </c>
      <c r="D28" s="195" t="inlineStr">
        <is>
          <t>Seller discount</t>
        </is>
      </c>
      <c r="E28" s="198" t="n">
        <v>0</v>
      </c>
      <c r="F28" s="198" t="n">
        <v>0</v>
      </c>
      <c r="BA28" s="201" t="n">
        <v>0</v>
      </c>
      <c r="BC28" s="200" t="inlineStr">
        <is>
          <t>Feb</t>
        </is>
      </c>
      <c r="BD28" s="199" t="n">
        <v>2025</v>
      </c>
      <c r="BE28" s="199" t="n">
        <v>2025</v>
      </c>
    </row>
    <row r="29" ht="15" customHeight="1" s="104">
      <c r="A29" s="194" t="n">
        <v>45716</v>
      </c>
      <c r="B29" s="195" t="inlineStr">
        <is>
          <t>Tiktok</t>
        </is>
      </c>
      <c r="C29" s="195" t="inlineStr">
        <is>
          <t>Net Sales</t>
        </is>
      </c>
      <c r="D29" s="195" t="inlineStr">
        <is>
          <t>Seller discount refund</t>
        </is>
      </c>
      <c r="E29" s="198" t="n">
        <v>0</v>
      </c>
      <c r="F29" s="198" t="n">
        <v>0</v>
      </c>
      <c r="BA29" s="201" t="n">
        <v>0</v>
      </c>
      <c r="BC29" s="200" t="inlineStr">
        <is>
          <t>Feb</t>
        </is>
      </c>
      <c r="BD29" s="199" t="n">
        <v>2025</v>
      </c>
      <c r="BE29" s="199" t="n">
        <v>2025</v>
      </c>
    </row>
    <row r="30" ht="15" customHeight="1" s="104">
      <c r="A30" s="194" t="n">
        <v>45716</v>
      </c>
      <c r="B30" s="195" t="inlineStr">
        <is>
          <t>Shopify</t>
        </is>
      </c>
      <c r="C30" s="195" t="inlineStr">
        <is>
          <t>Sales</t>
        </is>
      </c>
      <c r="D30" s="195" t="inlineStr">
        <is>
          <t>Gross sales</t>
        </is>
      </c>
      <c r="E30" s="196" t="n">
        <v>899.7</v>
      </c>
      <c r="F30" s="196" t="n">
        <v>1.034911141</v>
      </c>
      <c r="G30" s="196" t="n">
        <v>30</v>
      </c>
      <c r="H30" s="198" t="n">
        <v>0</v>
      </c>
      <c r="I30" s="198" t="n">
        <v>0</v>
      </c>
      <c r="K30" s="196" t="n">
        <v>835.74</v>
      </c>
      <c r="M30" s="198" t="n">
        <v>0</v>
      </c>
      <c r="N30" s="198" t="n">
        <v>0</v>
      </c>
      <c r="O30" s="198" t="n">
        <v>0</v>
      </c>
      <c r="P30" s="197" t="n">
        <v>0.9613</v>
      </c>
      <c r="Q30" s="198" t="n">
        <v>0</v>
      </c>
      <c r="AD30" s="198" t="n">
        <v>0</v>
      </c>
      <c r="AE30" s="198" t="n">
        <v>0</v>
      </c>
      <c r="AF30" s="196" t="n">
        <v>-204.25</v>
      </c>
      <c r="AH30" s="196" t="n">
        <v>-26.71</v>
      </c>
      <c r="AI30" s="196" t="n">
        <v>-265.15</v>
      </c>
      <c r="AJ30" s="198" t="n">
        <v>0</v>
      </c>
      <c r="AK30" s="196" t="n">
        <v>835.74</v>
      </c>
      <c r="AL30" s="196" t="n">
        <v>373.24</v>
      </c>
      <c r="AM30" s="198" t="n">
        <v>0</v>
      </c>
      <c r="AN30" s="198" t="n">
        <v>0</v>
      </c>
      <c r="AO30" s="197" t="n">
        <v>0.4293322597</v>
      </c>
      <c r="BA30" s="199" t="n">
        <v>869.7</v>
      </c>
      <c r="BB30" s="200" t="inlineStr">
        <is>
          <t>FEB 1 - FEB 28, 2025</t>
        </is>
      </c>
      <c r="BC30" s="200" t="inlineStr">
        <is>
          <t>Feb</t>
        </is>
      </c>
      <c r="BD30" s="199" t="n">
        <v>2025</v>
      </c>
      <c r="BE30" s="199" t="n">
        <v>2025</v>
      </c>
    </row>
    <row r="31" ht="15" customHeight="1" s="104">
      <c r="A31" s="194" t="n">
        <v>45716</v>
      </c>
      <c r="B31" s="195" t="inlineStr">
        <is>
          <t>Shopify</t>
        </is>
      </c>
      <c r="C31" s="195" t="inlineStr">
        <is>
          <t>Sales</t>
        </is>
      </c>
      <c r="D31" s="195" t="inlineStr">
        <is>
          <t>Promo</t>
        </is>
      </c>
      <c r="E31" s="196" t="n">
        <v>-37.25</v>
      </c>
      <c r="F31" s="197" t="n">
        <v>-0.04284810491</v>
      </c>
      <c r="BA31" s="199" t="n">
        <v>-37.25</v>
      </c>
      <c r="BB31" s="200" t="inlineStr">
        <is>
          <t>FEB 1 - FEB 28, 2025</t>
        </is>
      </c>
      <c r="BC31" s="200" t="inlineStr">
        <is>
          <t>Feb</t>
        </is>
      </c>
      <c r="BD31" s="199" t="n">
        <v>2025</v>
      </c>
      <c r="BE31" s="199" t="n">
        <v>2025</v>
      </c>
    </row>
    <row r="32" ht="15" customHeight="1" s="104">
      <c r="A32" s="194" t="n">
        <v>45716</v>
      </c>
      <c r="B32" s="195" t="inlineStr">
        <is>
          <t>Shopify</t>
        </is>
      </c>
      <c r="C32" s="195" t="inlineStr">
        <is>
          <t>Sales</t>
        </is>
      </c>
      <c r="D32" s="195" t="inlineStr">
        <is>
          <t>Shipping</t>
        </is>
      </c>
      <c r="E32" s="196" t="n">
        <v>6.9</v>
      </c>
      <c r="F32" s="197" t="n">
        <v>0.007936964398999999</v>
      </c>
      <c r="BA32" s="199" t="n">
        <v>6.9</v>
      </c>
      <c r="BB32" s="200" t="inlineStr">
        <is>
          <t>FEB 1 - FEB 28, 2025</t>
        </is>
      </c>
      <c r="BC32" s="200" t="inlineStr">
        <is>
          <t>Feb</t>
        </is>
      </c>
      <c r="BD32" s="199" t="n">
        <v>2025</v>
      </c>
      <c r="BE32" s="199" t="n">
        <v>2025</v>
      </c>
    </row>
    <row r="33" ht="15" customHeight="1" s="104">
      <c r="A33" s="194" t="n">
        <v>45716</v>
      </c>
      <c r="B33" s="195" t="inlineStr">
        <is>
          <t>Shopify</t>
        </is>
      </c>
      <c r="C33" s="195" t="inlineStr">
        <is>
          <t>Sales</t>
        </is>
      </c>
      <c r="D33" s="195" t="inlineStr">
        <is>
          <t>Sales tax</t>
        </is>
      </c>
      <c r="E33" s="198" t="n">
        <v>0</v>
      </c>
      <c r="F33" s="198" t="n">
        <v>0</v>
      </c>
      <c r="BA33" s="201" t="n">
        <v>0</v>
      </c>
      <c r="BB33" s="200" t="inlineStr">
        <is>
          <t>FEB 1 - FEB 28, 2025</t>
        </is>
      </c>
      <c r="BC33" s="200" t="inlineStr">
        <is>
          <t>Feb</t>
        </is>
      </c>
      <c r="BD33" s="199" t="n">
        <v>2025</v>
      </c>
      <c r="BE33" s="199" t="n">
        <v>2025</v>
      </c>
    </row>
    <row r="34" ht="15" customHeight="1" s="104">
      <c r="A34" s="194" t="n">
        <v>45747</v>
      </c>
      <c r="B34" s="195" t="inlineStr">
        <is>
          <t>Amazon US</t>
        </is>
      </c>
      <c r="C34" s="195" t="inlineStr">
        <is>
          <t>Sales</t>
        </is>
      </c>
      <c r="D34" s="195" t="inlineStr">
        <is>
          <t>Organic</t>
        </is>
      </c>
      <c r="E34" s="196" t="n">
        <v>52822.6</v>
      </c>
      <c r="F34" s="197" t="n">
        <v>0.710160441</v>
      </c>
      <c r="G34" s="196" t="n">
        <v>1651</v>
      </c>
      <c r="J34" s="198" t="n">
        <v>0</v>
      </c>
      <c r="K34" s="196" t="n">
        <v>15629.14</v>
      </c>
      <c r="L34" s="196" t="n">
        <v>15629.14</v>
      </c>
      <c r="M34" s="197" t="n">
        <v>0.0892</v>
      </c>
      <c r="N34" s="197" t="n">
        <v>0.0975</v>
      </c>
      <c r="O34" s="197" t="n">
        <v>0.5886</v>
      </c>
      <c r="P34" s="197" t="n">
        <v>0.2101</v>
      </c>
      <c r="Q34" s="197" t="n">
        <v>0.7482</v>
      </c>
      <c r="BA34" s="199" t="n">
        <v>51171.6</v>
      </c>
      <c r="BC34" s="200" t="inlineStr">
        <is>
          <t>Mar</t>
        </is>
      </c>
      <c r="BD34" s="199" t="n">
        <v>2025</v>
      </c>
      <c r="BE34" s="199" t="n">
        <v>2025</v>
      </c>
    </row>
    <row r="35" ht="15" customHeight="1" s="104">
      <c r="A35" s="194" t="n">
        <v>45747</v>
      </c>
      <c r="B35" s="195" t="inlineStr">
        <is>
          <t>Amazon US</t>
        </is>
      </c>
      <c r="C35" s="195" t="inlineStr">
        <is>
          <t>Sales</t>
        </is>
      </c>
      <c r="D35" s="195" t="inlineStr">
        <is>
          <t>Sponsored Products (same day)</t>
        </is>
      </c>
      <c r="E35" s="196" t="n">
        <v>21558.62</v>
      </c>
      <c r="F35" s="197" t="n">
        <v>0.289839559</v>
      </c>
      <c r="BA35" s="199" t="n">
        <v>21558.62</v>
      </c>
      <c r="BC35" s="200" t="inlineStr">
        <is>
          <t>Mar</t>
        </is>
      </c>
      <c r="BD35" s="199" t="n">
        <v>2025</v>
      </c>
      <c r="BE35" s="199" t="n">
        <v>2025</v>
      </c>
    </row>
    <row r="36" ht="15" customHeight="1" s="104">
      <c r="A36" s="194" t="n">
        <v>45747</v>
      </c>
      <c r="B36" s="195" t="inlineStr">
        <is>
          <t>Amazon US</t>
        </is>
      </c>
      <c r="C36" s="195" t="inlineStr">
        <is>
          <t>Sales</t>
        </is>
      </c>
      <c r="D36" s="195" t="inlineStr">
        <is>
          <t>Sponsored Display (same day)</t>
        </is>
      </c>
      <c r="E36" s="198" t="n">
        <v>0</v>
      </c>
      <c r="F36" s="198" t="n">
        <v>0</v>
      </c>
      <c r="BA36" s="201" t="n">
        <v>0</v>
      </c>
      <c r="BC36" s="200" t="inlineStr">
        <is>
          <t>Mar</t>
        </is>
      </c>
      <c r="BD36" s="199" t="n">
        <v>2025</v>
      </c>
      <c r="BE36" s="199" t="n">
        <v>2025</v>
      </c>
    </row>
    <row r="37" ht="15" customHeight="1" s="104">
      <c r="A37" s="194" t="n">
        <v>45747</v>
      </c>
      <c r="B37" s="195" t="inlineStr">
        <is>
          <t>Amazon CA</t>
        </is>
      </c>
      <c r="C37" s="195" t="inlineStr">
        <is>
          <t>Sales</t>
        </is>
      </c>
      <c r="D37" s="195" t="inlineStr">
        <is>
          <t>Organic</t>
        </is>
      </c>
      <c r="E37" s="196" t="n">
        <v>5801.19</v>
      </c>
      <c r="F37" s="197" t="n">
        <v>0.6790195564</v>
      </c>
      <c r="G37" s="196" t="n">
        <v>192</v>
      </c>
      <c r="J37" s="198" t="n">
        <v>0</v>
      </c>
      <c r="K37" s="196" t="n">
        <v>2030.04</v>
      </c>
      <c r="L37" s="196" t="n">
        <v>2030.04</v>
      </c>
      <c r="M37" s="197" t="n">
        <v>0.0624</v>
      </c>
      <c r="N37" s="197" t="n">
        <v>0.125</v>
      </c>
      <c r="O37" s="197" t="n">
        <v>0.375</v>
      </c>
      <c r="P37" s="197" t="n">
        <v>0.2376</v>
      </c>
      <c r="Q37" s="197" t="n">
        <v>0.8865</v>
      </c>
      <c r="BA37" s="199" t="n">
        <v>5609.19</v>
      </c>
      <c r="BC37" s="200" t="inlineStr">
        <is>
          <t>Mar</t>
        </is>
      </c>
      <c r="BD37" s="199" t="n">
        <v>2025</v>
      </c>
      <c r="BE37" s="199" t="n">
        <v>2025</v>
      </c>
    </row>
    <row r="38" ht="15" customHeight="1" s="104">
      <c r="A38" s="194" t="n">
        <v>45747</v>
      </c>
      <c r="B38" s="195" t="inlineStr">
        <is>
          <t>Amazon CA</t>
        </is>
      </c>
      <c r="C38" s="195" t="inlineStr">
        <is>
          <t>Sales</t>
        </is>
      </c>
      <c r="D38" s="195" t="inlineStr">
        <is>
          <t>Sponsored Products (same day)</t>
        </is>
      </c>
      <c r="E38" s="196" t="n">
        <v>2742.29</v>
      </c>
      <c r="F38" s="197" t="n">
        <v>0.3209804436</v>
      </c>
      <c r="BA38" s="199" t="n">
        <v>2742.29</v>
      </c>
      <c r="BC38" s="200" t="inlineStr">
        <is>
          <t>Mar</t>
        </is>
      </c>
      <c r="BD38" s="199" t="n">
        <v>2025</v>
      </c>
      <c r="BE38" s="199" t="n">
        <v>2025</v>
      </c>
    </row>
    <row r="39" ht="15" customHeight="1" s="104">
      <c r="A39" s="194" t="n">
        <v>45747</v>
      </c>
      <c r="B39" s="195" t="inlineStr">
        <is>
          <t>Amazon CA</t>
        </is>
      </c>
      <c r="C39" s="195" t="inlineStr">
        <is>
          <t>Sales</t>
        </is>
      </c>
      <c r="D39" s="195" t="inlineStr">
        <is>
          <t>Sponsored Display (same day)</t>
        </is>
      </c>
      <c r="E39" s="198" t="n">
        <v>0</v>
      </c>
      <c r="F39" s="198" t="n">
        <v>0</v>
      </c>
      <c r="BA39" s="201" t="n">
        <v>0</v>
      </c>
      <c r="BC39" s="200" t="inlineStr">
        <is>
          <t>Mar</t>
        </is>
      </c>
      <c r="BD39" s="199" t="n">
        <v>2025</v>
      </c>
      <c r="BE39" s="199" t="n">
        <v>2025</v>
      </c>
    </row>
    <row r="40" ht="15" customHeight="1" s="104">
      <c r="A40" s="194" t="n">
        <v>45747</v>
      </c>
      <c r="B40" s="195" t="inlineStr">
        <is>
          <t>Tiktok</t>
        </is>
      </c>
      <c r="C40" s="195" t="inlineStr">
        <is>
          <t>Net Sales</t>
        </is>
      </c>
      <c r="D40" s="195" t="inlineStr">
        <is>
          <t>Gross sales</t>
        </is>
      </c>
      <c r="E40" s="196" t="n">
        <v>7097.74</v>
      </c>
      <c r="F40" s="196" t="n">
        <v>1.167272416</v>
      </c>
      <c r="G40" s="196" t="n">
        <v>191</v>
      </c>
      <c r="J40" s="198" t="n">
        <v>0</v>
      </c>
      <c r="K40" s="196" t="n">
        <v>7097.74</v>
      </c>
      <c r="L40" s="196" t="n">
        <v>473.36</v>
      </c>
      <c r="M40" s="197" t="n">
        <v>0.1911</v>
      </c>
      <c r="N40" s="197" t="n">
        <v>0.07389999999999999</v>
      </c>
      <c r="P40" s="197" t="n">
        <v>0.07784732478</v>
      </c>
      <c r="R40" s="196" t="n">
        <v>6080.62</v>
      </c>
      <c r="S40" s="196" t="n">
        <v>-319.66</v>
      </c>
      <c r="U40" s="196" t="n">
        <v>-1077.6</v>
      </c>
      <c r="V40" s="196" t="n">
        <v>-12.23</v>
      </c>
      <c r="W40" s="196" t="n">
        <v>-368.17</v>
      </c>
      <c r="X40" s="196" t="n">
        <v>-603.54</v>
      </c>
      <c r="Y40" s="196" t="n">
        <v>-32.12</v>
      </c>
      <c r="Z40" s="196" t="n">
        <v>-2635.35</v>
      </c>
      <c r="AA40" s="196" t="n">
        <v>-558.59</v>
      </c>
      <c r="AB40" s="196" t="n">
        <v>473.36</v>
      </c>
      <c r="AC40" s="197" t="n">
        <v>0.07784732478</v>
      </c>
      <c r="BA40" s="199" t="n">
        <v>6906.74</v>
      </c>
      <c r="BC40" s="200" t="inlineStr">
        <is>
          <t>Mar</t>
        </is>
      </c>
      <c r="BD40" s="199" t="n">
        <v>2025</v>
      </c>
      <c r="BE40" s="199" t="n">
        <v>2025</v>
      </c>
    </row>
    <row r="41" ht="15" customHeight="1" s="104">
      <c r="A41" s="194" t="n">
        <v>45747</v>
      </c>
      <c r="B41" s="195" t="inlineStr">
        <is>
          <t>Tiktok</t>
        </is>
      </c>
      <c r="C41" s="195" t="inlineStr">
        <is>
          <t>Net Sales</t>
        </is>
      </c>
      <c r="D41" s="195" t="inlineStr">
        <is>
          <t>Gross sales refund</t>
        </is>
      </c>
      <c r="E41" s="196" t="n">
        <v>-524.45</v>
      </c>
      <c r="F41" s="197" t="n">
        <v>-0.08624942851</v>
      </c>
      <c r="BA41" s="199" t="n">
        <v>-524.45</v>
      </c>
      <c r="BC41" s="200" t="inlineStr">
        <is>
          <t>Mar</t>
        </is>
      </c>
      <c r="BD41" s="199" t="n">
        <v>2025</v>
      </c>
      <c r="BE41" s="199" t="n">
        <v>2025</v>
      </c>
    </row>
    <row r="42" ht="15" customHeight="1" s="104">
      <c r="A42" s="194" t="n">
        <v>45747</v>
      </c>
      <c r="B42" s="195" t="inlineStr">
        <is>
          <t>Tiktok</t>
        </is>
      </c>
      <c r="C42" s="195" t="inlineStr">
        <is>
          <t>Net Sales</t>
        </is>
      </c>
      <c r="D42" s="195" t="inlineStr">
        <is>
          <t>Seller discount</t>
        </is>
      </c>
      <c r="E42" s="196" t="n">
        <v>-508.67</v>
      </c>
      <c r="F42" s="197" t="n">
        <v>-0.08365429840999999</v>
      </c>
      <c r="BA42" s="199" t="n">
        <v>-508.67</v>
      </c>
      <c r="BC42" s="200" t="inlineStr">
        <is>
          <t>Mar</t>
        </is>
      </c>
      <c r="BD42" s="199" t="n">
        <v>2025</v>
      </c>
      <c r="BE42" s="199" t="n">
        <v>2025</v>
      </c>
    </row>
    <row r="43" ht="15" customHeight="1" s="104">
      <c r="A43" s="194" t="n">
        <v>45747</v>
      </c>
      <c r="B43" s="195" t="inlineStr">
        <is>
          <t>Tiktok</t>
        </is>
      </c>
      <c r="C43" s="195" t="inlineStr">
        <is>
          <t>Net Sales</t>
        </is>
      </c>
      <c r="D43" s="195" t="inlineStr">
        <is>
          <t>Seller discount refund</t>
        </is>
      </c>
      <c r="E43" s="196" t="n">
        <v>16</v>
      </c>
      <c r="F43" s="197" t="n">
        <v>0.002631310623</v>
      </c>
      <c r="BA43" s="199" t="n">
        <v>16</v>
      </c>
      <c r="BC43" s="200" t="inlineStr">
        <is>
          <t>Mar</t>
        </is>
      </c>
      <c r="BD43" s="199" t="n">
        <v>2025</v>
      </c>
      <c r="BE43" s="199" t="n">
        <v>2025</v>
      </c>
    </row>
    <row r="44" ht="15" customHeight="1" s="104">
      <c r="A44" s="194" t="n">
        <v>45747</v>
      </c>
      <c r="B44" s="195" t="inlineStr">
        <is>
          <t>Shopify</t>
        </is>
      </c>
      <c r="C44" s="195" t="inlineStr">
        <is>
          <t>Sales</t>
        </is>
      </c>
      <c r="D44" s="195" t="inlineStr">
        <is>
          <t>Gross sales</t>
        </is>
      </c>
      <c r="E44" s="196" t="n">
        <v>5101.23</v>
      </c>
      <c r="F44" s="196" t="n">
        <v>1.039355592</v>
      </c>
      <c r="G44" s="196" t="n">
        <v>77</v>
      </c>
      <c r="J44" s="198" t="n">
        <v>0</v>
      </c>
      <c r="K44" s="196" t="n">
        <v>2845.81</v>
      </c>
      <c r="L44" s="196" t="n">
        <v>2845.81</v>
      </c>
      <c r="M44" s="197" t="n">
        <v>0.1058</v>
      </c>
      <c r="N44" s="198" t="n">
        <v>0</v>
      </c>
      <c r="O44" s="198" t="n">
        <v>0</v>
      </c>
      <c r="P44" s="197" t="n">
        <v>0.964</v>
      </c>
      <c r="Q44" s="198" t="n">
        <v>0</v>
      </c>
      <c r="AD44" s="196" t="n">
        <v>-519.48</v>
      </c>
      <c r="AE44" s="198" t="n">
        <v>0</v>
      </c>
      <c r="AF44" s="196" t="n">
        <v>-909.67</v>
      </c>
      <c r="AH44" s="196" t="n">
        <v>-158</v>
      </c>
      <c r="AI44" s="196" t="n">
        <v>-1904.26</v>
      </c>
      <c r="AJ44" s="198" t="n">
        <v>0</v>
      </c>
      <c r="AL44" s="196" t="n">
        <v>1416.66</v>
      </c>
      <c r="AM44" s="198" t="n">
        <v>0</v>
      </c>
      <c r="AN44" s="198" t="n">
        <v>0</v>
      </c>
      <c r="AO44" s="197" t="n">
        <v>0.2886389151</v>
      </c>
      <c r="BA44" s="199" t="n">
        <v>5024.23</v>
      </c>
      <c r="BB44" s="200" t="inlineStr">
        <is>
          <t>MAR 1 - MAR 31, 2025</t>
        </is>
      </c>
      <c r="BC44" s="200" t="inlineStr">
        <is>
          <t>Mar</t>
        </is>
      </c>
      <c r="BD44" s="199" t="n">
        <v>2025</v>
      </c>
      <c r="BE44" s="199" t="n">
        <v>2025</v>
      </c>
    </row>
    <row r="45" ht="15" customHeight="1" s="104">
      <c r="A45" s="194" t="n">
        <v>45747</v>
      </c>
      <c r="B45" s="195" t="inlineStr">
        <is>
          <t>Shopify</t>
        </is>
      </c>
      <c r="C45" s="195" t="inlineStr">
        <is>
          <t>Sales</t>
        </is>
      </c>
      <c r="D45" s="195" t="inlineStr">
        <is>
          <t>Promo</t>
        </is>
      </c>
      <c r="E45" s="196" t="n">
        <v>-193.16</v>
      </c>
      <c r="F45" s="197" t="n">
        <v>-0.03935559191</v>
      </c>
      <c r="BA45" s="199" t="n">
        <v>-193.16</v>
      </c>
      <c r="BB45" s="200" t="inlineStr">
        <is>
          <t>MAR 1 - MAR 31, 2025</t>
        </is>
      </c>
      <c r="BC45" s="200" t="inlineStr">
        <is>
          <t>Mar</t>
        </is>
      </c>
      <c r="BD45" s="199" t="n">
        <v>2025</v>
      </c>
      <c r="BE45" s="199" t="n">
        <v>2025</v>
      </c>
    </row>
    <row r="46" ht="15" customHeight="1" s="104">
      <c r="A46" s="194" t="n">
        <v>45747</v>
      </c>
      <c r="B46" s="195" t="inlineStr">
        <is>
          <t>Shopify</t>
        </is>
      </c>
      <c r="C46" s="195" t="inlineStr">
        <is>
          <t>Sales</t>
        </is>
      </c>
      <c r="D46" s="195" t="inlineStr">
        <is>
          <t>Shipping</t>
        </is>
      </c>
      <c r="E46" s="198" t="n">
        <v>0</v>
      </c>
      <c r="F46" s="198" t="n">
        <v>0</v>
      </c>
      <c r="BA46" s="201" t="n">
        <v>0</v>
      </c>
      <c r="BB46" s="200" t="inlineStr">
        <is>
          <t>MAR 1 - MAR 31, 2025</t>
        </is>
      </c>
      <c r="BC46" s="200" t="inlineStr">
        <is>
          <t>Mar</t>
        </is>
      </c>
      <c r="BD46" s="199" t="n">
        <v>2025</v>
      </c>
      <c r="BE46" s="199" t="n">
        <v>2025</v>
      </c>
    </row>
    <row r="47" ht="15" customHeight="1" s="104">
      <c r="A47" s="194" t="n">
        <v>45747</v>
      </c>
      <c r="B47" s="195" t="inlineStr">
        <is>
          <t>Shopify</t>
        </is>
      </c>
      <c r="C47" s="195" t="inlineStr">
        <is>
          <t>Sales</t>
        </is>
      </c>
      <c r="D47" s="195" t="inlineStr">
        <is>
          <t>Sales tax</t>
        </is>
      </c>
      <c r="E47" s="198" t="n">
        <v>0</v>
      </c>
      <c r="F47" s="198" t="n">
        <v>0</v>
      </c>
      <c r="BA47" s="201" t="n">
        <v>0</v>
      </c>
      <c r="BB47" s="200" t="inlineStr">
        <is>
          <t>MAR 1 - MAR 31, 2025</t>
        </is>
      </c>
      <c r="BC47" s="200" t="inlineStr">
        <is>
          <t>Mar</t>
        </is>
      </c>
      <c r="BD47" s="199" t="n">
        <v>2025</v>
      </c>
      <c r="BE47" s="199" t="n">
        <v>2025</v>
      </c>
    </row>
    <row r="48" ht="15" customHeight="1" s="104">
      <c r="A48" s="194" t="n">
        <v>45747</v>
      </c>
      <c r="B48" s="195" t="inlineStr">
        <is>
          <t>Walmart</t>
        </is>
      </c>
      <c r="C48" s="195" t="inlineStr">
        <is>
          <t>Sales</t>
        </is>
      </c>
      <c r="D48" s="195" t="inlineStr">
        <is>
          <t>Gross sales</t>
        </is>
      </c>
      <c r="E48" s="196" t="n">
        <v>6127.5</v>
      </c>
      <c r="F48" s="196" t="n">
        <v>1.055086628</v>
      </c>
      <c r="G48" s="196" t="n">
        <v>142</v>
      </c>
      <c r="J48" s="198" t="n">
        <v>0</v>
      </c>
      <c r="K48" s="196" t="n">
        <v>5807.58</v>
      </c>
      <c r="M48" s="197" t="n">
        <v>0.057</v>
      </c>
      <c r="N48" s="197" t="n">
        <v>0.0522</v>
      </c>
      <c r="P48" s="197" t="n">
        <v>0.3872594093</v>
      </c>
      <c r="AQ48" s="196" t="n">
        <v>-349.56</v>
      </c>
      <c r="AR48" s="196" t="n">
        <v>-670.25</v>
      </c>
      <c r="AU48" s="196" t="n">
        <v>-913.3099999999999</v>
      </c>
      <c r="AV48" s="196" t="n">
        <v>-20.92</v>
      </c>
      <c r="AW48" s="198" t="n">
        <v>0</v>
      </c>
      <c r="AX48" s="196" t="n">
        <v>-1604.5</v>
      </c>
      <c r="AY48" s="196" t="n">
        <v>2249.04</v>
      </c>
      <c r="AZ48" s="199" t="n">
        <v>5807.58</v>
      </c>
      <c r="BA48" s="199" t="n">
        <v>5985.5</v>
      </c>
      <c r="BB48" s="200" t="inlineStr">
        <is>
          <t>MAR 1 - MAR 31, 2025</t>
        </is>
      </c>
      <c r="BC48" s="200" t="inlineStr">
        <is>
          <t>Mar</t>
        </is>
      </c>
      <c r="BD48" s="199" t="n">
        <v>2025</v>
      </c>
      <c r="BE48" s="199" t="n">
        <v>2025</v>
      </c>
    </row>
    <row r="49" ht="15" customHeight="1" s="104">
      <c r="A49" s="194" t="n">
        <v>45747</v>
      </c>
      <c r="B49" s="195" t="inlineStr">
        <is>
          <t>Walmart</t>
        </is>
      </c>
      <c r="C49" s="195" t="inlineStr">
        <is>
          <t>Sales</t>
        </is>
      </c>
      <c r="D49" s="195" t="inlineStr">
        <is>
          <t>Gross sales refund</t>
        </is>
      </c>
      <c r="E49" s="196" t="n">
        <v>-319.92</v>
      </c>
      <c r="F49" s="197" t="n">
        <v>-0.05508662817</v>
      </c>
      <c r="BA49" s="199" t="n">
        <v>-319.92</v>
      </c>
      <c r="BB49" s="200" t="inlineStr">
        <is>
          <t>MAR 1 - MAR 31, 2025</t>
        </is>
      </c>
      <c r="BC49" s="200" t="inlineStr">
        <is>
          <t>Mar</t>
        </is>
      </c>
      <c r="BD49" s="199" t="n">
        <v>2025</v>
      </c>
      <c r="BE49" s="199" t="n">
        <v>2025</v>
      </c>
    </row>
    <row r="50" ht="15" customHeight="1" s="104">
      <c r="A50" s="194" t="n">
        <v>45747</v>
      </c>
      <c r="B50" s="195" t="inlineStr">
        <is>
          <t>Walmart</t>
        </is>
      </c>
      <c r="C50" s="195" t="inlineStr">
        <is>
          <t>Sales</t>
        </is>
      </c>
      <c r="E50" s="198" t="n">
        <v>0</v>
      </c>
      <c r="F50" s="198" t="n">
        <v>0</v>
      </c>
      <c r="BA50" s="201" t="n">
        <v>0</v>
      </c>
      <c r="BB50" s="200" t="inlineStr">
        <is>
          <t>MAR 1 - MAR 31, 2025</t>
        </is>
      </c>
      <c r="BC50" s="200" t="inlineStr">
        <is>
          <t>Mar</t>
        </is>
      </c>
      <c r="BD50" s="199" t="n">
        <v>2025</v>
      </c>
      <c r="BE50" s="199" t="n">
        <v>2025</v>
      </c>
    </row>
    <row r="51" ht="15" customHeight="1" s="104">
      <c r="A51" s="194" t="n">
        <v>45777</v>
      </c>
      <c r="B51" s="195" t="inlineStr">
        <is>
          <t>Amazon US</t>
        </is>
      </c>
      <c r="C51" s="195" t="inlineStr">
        <is>
          <t>Sales</t>
        </is>
      </c>
      <c r="D51" s="195" t="inlineStr">
        <is>
          <t>Organic</t>
        </is>
      </c>
      <c r="E51" s="196" t="n">
        <v>85961.00999999999</v>
      </c>
      <c r="F51" s="197" t="n">
        <v>0.8280360902</v>
      </c>
      <c r="G51" s="196" t="n">
        <v>2250</v>
      </c>
      <c r="J51" s="198" t="n">
        <v>0</v>
      </c>
      <c r="K51" s="196" t="n">
        <v>30521.87</v>
      </c>
      <c r="L51" s="196" t="n">
        <v>30521.87</v>
      </c>
      <c r="M51" s="197" t="n">
        <v>0.0491</v>
      </c>
      <c r="N51" s="197" t="n">
        <v>0.0507</v>
      </c>
      <c r="O51" s="197" t="n">
        <v>0.5745</v>
      </c>
      <c r="P51" s="197" t="n">
        <v>0.294</v>
      </c>
      <c r="Q51" s="196" t="n">
        <v>1.0751</v>
      </c>
      <c r="BA51" s="199" t="n">
        <v>83711.00999999999</v>
      </c>
      <c r="BB51" s="200" t="inlineStr">
        <is>
          <t>APRIL 1 - APRIL 30, 2025</t>
        </is>
      </c>
      <c r="BC51" s="200" t="inlineStr">
        <is>
          <t>Apr</t>
        </is>
      </c>
      <c r="BD51" s="199" t="n">
        <v>2025</v>
      </c>
      <c r="BE51" s="199" t="n">
        <v>2025</v>
      </c>
    </row>
    <row r="52" ht="15" customHeight="1" s="104">
      <c r="A52" s="194" t="n">
        <v>45777</v>
      </c>
      <c r="B52" s="195" t="inlineStr">
        <is>
          <t>Amazon US</t>
        </is>
      </c>
      <c r="C52" s="195" t="inlineStr">
        <is>
          <t>Sales</t>
        </is>
      </c>
      <c r="D52" s="195" t="inlineStr">
        <is>
          <t>Sponsored Products (same day)</t>
        </is>
      </c>
      <c r="E52" s="196" t="n">
        <v>17852.11</v>
      </c>
      <c r="F52" s="197" t="n">
        <v>0.1719639098</v>
      </c>
      <c r="BA52" s="199" t="n">
        <v>17852.11</v>
      </c>
      <c r="BB52" s="200" t="inlineStr">
        <is>
          <t>APRIL 1 - APRIL 30, 2025</t>
        </is>
      </c>
      <c r="BC52" s="200" t="inlineStr">
        <is>
          <t>Apr</t>
        </is>
      </c>
      <c r="BD52" s="199" t="n">
        <v>2025</v>
      </c>
      <c r="BE52" s="199" t="n">
        <v>2025</v>
      </c>
    </row>
    <row r="53" ht="15" customHeight="1" s="104">
      <c r="A53" s="194" t="n">
        <v>45777</v>
      </c>
      <c r="B53" s="195" t="inlineStr">
        <is>
          <t>Amazon US</t>
        </is>
      </c>
      <c r="C53" s="195" t="inlineStr">
        <is>
          <t>Sales</t>
        </is>
      </c>
      <c r="D53" s="195" t="inlineStr">
        <is>
          <t>Sponsored Display (same day)</t>
        </is>
      </c>
      <c r="E53" s="198" t="n">
        <v>0</v>
      </c>
      <c r="F53" s="198" t="n">
        <v>0</v>
      </c>
      <c r="BA53" s="201" t="n">
        <v>0</v>
      </c>
      <c r="BB53" s="200" t="inlineStr">
        <is>
          <t>APRIL 1 - APRIL 30, 2025</t>
        </is>
      </c>
      <c r="BC53" s="200" t="inlineStr">
        <is>
          <t>Apr</t>
        </is>
      </c>
      <c r="BD53" s="199" t="n">
        <v>2025</v>
      </c>
      <c r="BE53" s="199" t="n">
        <v>2025</v>
      </c>
    </row>
    <row r="54" ht="15" customHeight="1" s="104">
      <c r="A54" s="194" t="n">
        <v>45777</v>
      </c>
      <c r="B54" s="195" t="inlineStr">
        <is>
          <t>Amazon CA</t>
        </is>
      </c>
      <c r="C54" s="195" t="inlineStr">
        <is>
          <t>Sales</t>
        </is>
      </c>
      <c r="D54" s="195" t="inlineStr">
        <is>
          <t>Organic</t>
        </is>
      </c>
      <c r="E54" s="196" t="n">
        <v>3190.54</v>
      </c>
      <c r="F54" s="197" t="n">
        <v>0.7314598292</v>
      </c>
      <c r="G54" s="196" t="n">
        <v>82</v>
      </c>
      <c r="J54" s="198" t="n">
        <v>0</v>
      </c>
      <c r="K54" s="196" t="n">
        <v>874.1799999999999</v>
      </c>
      <c r="L54" s="196" t="n">
        <v>874.1799999999999</v>
      </c>
      <c r="M54" s="197" t="n">
        <v>0.1386</v>
      </c>
      <c r="N54" s="197" t="n">
        <v>0.122</v>
      </c>
      <c r="O54" s="197" t="n">
        <v>0.3846</v>
      </c>
      <c r="P54" s="197" t="n">
        <v>0.2004</v>
      </c>
      <c r="Q54" s="197" t="n">
        <v>0.7106</v>
      </c>
      <c r="BA54" s="199" t="n">
        <v>3108.54</v>
      </c>
      <c r="BB54" s="200" t="inlineStr">
        <is>
          <t>APRIL 1 - APRIL 30, 2025</t>
        </is>
      </c>
      <c r="BC54" s="200" t="inlineStr">
        <is>
          <t>Apr</t>
        </is>
      </c>
      <c r="BD54" s="199" t="n">
        <v>2025</v>
      </c>
      <c r="BE54" s="199" t="n">
        <v>2025</v>
      </c>
    </row>
    <row r="55" ht="15" customHeight="1" s="104">
      <c r="A55" s="194" t="n">
        <v>45777</v>
      </c>
      <c r="B55" s="195" t="inlineStr">
        <is>
          <t>Amazon CA</t>
        </is>
      </c>
      <c r="C55" s="195" t="inlineStr">
        <is>
          <t>Sales</t>
        </is>
      </c>
      <c r="D55" s="195" t="inlineStr">
        <is>
          <t>Sponsored Products (same day)</t>
        </is>
      </c>
      <c r="E55" s="196" t="n">
        <v>1171.34</v>
      </c>
      <c r="F55" s="197" t="n">
        <v>0.2685401708</v>
      </c>
      <c r="BA55" s="199" t="n">
        <v>1171.34</v>
      </c>
      <c r="BB55" s="200" t="inlineStr">
        <is>
          <t>APRIL 1 - APRIL 30, 2025</t>
        </is>
      </c>
      <c r="BC55" s="200" t="inlineStr">
        <is>
          <t>Apr</t>
        </is>
      </c>
      <c r="BD55" s="199" t="n">
        <v>2025</v>
      </c>
      <c r="BE55" s="199" t="n">
        <v>2025</v>
      </c>
    </row>
    <row r="56" ht="15" customHeight="1" s="104">
      <c r="A56" s="194" t="n">
        <v>45777</v>
      </c>
      <c r="B56" s="195" t="inlineStr">
        <is>
          <t>Amazon CA</t>
        </is>
      </c>
      <c r="C56" s="195" t="inlineStr">
        <is>
          <t>Sales</t>
        </is>
      </c>
      <c r="D56" s="195" t="inlineStr">
        <is>
          <t>Sponsored Display (same day)</t>
        </is>
      </c>
      <c r="E56" s="198" t="n">
        <v>0</v>
      </c>
      <c r="F56" s="198" t="n">
        <v>0</v>
      </c>
      <c r="BA56" s="201" t="n">
        <v>0</v>
      </c>
      <c r="BB56" s="200" t="inlineStr">
        <is>
          <t>APRIL 1 - APRIL 30, 2025</t>
        </is>
      </c>
      <c r="BC56" s="200" t="inlineStr">
        <is>
          <t>Apr</t>
        </is>
      </c>
      <c r="BD56" s="199" t="n">
        <v>2025</v>
      </c>
      <c r="BE56" s="199" t="n">
        <v>2025</v>
      </c>
    </row>
    <row r="57" ht="15" customHeight="1" s="104">
      <c r="A57" s="194" t="n">
        <v>45777</v>
      </c>
      <c r="B57" s="195" t="inlineStr">
        <is>
          <t>Tiktok</t>
        </is>
      </c>
      <c r="C57" s="195" t="inlineStr">
        <is>
          <t>Net Sales</t>
        </is>
      </c>
      <c r="D57" s="195" t="inlineStr">
        <is>
          <t>Gross sales</t>
        </is>
      </c>
      <c r="E57" s="196" t="n">
        <v>6487.46</v>
      </c>
      <c r="F57" s="196" t="n">
        <v>1.110900678</v>
      </c>
      <c r="G57" s="196" t="n">
        <v>178</v>
      </c>
      <c r="J57" s="198" t="n">
        <v>0</v>
      </c>
      <c r="K57" s="196" t="n">
        <v>6487.46</v>
      </c>
      <c r="L57" s="196" t="n">
        <v>1283.52</v>
      </c>
      <c r="M57" s="197" t="n">
        <v>0.1435</v>
      </c>
      <c r="N57" s="197" t="n">
        <v>0.0848</v>
      </c>
      <c r="R57" s="196" t="n">
        <v>5839.82</v>
      </c>
      <c r="S57" s="196" t="n">
        <v>-54.23</v>
      </c>
      <c r="U57" s="196" t="n">
        <v>-1164.39</v>
      </c>
      <c r="V57" s="196" t="n">
        <v>-56.84</v>
      </c>
      <c r="W57" s="196" t="n">
        <v>-350.18</v>
      </c>
      <c r="X57" s="196" t="n">
        <v>-595.09</v>
      </c>
      <c r="Y57" s="196" t="n">
        <v>21.71</v>
      </c>
      <c r="Z57" s="196" t="n">
        <v>-2021.46</v>
      </c>
      <c r="AA57" s="196" t="n">
        <v>-335.82</v>
      </c>
      <c r="AB57" s="196" t="n">
        <v>1283.52</v>
      </c>
      <c r="AC57" s="197" t="n">
        <v>0.2197875962</v>
      </c>
      <c r="BA57" s="199" t="n">
        <v>6309.46</v>
      </c>
      <c r="BB57" s="200" t="inlineStr">
        <is>
          <t>APRIL 1 - APRIL 30, 2025</t>
        </is>
      </c>
      <c r="BC57" s="200" t="inlineStr">
        <is>
          <t>Apr</t>
        </is>
      </c>
      <c r="BD57" s="199" t="n">
        <v>2025</v>
      </c>
      <c r="BE57" s="199" t="n">
        <v>2025</v>
      </c>
    </row>
    <row r="58" ht="15" customHeight="1" s="104">
      <c r="A58" s="194" t="n">
        <v>45777</v>
      </c>
      <c r="B58" s="195" t="inlineStr">
        <is>
          <t>Tiktok</t>
        </is>
      </c>
      <c r="C58" s="195" t="inlineStr">
        <is>
          <t>Net Sales</t>
        </is>
      </c>
      <c r="D58" s="195" t="inlineStr">
        <is>
          <t>Gross sales refund</t>
        </is>
      </c>
      <c r="E58" s="196" t="n">
        <v>-549.85</v>
      </c>
      <c r="F58" s="197" t="n">
        <v>-0.09415529931</v>
      </c>
      <c r="BA58" s="199" t="n">
        <v>-549.85</v>
      </c>
      <c r="BB58" s="200" t="inlineStr">
        <is>
          <t>APRIL 1 - APRIL 30, 2025</t>
        </is>
      </c>
      <c r="BC58" s="200" t="inlineStr">
        <is>
          <t>Apr</t>
        </is>
      </c>
      <c r="BD58" s="199" t="n">
        <v>2025</v>
      </c>
      <c r="BE58" s="199" t="n">
        <v>2025</v>
      </c>
    </row>
    <row r="59" ht="15" customHeight="1" s="104">
      <c r="A59" s="194" t="n">
        <v>45777</v>
      </c>
      <c r="B59" s="195" t="inlineStr">
        <is>
          <t>Tiktok</t>
        </is>
      </c>
      <c r="C59" s="195" t="inlineStr">
        <is>
          <t>Net Sales</t>
        </is>
      </c>
      <c r="D59" s="195" t="inlineStr">
        <is>
          <t>Seller discount</t>
        </is>
      </c>
      <c r="E59" s="196" t="n">
        <v>-101.79</v>
      </c>
      <c r="F59" s="197" t="n">
        <v>-0.01743033176</v>
      </c>
      <c r="BA59" s="199" t="n">
        <v>-101.79</v>
      </c>
      <c r="BB59" s="200" t="inlineStr">
        <is>
          <t>APRIL 1 - APRIL 30, 2025</t>
        </is>
      </c>
      <c r="BC59" s="200" t="inlineStr">
        <is>
          <t>Apr</t>
        </is>
      </c>
      <c r="BD59" s="199" t="n">
        <v>2025</v>
      </c>
      <c r="BE59" s="199" t="n">
        <v>2025</v>
      </c>
    </row>
    <row r="60" ht="15" customHeight="1" s="104">
      <c r="A60" s="194" t="n">
        <v>45777</v>
      </c>
      <c r="B60" s="195" t="inlineStr">
        <is>
          <t>Tiktok</t>
        </is>
      </c>
      <c r="C60" s="195" t="inlineStr">
        <is>
          <t>Net Sales</t>
        </is>
      </c>
      <c r="D60" s="195" t="inlineStr">
        <is>
          <t>Seller discount refund</t>
        </is>
      </c>
      <c r="E60" s="196" t="n">
        <v>4</v>
      </c>
      <c r="F60" s="197" t="n">
        <v>0.0006849526184</v>
      </c>
      <c r="BA60" s="199" t="n">
        <v>4</v>
      </c>
      <c r="BB60" s="200" t="inlineStr">
        <is>
          <t>APRIL 1 - APRIL 30, 2025</t>
        </is>
      </c>
      <c r="BC60" s="200" t="inlineStr">
        <is>
          <t>Apr</t>
        </is>
      </c>
      <c r="BD60" s="199" t="n">
        <v>2025</v>
      </c>
      <c r="BE60" s="199" t="n">
        <v>2025</v>
      </c>
    </row>
    <row r="61" ht="15" customHeight="1" s="104">
      <c r="A61" s="194" t="n">
        <v>45777</v>
      </c>
      <c r="B61" s="195" t="inlineStr">
        <is>
          <t>Shopify</t>
        </is>
      </c>
      <c r="C61" s="195" t="inlineStr">
        <is>
          <t>Sales</t>
        </is>
      </c>
      <c r="D61" s="195" t="inlineStr">
        <is>
          <t>Gross sales</t>
        </is>
      </c>
      <c r="E61" s="196" t="n">
        <v>13569.74</v>
      </c>
      <c r="F61" s="196" t="n">
        <v>1.006867159</v>
      </c>
      <c r="G61" s="196" t="n">
        <v>326</v>
      </c>
      <c r="J61" s="198" t="n">
        <v>0</v>
      </c>
      <c r="M61" s="197" t="n">
        <v>0.1645</v>
      </c>
      <c r="N61" s="198" t="n">
        <v>0</v>
      </c>
      <c r="O61" s="198" t="n">
        <v>0</v>
      </c>
      <c r="P61" s="197" t="n">
        <v>0.4539</v>
      </c>
      <c r="Q61" s="198" t="n">
        <v>0</v>
      </c>
      <c r="AD61" s="196" t="n">
        <v>-2217.12</v>
      </c>
      <c r="AE61" s="198" t="n">
        <v>0</v>
      </c>
      <c r="AF61" s="196" t="n">
        <v>-3655.5</v>
      </c>
      <c r="AH61" s="196" t="n">
        <v>-446.53</v>
      </c>
      <c r="AI61" s="196" t="n">
        <v>-4530.05</v>
      </c>
      <c r="AJ61" s="196" t="n">
        <v>-40.91</v>
      </c>
      <c r="AL61" s="196" t="n">
        <v>2587.08</v>
      </c>
      <c r="AM61" s="197" t="n">
        <v>-0.1645</v>
      </c>
      <c r="AN61" s="198" t="n">
        <v>0</v>
      </c>
      <c r="AO61" s="197" t="n">
        <v>0.1919598967</v>
      </c>
      <c r="BA61" s="199" t="n">
        <v>13243.74</v>
      </c>
      <c r="BB61" s="200" t="inlineStr">
        <is>
          <t>APRIL 1 - APRIL 30, 2025</t>
        </is>
      </c>
      <c r="BC61" s="200" t="inlineStr">
        <is>
          <t>Apr</t>
        </is>
      </c>
      <c r="BD61" s="199" t="n">
        <v>2025</v>
      </c>
      <c r="BE61" s="199" t="n">
        <v>2025</v>
      </c>
    </row>
    <row r="62" ht="15" customHeight="1" s="104">
      <c r="A62" s="194" t="n">
        <v>45777</v>
      </c>
      <c r="B62" s="195" t="inlineStr">
        <is>
          <t>Shopify</t>
        </is>
      </c>
      <c r="C62" s="195" t="inlineStr">
        <is>
          <t>Sales</t>
        </is>
      </c>
      <c r="D62" s="195" t="inlineStr">
        <is>
          <t>Promo</t>
        </is>
      </c>
      <c r="E62" s="196" t="n">
        <v>-259.74</v>
      </c>
      <c r="F62" s="197" t="n">
        <v>-0.01927256349</v>
      </c>
      <c r="BA62" s="199" t="n">
        <v>-259.74</v>
      </c>
      <c r="BB62" s="200" t="inlineStr">
        <is>
          <t>APRIL 1 - APRIL 30, 2025</t>
        </is>
      </c>
      <c r="BC62" s="200" t="inlineStr">
        <is>
          <t>Apr</t>
        </is>
      </c>
      <c r="BD62" s="199" t="n">
        <v>2025</v>
      </c>
      <c r="BE62" s="199" t="n">
        <v>2025</v>
      </c>
    </row>
    <row r="63" ht="15" customHeight="1" s="104">
      <c r="A63" s="194" t="n">
        <v>45777</v>
      </c>
      <c r="B63" s="195" t="inlineStr">
        <is>
          <t>Shopify</t>
        </is>
      </c>
      <c r="C63" s="195" t="inlineStr">
        <is>
          <t>Sales</t>
        </is>
      </c>
      <c r="D63" s="195" t="inlineStr">
        <is>
          <t>Shipping</t>
        </is>
      </c>
      <c r="E63" s="196" t="n">
        <v>126.28</v>
      </c>
      <c r="F63" s="197" t="n">
        <v>0.009369905744</v>
      </c>
      <c r="BA63" s="199" t="n">
        <v>126.28</v>
      </c>
      <c r="BB63" s="200" t="inlineStr">
        <is>
          <t>APRIL 1 - APRIL 30, 2025</t>
        </is>
      </c>
      <c r="BC63" s="200" t="inlineStr">
        <is>
          <t>Apr</t>
        </is>
      </c>
      <c r="BD63" s="199" t="n">
        <v>2025</v>
      </c>
      <c r="BE63" s="199" t="n">
        <v>2025</v>
      </c>
    </row>
    <row r="64" ht="15" customHeight="1" s="104">
      <c r="A64" s="194" t="n">
        <v>45777</v>
      </c>
      <c r="B64" s="195" t="inlineStr">
        <is>
          <t>Shopify</t>
        </is>
      </c>
      <c r="C64" s="195" t="inlineStr">
        <is>
          <t>Sales</t>
        </is>
      </c>
      <c r="D64" s="195" t="inlineStr">
        <is>
          <t>Sales tax</t>
        </is>
      </c>
      <c r="E64" s="196" t="n">
        <v>40.91</v>
      </c>
      <c r="F64" s="197" t="n">
        <v>0.00303549924</v>
      </c>
      <c r="BA64" s="199" t="n">
        <v>40.91</v>
      </c>
      <c r="BB64" s="200" t="inlineStr">
        <is>
          <t>APRIL 1 - APRIL 30, 2025</t>
        </is>
      </c>
      <c r="BC64" s="200" t="inlineStr">
        <is>
          <t>Apr</t>
        </is>
      </c>
      <c r="BD64" s="199" t="n">
        <v>2025</v>
      </c>
      <c r="BE64" s="199" t="n">
        <v>2025</v>
      </c>
    </row>
    <row r="65" ht="15" customHeight="1" s="104">
      <c r="A65" s="194" t="n">
        <v>45777</v>
      </c>
      <c r="B65" s="195" t="inlineStr">
        <is>
          <t>Walmart</t>
        </is>
      </c>
      <c r="C65" s="195" t="inlineStr">
        <is>
          <t>Sales</t>
        </is>
      </c>
      <c r="D65" s="195" t="inlineStr">
        <is>
          <t>Gross sales</t>
        </is>
      </c>
      <c r="E65" s="196" t="n">
        <v>1272.73</v>
      </c>
      <c r="F65" s="196" t="n">
        <v>1.136609631</v>
      </c>
      <c r="G65" s="196" t="n">
        <v>75</v>
      </c>
      <c r="J65" s="198" t="n">
        <v>0</v>
      </c>
      <c r="K65" s="196" t="n">
        <v>1119.76</v>
      </c>
      <c r="M65" s="197" t="n">
        <v>0.2035</v>
      </c>
      <c r="N65" s="197" t="n">
        <v>0.1428</v>
      </c>
      <c r="P65" s="197" t="n">
        <v>-0.2041151675</v>
      </c>
      <c r="AQ65" s="196" t="n">
        <v>-227.82</v>
      </c>
      <c r="AR65" s="196" t="n">
        <v>-472.99</v>
      </c>
      <c r="AU65" s="196" t="n">
        <v>-184.95</v>
      </c>
      <c r="AV65" s="196" t="n">
        <v>-48.99</v>
      </c>
      <c r="AW65" s="197" t="n">
        <v>-0.75</v>
      </c>
      <c r="AX65" s="196" t="n">
        <v>-412.82</v>
      </c>
      <c r="AY65" s="196" t="n">
        <v>-228.56</v>
      </c>
      <c r="AZ65" s="199" t="n">
        <v>1119.76</v>
      </c>
      <c r="BA65" s="199" t="n">
        <v>1197.73</v>
      </c>
      <c r="BB65" s="200" t="inlineStr">
        <is>
          <t>APRIL 1 - APRIL 30, 2025</t>
        </is>
      </c>
      <c r="BC65" s="200" t="inlineStr">
        <is>
          <t>Apr</t>
        </is>
      </c>
      <c r="BD65" s="199" t="n">
        <v>2025</v>
      </c>
      <c r="BE65" s="199" t="n">
        <v>2025</v>
      </c>
    </row>
    <row r="66" ht="15" customHeight="1" s="104">
      <c r="A66" s="194" t="n">
        <v>45777</v>
      </c>
      <c r="B66" s="195" t="inlineStr">
        <is>
          <t>Walmart</t>
        </is>
      </c>
      <c r="C66" s="195" t="inlineStr">
        <is>
          <t>Sales</t>
        </is>
      </c>
      <c r="D66" s="195" t="inlineStr">
        <is>
          <t>Gross sales refund</t>
        </is>
      </c>
      <c r="E66" s="196" t="n">
        <v>-159.96</v>
      </c>
      <c r="F66" s="197" t="n">
        <v>-0.1428520397</v>
      </c>
      <c r="BA66" s="199" t="n">
        <v>-159.96</v>
      </c>
      <c r="BB66" s="200" t="inlineStr">
        <is>
          <t>APRIL 1 - APRIL 30, 2025</t>
        </is>
      </c>
      <c r="BC66" s="200" t="inlineStr">
        <is>
          <t>Apr</t>
        </is>
      </c>
      <c r="BD66" s="199" t="n">
        <v>2025</v>
      </c>
      <c r="BE66" s="199" t="n">
        <v>2025</v>
      </c>
    </row>
    <row r="67" ht="15" customHeight="1" s="104">
      <c r="A67" s="194" t="n">
        <v>45777</v>
      </c>
      <c r="B67" s="195" t="inlineStr">
        <is>
          <t>Walmart</t>
        </is>
      </c>
      <c r="C67" s="195" t="inlineStr">
        <is>
          <t>Sales</t>
        </is>
      </c>
      <c r="D67" s="195" t="inlineStr">
        <is>
          <t>Shipping</t>
        </is>
      </c>
      <c r="E67" s="196" t="n">
        <v>6.99</v>
      </c>
      <c r="F67" s="197" t="n">
        <v>0.006242409088</v>
      </c>
      <c r="BA67" s="199" t="n">
        <v>6.99</v>
      </c>
      <c r="BB67" s="200" t="inlineStr">
        <is>
          <t>APRIL 1 - APRIL 30, 2025</t>
        </is>
      </c>
      <c r="BC67" s="200" t="inlineStr">
        <is>
          <t>Apr</t>
        </is>
      </c>
      <c r="BD67" s="199" t="n">
        <v>2025</v>
      </c>
      <c r="BE67" s="199" t="n">
        <v>2025</v>
      </c>
    </row>
    <row r="68" ht="15" customHeight="1" s="104">
      <c r="A68" s="194" t="n">
        <v>45808</v>
      </c>
      <c r="B68" s="195" t="inlineStr">
        <is>
          <t>Amazon US</t>
        </is>
      </c>
      <c r="C68" s="195" t="inlineStr">
        <is>
          <t>Sales</t>
        </is>
      </c>
      <c r="D68" s="195" t="inlineStr">
        <is>
          <t>Organic</t>
        </is>
      </c>
      <c r="E68" s="196" t="n">
        <v>79664.89</v>
      </c>
      <c r="F68" s="197" t="n">
        <v>0.7851530812</v>
      </c>
      <c r="G68" s="196" t="n">
        <v>2046</v>
      </c>
      <c r="J68" s="198" t="n">
        <v>0</v>
      </c>
      <c r="K68" s="196" t="n">
        <v>21634.96</v>
      </c>
      <c r="L68" s="196" t="n">
        <v>21634.96</v>
      </c>
      <c r="M68" s="197" t="n">
        <v>0.0708</v>
      </c>
      <c r="N68" s="197" t="n">
        <v>0.1095</v>
      </c>
      <c r="O68" s="197" t="n">
        <v>0.4872</v>
      </c>
      <c r="P68" s="197" t="n">
        <v>0.2132</v>
      </c>
      <c r="Q68" s="197" t="n">
        <v>0.7586000000000001</v>
      </c>
      <c r="BA68" s="199" t="n">
        <v>77618.89</v>
      </c>
      <c r="BC68" s="200" t="inlineStr">
        <is>
          <t>May</t>
        </is>
      </c>
      <c r="BD68" s="199" t="n">
        <v>2025</v>
      </c>
      <c r="BE68" s="199" t="n">
        <v>2025</v>
      </c>
    </row>
    <row r="69" ht="15" customHeight="1" s="104">
      <c r="A69" s="194" t="n">
        <v>45808</v>
      </c>
      <c r="B69" s="195" t="inlineStr">
        <is>
          <t>Amazon US</t>
        </is>
      </c>
      <c r="C69" s="195" t="inlineStr">
        <is>
          <t>Sales</t>
        </is>
      </c>
      <c r="D69" s="195" t="inlineStr">
        <is>
          <t>Sponsored Products (same day)</t>
        </is>
      </c>
      <c r="E69" s="196" t="n">
        <v>21799.26</v>
      </c>
      <c r="F69" s="197" t="n">
        <v>0.2148469188</v>
      </c>
      <c r="BA69" s="199" t="n">
        <v>21799.26</v>
      </c>
      <c r="BC69" s="200" t="inlineStr">
        <is>
          <t>May</t>
        </is>
      </c>
      <c r="BD69" s="199" t="n">
        <v>2025</v>
      </c>
      <c r="BE69" s="199" t="n">
        <v>2025</v>
      </c>
    </row>
    <row r="70" ht="15" customHeight="1" s="104">
      <c r="A70" s="194" t="n">
        <v>45808</v>
      </c>
      <c r="B70" s="195" t="inlineStr">
        <is>
          <t>Amazon US</t>
        </is>
      </c>
      <c r="C70" s="195" t="inlineStr">
        <is>
          <t>Sales</t>
        </is>
      </c>
      <c r="D70" s="195" t="inlineStr">
        <is>
          <t>Sponsored Display (same day)</t>
        </is>
      </c>
      <c r="E70" s="198" t="n">
        <v>0</v>
      </c>
      <c r="F70" s="198" t="n">
        <v>0</v>
      </c>
      <c r="BA70" s="201" t="n">
        <v>0</v>
      </c>
      <c r="BC70" s="200" t="inlineStr">
        <is>
          <t>May</t>
        </is>
      </c>
      <c r="BD70" s="199" t="n">
        <v>2025</v>
      </c>
      <c r="BE70" s="199" t="n">
        <v>2025</v>
      </c>
    </row>
    <row r="71" ht="15" customHeight="1" s="104">
      <c r="A71" s="194" t="n">
        <v>45808</v>
      </c>
      <c r="B71" s="195" t="inlineStr">
        <is>
          <t>Amazon CA</t>
        </is>
      </c>
      <c r="C71" s="195" t="inlineStr">
        <is>
          <t>Sales</t>
        </is>
      </c>
      <c r="D71" s="195" t="inlineStr">
        <is>
          <t>Organic</t>
        </is>
      </c>
      <c r="E71" s="196" t="n">
        <v>2460.24</v>
      </c>
      <c r="F71" s="197" t="n">
        <v>0.5826390501000001</v>
      </c>
      <c r="G71" s="196" t="n">
        <v>72</v>
      </c>
      <c r="J71" s="198" t="n">
        <v>0</v>
      </c>
      <c r="K71" s="196" t="n">
        <v>724.39</v>
      </c>
      <c r="L71" s="196" t="n">
        <v>724.39</v>
      </c>
      <c r="M71" s="197" t="n">
        <v>0.1809</v>
      </c>
      <c r="N71" s="197" t="n">
        <v>0.0833</v>
      </c>
      <c r="O71" s="197" t="n">
        <v>0.2</v>
      </c>
      <c r="P71" s="197" t="n">
        <v>0.1716</v>
      </c>
      <c r="Q71" s="197" t="n">
        <v>0.5813</v>
      </c>
      <c r="BA71" s="199" t="n">
        <v>2388.24</v>
      </c>
      <c r="BC71" s="200" t="inlineStr">
        <is>
          <t>May</t>
        </is>
      </c>
      <c r="BD71" s="199" t="n">
        <v>2025</v>
      </c>
      <c r="BE71" s="199" t="n">
        <v>2025</v>
      </c>
    </row>
    <row r="72" ht="15" customHeight="1" s="104">
      <c r="A72" s="194" t="n">
        <v>45808</v>
      </c>
      <c r="B72" s="195" t="inlineStr">
        <is>
          <t>Amazon CA</t>
        </is>
      </c>
      <c r="C72" s="195" t="inlineStr">
        <is>
          <t>Sales</t>
        </is>
      </c>
      <c r="D72" s="195" t="inlineStr">
        <is>
          <t>Sponsored Products (same day)</t>
        </is>
      </c>
      <c r="E72" s="196" t="n">
        <v>1762.34</v>
      </c>
      <c r="F72" s="197" t="n">
        <v>0.4173609499</v>
      </c>
      <c r="BA72" s="199" t="n">
        <v>1762.34</v>
      </c>
      <c r="BC72" s="200" t="inlineStr">
        <is>
          <t>May</t>
        </is>
      </c>
      <c r="BD72" s="199" t="n">
        <v>2025</v>
      </c>
      <c r="BE72" s="199" t="n">
        <v>2025</v>
      </c>
    </row>
    <row r="73" ht="15" customHeight="1" s="104">
      <c r="A73" s="194" t="n">
        <v>45808</v>
      </c>
      <c r="B73" s="195" t="inlineStr">
        <is>
          <t>Amazon CA</t>
        </is>
      </c>
      <c r="C73" s="195" t="inlineStr">
        <is>
          <t>Sales</t>
        </is>
      </c>
      <c r="D73" s="195" t="inlineStr">
        <is>
          <t>Sponsored Display (same day)</t>
        </is>
      </c>
      <c r="E73" s="198" t="n">
        <v>0</v>
      </c>
      <c r="F73" s="198" t="n">
        <v>0</v>
      </c>
      <c r="BA73" s="201" t="n">
        <v>0</v>
      </c>
      <c r="BC73" s="200" t="inlineStr">
        <is>
          <t>May</t>
        </is>
      </c>
      <c r="BD73" s="199" t="n">
        <v>2025</v>
      </c>
      <c r="BE73" s="199" t="n">
        <v>2025</v>
      </c>
    </row>
    <row r="74" ht="15" customHeight="1" s="104">
      <c r="A74" s="194" t="n">
        <v>45808</v>
      </c>
      <c r="B74" s="195" t="inlineStr">
        <is>
          <t>Shopify</t>
        </is>
      </c>
      <c r="C74" s="195" t="inlineStr">
        <is>
          <t>Sales</t>
        </is>
      </c>
      <c r="D74" s="195" t="inlineStr">
        <is>
          <t>Gross sales</t>
        </is>
      </c>
      <c r="E74" s="196" t="n">
        <v>2355.41</v>
      </c>
      <c r="F74" s="196" t="n">
        <v>1.008550851</v>
      </c>
      <c r="G74" s="196" t="n">
        <v>61</v>
      </c>
      <c r="J74" s="198" t="n">
        <v>0</v>
      </c>
      <c r="K74" s="196" t="n">
        <v>935.4400000000001</v>
      </c>
      <c r="L74" s="196" t="n">
        <v>935.4400000000001</v>
      </c>
      <c r="M74" s="197" t="n">
        <v>0.2404</v>
      </c>
      <c r="N74" s="197" t="n">
        <v>0.0289</v>
      </c>
      <c r="O74" s="196" t="n">
        <v>1</v>
      </c>
      <c r="P74" s="197" t="n">
        <v>0.4005</v>
      </c>
      <c r="Q74" s="198" t="n">
        <v>0</v>
      </c>
      <c r="AD74" s="196" t="n">
        <v>-566.1900000000001</v>
      </c>
      <c r="AE74" s="198" t="n">
        <v>0</v>
      </c>
      <c r="AF74" s="196" t="n">
        <v>-439.14</v>
      </c>
      <c r="AH74" s="196" t="n">
        <v>-47.52</v>
      </c>
      <c r="AI74" s="196" t="n">
        <v>-722.92</v>
      </c>
      <c r="AJ74" s="196" t="n">
        <v>-22.59</v>
      </c>
      <c r="AK74" s="196" t="n">
        <v>935.4400000000001</v>
      </c>
      <c r="AL74" s="196" t="n">
        <v>605.0599999999999</v>
      </c>
      <c r="AM74" s="197" t="n">
        <v>0.2424</v>
      </c>
      <c r="AO74" s="197" t="n">
        <v>0.2517495902</v>
      </c>
      <c r="BA74" s="199" t="n">
        <v>2294.41</v>
      </c>
      <c r="BC74" s="200" t="inlineStr">
        <is>
          <t>May</t>
        </is>
      </c>
      <c r="BD74" s="199" t="n">
        <v>2025</v>
      </c>
      <c r="BE74" s="199" t="n">
        <v>2025</v>
      </c>
    </row>
    <row r="75" ht="15" customHeight="1" s="104">
      <c r="A75" s="194" t="n">
        <v>45808</v>
      </c>
      <c r="B75" s="195" t="inlineStr">
        <is>
          <t>Shopify</t>
        </is>
      </c>
      <c r="C75" s="195" t="inlineStr">
        <is>
          <t>Sales</t>
        </is>
      </c>
      <c r="D75" s="195" t="inlineStr">
        <is>
          <t>Promo</t>
        </is>
      </c>
      <c r="E75" s="196" t="n">
        <v>-17</v>
      </c>
      <c r="F75" s="197" t="n">
        <v>-0.00727914226</v>
      </c>
      <c r="BA75" s="199" t="n">
        <v>-17</v>
      </c>
      <c r="BC75" s="200" t="inlineStr">
        <is>
          <t>May</t>
        </is>
      </c>
      <c r="BD75" s="199" t="n">
        <v>2025</v>
      </c>
      <c r="BE75" s="199" t="n">
        <v>2025</v>
      </c>
    </row>
    <row r="76" ht="15" customHeight="1" s="104">
      <c r="A76" s="194" t="n">
        <v>45808</v>
      </c>
      <c r="B76" s="195" t="inlineStr">
        <is>
          <t>Shopify</t>
        </is>
      </c>
      <c r="C76" s="195" t="inlineStr">
        <is>
          <t>Sales</t>
        </is>
      </c>
      <c r="D76" s="195" t="inlineStr">
        <is>
          <t>Shipping</t>
        </is>
      </c>
      <c r="E76" s="196" t="n">
        <v>42.42</v>
      </c>
      <c r="F76" s="197" t="n">
        <v>0.01816360086</v>
      </c>
      <c r="BA76" s="199" t="n">
        <v>42.42</v>
      </c>
      <c r="BC76" s="200" t="inlineStr">
        <is>
          <t>May</t>
        </is>
      </c>
      <c r="BD76" s="199" t="n">
        <v>2025</v>
      </c>
      <c r="BE76" s="199" t="n">
        <v>2025</v>
      </c>
    </row>
    <row r="77" ht="15" customHeight="1" s="104">
      <c r="A77" s="194" t="n">
        <v>45808</v>
      </c>
      <c r="B77" s="195" t="inlineStr">
        <is>
          <t>Shopify</t>
        </is>
      </c>
      <c r="C77" s="195" t="inlineStr">
        <is>
          <t>Sales</t>
        </is>
      </c>
      <c r="D77" s="195" t="inlineStr">
        <is>
          <t>Sales tax</t>
        </is>
      </c>
      <c r="E77" s="196" t="n">
        <v>22.59</v>
      </c>
      <c r="F77" s="197" t="n">
        <v>0.009672695509</v>
      </c>
      <c r="BA77" s="199" t="n">
        <v>22.59</v>
      </c>
      <c r="BC77" s="200" t="inlineStr">
        <is>
          <t>May</t>
        </is>
      </c>
      <c r="BD77" s="199" t="n">
        <v>2025</v>
      </c>
      <c r="BE77" s="199" t="n">
        <v>2025</v>
      </c>
    </row>
    <row r="78" ht="15" customHeight="1" s="104">
      <c r="A78" s="194" t="n">
        <v>45808</v>
      </c>
      <c r="B78" s="195" t="inlineStr">
        <is>
          <t>Shopify</t>
        </is>
      </c>
      <c r="C78" s="195" t="inlineStr">
        <is>
          <t>Sales</t>
        </is>
      </c>
      <c r="D78" s="195" t="inlineStr">
        <is>
          <t>Refunded amount</t>
        </is>
      </c>
      <c r="E78" s="196" t="n">
        <v>-67.98</v>
      </c>
      <c r="F78" s="197" t="n">
        <v>-0.02910800534</v>
      </c>
      <c r="BA78" s="199" t="n">
        <v>-67.98</v>
      </c>
    </row>
    <row r="79" ht="15" customHeight="1" s="104">
      <c r="A79" s="194" t="n">
        <v>45808</v>
      </c>
      <c r="B79" s="195" t="inlineStr">
        <is>
          <t>Tiktok</t>
        </is>
      </c>
      <c r="C79" s="195" t="inlineStr">
        <is>
          <t>Net Sales</t>
        </is>
      </c>
      <c r="D79" s="195" t="inlineStr">
        <is>
          <t>Gross sales</t>
        </is>
      </c>
      <c r="E79" s="196" t="n">
        <v>4138.92</v>
      </c>
      <c r="F79" s="196" t="n">
        <v>1.0681139</v>
      </c>
      <c r="G79" s="196" t="n">
        <v>115</v>
      </c>
      <c r="J79" s="198" t="n">
        <v>0</v>
      </c>
      <c r="K79" s="196" t="n">
        <v>4138.92</v>
      </c>
      <c r="L79" s="196" t="n">
        <v>-76601.72</v>
      </c>
      <c r="N79" s="197" t="n">
        <v>-0.0638</v>
      </c>
      <c r="R79" s="196" t="n">
        <v>3874.98</v>
      </c>
      <c r="S79" s="196" t="n">
        <v>-57.05</v>
      </c>
      <c r="U79" s="196" t="n">
        <v>-1446.15</v>
      </c>
      <c r="V79" s="196" t="n">
        <v>-52.36</v>
      </c>
      <c r="W79" s="196" t="n">
        <v>-232.56</v>
      </c>
      <c r="X79" s="196" t="n">
        <v>-338.1</v>
      </c>
      <c r="Y79" s="196" t="n">
        <v>-46.57</v>
      </c>
      <c r="Z79" s="196" t="n">
        <v>-1275.52</v>
      </c>
      <c r="AA79" s="196" t="n">
        <v>-207.79</v>
      </c>
      <c r="AB79" s="196" t="n">
        <v>218.88</v>
      </c>
      <c r="AC79" s="197" t="n">
        <v>0.05648545283</v>
      </c>
      <c r="BA79" s="199" t="n">
        <v>4023.92</v>
      </c>
      <c r="BC79" s="200" t="inlineStr">
        <is>
          <t>May</t>
        </is>
      </c>
      <c r="BD79" s="199" t="n">
        <v>2025</v>
      </c>
      <c r="BE79" s="199" t="n">
        <v>2025</v>
      </c>
    </row>
    <row r="80" ht="15" customHeight="1" s="104">
      <c r="A80" s="194" t="n">
        <v>45808</v>
      </c>
      <c r="B80" s="195" t="inlineStr">
        <is>
          <t>Tiktok</t>
        </is>
      </c>
      <c r="C80" s="195" t="inlineStr">
        <is>
          <t>Net Sales</t>
        </is>
      </c>
      <c r="D80" s="195" t="inlineStr">
        <is>
          <t>Gross sales refund</t>
        </is>
      </c>
      <c r="E80" s="196" t="n">
        <v>-263.94</v>
      </c>
      <c r="F80" s="197" t="n">
        <v>-0.06811389994</v>
      </c>
      <c r="BA80" s="199" t="n">
        <v>-263.94</v>
      </c>
      <c r="BC80" s="200" t="inlineStr">
        <is>
          <t>May</t>
        </is>
      </c>
      <c r="BD80" s="199" t="n">
        <v>2025</v>
      </c>
      <c r="BE80" s="199" t="n">
        <v>2025</v>
      </c>
    </row>
    <row r="81" ht="15" customHeight="1" s="104">
      <c r="A81" s="194" t="n">
        <v>45808</v>
      </c>
      <c r="B81" s="195" t="inlineStr">
        <is>
          <t>Tiktok</t>
        </is>
      </c>
      <c r="C81" s="195" t="inlineStr">
        <is>
          <t>Net Sales</t>
        </is>
      </c>
      <c r="D81" s="195" t="inlineStr">
        <is>
          <t>Seller discount</t>
        </is>
      </c>
      <c r="E81" s="198" t="n">
        <v>0</v>
      </c>
      <c r="F81" s="198" t="n">
        <v>0</v>
      </c>
      <c r="BA81" s="201" t="n">
        <v>0</v>
      </c>
      <c r="BC81" s="200" t="inlineStr">
        <is>
          <t>May</t>
        </is>
      </c>
      <c r="BD81" s="199" t="n">
        <v>2025</v>
      </c>
      <c r="BE81" s="199" t="n">
        <v>2025</v>
      </c>
    </row>
    <row r="82" ht="15" customHeight="1" s="104">
      <c r="A82" s="194" t="n">
        <v>45808</v>
      </c>
      <c r="B82" s="195" t="inlineStr">
        <is>
          <t>Tiktok</t>
        </is>
      </c>
      <c r="C82" s="195" t="inlineStr">
        <is>
          <t>Net Sales</t>
        </is>
      </c>
      <c r="D82" s="195" t="inlineStr">
        <is>
          <t>Seller discount refund</t>
        </is>
      </c>
      <c r="E82" s="198" t="n">
        <v>0</v>
      </c>
      <c r="F82" s="198" t="n">
        <v>0</v>
      </c>
      <c r="BA82" s="201" t="n">
        <v>0</v>
      </c>
      <c r="BC82" s="200" t="inlineStr">
        <is>
          <t>May</t>
        </is>
      </c>
      <c r="BD82" s="199" t="n">
        <v>2025</v>
      </c>
      <c r="BE82" s="199" t="n">
        <v>2025</v>
      </c>
    </row>
    <row r="83" ht="15" customHeight="1" s="104">
      <c r="A83" s="194" t="n">
        <v>45808</v>
      </c>
      <c r="B83" s="195" t="inlineStr">
        <is>
          <t>Walmart</t>
        </is>
      </c>
      <c r="C83" s="195" t="inlineStr">
        <is>
          <t>Sales</t>
        </is>
      </c>
      <c r="D83" s="195" t="inlineStr">
        <is>
          <t>Gross sales</t>
        </is>
      </c>
      <c r="E83" s="196" t="n">
        <v>1707.59</v>
      </c>
      <c r="F83" s="196" t="n">
        <v>1.151132533</v>
      </c>
      <c r="G83" s="196" t="n">
        <v>99</v>
      </c>
      <c r="J83" s="198" t="n">
        <v>0</v>
      </c>
      <c r="K83" s="196" t="n">
        <v>1483.4</v>
      </c>
      <c r="M83" s="197" t="n">
        <v>0.098</v>
      </c>
      <c r="N83" s="197" t="n">
        <v>0.12</v>
      </c>
      <c r="P83" s="197" t="n">
        <v>0.05341782392</v>
      </c>
      <c r="AQ83" s="196" t="n">
        <v>-216.53</v>
      </c>
      <c r="AR83" s="196" t="n">
        <v>-275.05</v>
      </c>
      <c r="AU83" s="196" t="n">
        <v>-225.06</v>
      </c>
      <c r="AV83" s="196" t="n">
        <v>-184.79</v>
      </c>
      <c r="AW83" s="196" t="n">
        <v>-20.18</v>
      </c>
      <c r="AX83" s="196" t="n">
        <v>-482.55</v>
      </c>
      <c r="AY83" s="196" t="n">
        <v>79.23999999999999</v>
      </c>
      <c r="AZ83" s="199" t="n">
        <v>1483.4</v>
      </c>
      <c r="BA83" s="199" t="n">
        <v>1608.59</v>
      </c>
      <c r="BC83" s="200" t="inlineStr">
        <is>
          <t>May</t>
        </is>
      </c>
      <c r="BD83" s="199" t="n">
        <v>2025</v>
      </c>
      <c r="BE83" s="199" t="n">
        <v>2025</v>
      </c>
    </row>
    <row r="84" ht="15" customHeight="1" s="104">
      <c r="A84" s="194" t="n">
        <v>45808</v>
      </c>
      <c r="B84" s="195" t="inlineStr">
        <is>
          <t>Walmart</t>
        </is>
      </c>
      <c r="C84" s="195" t="inlineStr">
        <is>
          <t>Sales</t>
        </is>
      </c>
      <c r="D84" s="195" t="inlineStr">
        <is>
          <t>Gross sales refund</t>
        </is>
      </c>
      <c r="E84" s="196" t="n">
        <v>-204.96</v>
      </c>
      <c r="F84" s="197" t="n">
        <v>-0.1381690711</v>
      </c>
      <c r="BA84" s="199" t="n">
        <v>-204.96</v>
      </c>
      <c r="BC84" s="200" t="inlineStr">
        <is>
          <t>May</t>
        </is>
      </c>
      <c r="BD84" s="199" t="n">
        <v>2025</v>
      </c>
      <c r="BE84" s="199" t="n">
        <v>2025</v>
      </c>
    </row>
    <row r="85" ht="15" customHeight="1" s="104">
      <c r="A85" s="194" t="n">
        <v>45808</v>
      </c>
      <c r="B85" s="195" t="inlineStr">
        <is>
          <t>Walmart</t>
        </is>
      </c>
      <c r="C85" s="195" t="inlineStr">
        <is>
          <t>Sales</t>
        </is>
      </c>
      <c r="D85" s="195" t="inlineStr">
        <is>
          <t>Shipping</t>
        </is>
      </c>
      <c r="E85" s="196" t="n">
        <v>6.99</v>
      </c>
      <c r="F85" s="197" t="n">
        <v>0.004712147769</v>
      </c>
      <c r="BA85" s="199" t="n">
        <v>6.99</v>
      </c>
      <c r="BC85" s="200" t="inlineStr">
        <is>
          <t>May</t>
        </is>
      </c>
      <c r="BD85" s="199" t="n">
        <v>2025</v>
      </c>
      <c r="BE85" s="199" t="n">
        <v>2025</v>
      </c>
    </row>
    <row r="86" ht="15" customHeight="1" s="104">
      <c r="A86" s="194" t="n">
        <v>45808</v>
      </c>
      <c r="B86" s="195" t="inlineStr">
        <is>
          <t>Walmart</t>
        </is>
      </c>
      <c r="C86" s="195" t="inlineStr">
        <is>
          <t>Sales</t>
        </is>
      </c>
      <c r="D86" s="195" t="inlineStr">
        <is>
          <t>Promotion</t>
        </is>
      </c>
      <c r="E86" s="196" t="n">
        <v>-26.22</v>
      </c>
      <c r="F86" s="197" t="n">
        <v>-0.01767561008</v>
      </c>
      <c r="BA86" s="199" t="n">
        <v>-26.22</v>
      </c>
      <c r="BC86" s="200" t="inlineStr">
        <is>
          <t>May</t>
        </is>
      </c>
      <c r="BD86" s="199" t="n">
        <v>2025</v>
      </c>
      <c r="BE86" s="199" t="n">
        <v>2025</v>
      </c>
    </row>
    <row r="87" ht="15" customHeight="1" s="104">
      <c r="A87" s="194" t="n">
        <v>45838</v>
      </c>
      <c r="B87" s="195" t="inlineStr">
        <is>
          <t>Amazon US</t>
        </is>
      </c>
      <c r="C87" s="195" t="inlineStr">
        <is>
          <t>Sales</t>
        </is>
      </c>
      <c r="D87" s="195" t="inlineStr">
        <is>
          <t>Organic</t>
        </is>
      </c>
      <c r="E87" s="196" t="n">
        <v>66842.28999999999</v>
      </c>
      <c r="F87" s="197" t="n">
        <v>0.7220637136</v>
      </c>
      <c r="G87" s="196" t="n">
        <v>1861</v>
      </c>
      <c r="J87" s="198" t="n">
        <v>0</v>
      </c>
      <c r="K87" s="196" t="n">
        <v>22327.71</v>
      </c>
      <c r="L87" s="196" t="n">
        <v>22271.66</v>
      </c>
      <c r="M87" s="197" t="n">
        <v>0.08110000000000001</v>
      </c>
      <c r="N87" s="197" t="n">
        <v>0.09080000000000001</v>
      </c>
      <c r="O87" s="197" t="n">
        <v>0.5506</v>
      </c>
      <c r="P87" s="197" t="n">
        <v>0.2406</v>
      </c>
      <c r="Q87" s="197" t="n">
        <v>0.8738</v>
      </c>
      <c r="BA87" s="199" t="n">
        <v>64981.29</v>
      </c>
      <c r="BC87" s="200" t="inlineStr">
        <is>
          <t>Jun</t>
        </is>
      </c>
      <c r="BD87" s="199" t="n">
        <v>2025</v>
      </c>
      <c r="BE87" s="199" t="n">
        <v>2025</v>
      </c>
    </row>
    <row r="88" ht="15" customHeight="1" s="104">
      <c r="A88" s="194" t="n">
        <v>45838</v>
      </c>
      <c r="B88" s="195" t="inlineStr">
        <is>
          <t>Amazon US</t>
        </is>
      </c>
      <c r="C88" s="195" t="inlineStr">
        <is>
          <t>Sales</t>
        </is>
      </c>
      <c r="D88" s="195" t="inlineStr">
        <is>
          <t>Sponsored Products (same day)</t>
        </is>
      </c>
      <c r="E88" s="196" t="n">
        <v>25728.89</v>
      </c>
      <c r="F88" s="197" t="n">
        <v>0.2779362864</v>
      </c>
      <c r="BA88" s="199" t="n">
        <v>25728.89</v>
      </c>
      <c r="BC88" s="200" t="inlineStr">
        <is>
          <t>Jun</t>
        </is>
      </c>
      <c r="BD88" s="199" t="n">
        <v>2025</v>
      </c>
      <c r="BE88" s="199" t="n">
        <v>2025</v>
      </c>
    </row>
    <row r="89" ht="15" customHeight="1" s="104">
      <c r="A89" s="194" t="n">
        <v>45838</v>
      </c>
      <c r="B89" s="195" t="inlineStr">
        <is>
          <t>Amazon US</t>
        </is>
      </c>
      <c r="C89" s="195" t="inlineStr">
        <is>
          <t>Sales</t>
        </is>
      </c>
      <c r="D89" s="195" t="inlineStr">
        <is>
          <t>Sponsored Display (same day)</t>
        </is>
      </c>
      <c r="E89" s="198" t="n">
        <v>0</v>
      </c>
      <c r="F89" s="198" t="n">
        <v>0</v>
      </c>
      <c r="BA89" s="201" t="n">
        <v>0</v>
      </c>
      <c r="BC89" s="200" t="inlineStr">
        <is>
          <t>Jun</t>
        </is>
      </c>
      <c r="BD89" s="199" t="n">
        <v>2025</v>
      </c>
      <c r="BE89" s="199" t="n">
        <v>2025</v>
      </c>
    </row>
    <row r="90" ht="15" customHeight="1" s="104">
      <c r="A90" s="194" t="n">
        <v>45838</v>
      </c>
      <c r="B90" s="195" t="inlineStr">
        <is>
          <t>Amazon CA</t>
        </is>
      </c>
      <c r="C90" s="195" t="inlineStr">
        <is>
          <t>Sales</t>
        </is>
      </c>
      <c r="D90" s="195" t="inlineStr">
        <is>
          <t>Organic</t>
        </is>
      </c>
      <c r="E90" s="196" t="n">
        <v>7536.39</v>
      </c>
      <c r="F90" s="197" t="n">
        <v>0.6222625703</v>
      </c>
      <c r="G90" s="196" t="n">
        <v>229</v>
      </c>
      <c r="J90" s="198" t="n">
        <v>0</v>
      </c>
      <c r="K90" s="196" t="n">
        <v>3252.32</v>
      </c>
      <c r="L90" s="196" t="n">
        <v>3252.32</v>
      </c>
      <c r="M90" s="197" t="n">
        <v>0.0833</v>
      </c>
      <c r="N90" s="197" t="n">
        <v>0.0611</v>
      </c>
      <c r="O90" s="197" t="n">
        <v>0.25</v>
      </c>
      <c r="P90" s="197" t="n">
        <v>0.2685</v>
      </c>
      <c r="Q90" s="197" t="n">
        <v>0.9583</v>
      </c>
      <c r="BA90" s="199" t="n">
        <v>7307.39</v>
      </c>
      <c r="BC90" s="200" t="inlineStr">
        <is>
          <t>Jun</t>
        </is>
      </c>
      <c r="BD90" s="199" t="n">
        <v>2025</v>
      </c>
      <c r="BE90" s="199" t="n">
        <v>2025</v>
      </c>
    </row>
    <row r="91" ht="15" customHeight="1" s="104">
      <c r="A91" s="194" t="n">
        <v>45838</v>
      </c>
      <c r="B91" s="195" t="inlineStr">
        <is>
          <t>Amazon CA</t>
        </is>
      </c>
      <c r="C91" s="195" t="inlineStr">
        <is>
          <t>Sales</t>
        </is>
      </c>
      <c r="D91" s="195" t="inlineStr">
        <is>
          <t>Sponsored Products (same day)</t>
        </is>
      </c>
      <c r="E91" s="196" t="n">
        <v>4574.88</v>
      </c>
      <c r="F91" s="197" t="n">
        <v>0.3777374297</v>
      </c>
      <c r="BA91" s="199" t="n">
        <v>4574.88</v>
      </c>
      <c r="BC91" s="200" t="inlineStr">
        <is>
          <t>Jun</t>
        </is>
      </c>
      <c r="BD91" s="199" t="n">
        <v>2025</v>
      </c>
      <c r="BE91" s="199" t="n">
        <v>2025</v>
      </c>
    </row>
    <row r="92" ht="15" customHeight="1" s="104">
      <c r="A92" s="194" t="n">
        <v>45838</v>
      </c>
      <c r="B92" s="195" t="inlineStr">
        <is>
          <t>Amazon CA</t>
        </is>
      </c>
      <c r="C92" s="195" t="inlineStr">
        <is>
          <t>Sales</t>
        </is>
      </c>
      <c r="D92" s="195" t="inlineStr">
        <is>
          <t>Sponsored Display (same day)</t>
        </is>
      </c>
      <c r="E92" s="198" t="n">
        <v>0</v>
      </c>
      <c r="F92" s="198" t="n">
        <v>0</v>
      </c>
      <c r="BA92" s="201" t="n">
        <v>0</v>
      </c>
      <c r="BC92" s="200" t="inlineStr">
        <is>
          <t>Jun</t>
        </is>
      </c>
      <c r="BD92" s="199" t="n">
        <v>2025</v>
      </c>
      <c r="BE92" s="199" t="n">
        <v>2025</v>
      </c>
    </row>
    <row r="93" ht="15" customHeight="1" s="104">
      <c r="A93" s="194" t="n">
        <v>45838</v>
      </c>
      <c r="B93" s="195" t="inlineStr">
        <is>
          <t>Walmart</t>
        </is>
      </c>
      <c r="C93" s="195" t="inlineStr">
        <is>
          <t>Sales</t>
        </is>
      </c>
      <c r="D93" s="195" t="inlineStr">
        <is>
          <t>Gross sales</t>
        </is>
      </c>
      <c r="E93" s="196" t="n">
        <v>1728.71</v>
      </c>
      <c r="F93" s="196" t="n">
        <v>1.205726242</v>
      </c>
      <c r="G93" s="196" t="n">
        <v>25</v>
      </c>
      <c r="J93" s="198" t="n">
        <v>0</v>
      </c>
      <c r="K93" s="196" t="n">
        <v>1433.75</v>
      </c>
      <c r="M93" s="197" t="n">
        <v>0.0718</v>
      </c>
      <c r="N93" s="197" t="n">
        <v>0.1706</v>
      </c>
      <c r="P93" s="197" t="n">
        <v>0.2228142982</v>
      </c>
      <c r="AQ93" s="196" t="n">
        <v>-102.96</v>
      </c>
      <c r="AR93" s="196" t="n">
        <v>-199.8</v>
      </c>
      <c r="AU93" s="196" t="n">
        <v>-198.98</v>
      </c>
      <c r="AV93" s="196" t="n">
        <v>-122.17</v>
      </c>
      <c r="AW93" s="196" t="n">
        <v>-18.18</v>
      </c>
      <c r="AX93" s="196" t="n">
        <v>-472.2</v>
      </c>
      <c r="AY93" s="196" t="n">
        <v>319.46</v>
      </c>
      <c r="AZ93" s="199" t="n">
        <v>1433.75</v>
      </c>
      <c r="BA93" s="199" t="n">
        <v>1703.71</v>
      </c>
      <c r="BC93" s="200" t="inlineStr">
        <is>
          <t>Jun</t>
        </is>
      </c>
      <c r="BD93" s="199" t="n">
        <v>2025</v>
      </c>
      <c r="BE93" s="199" t="n">
        <v>2025</v>
      </c>
    </row>
    <row r="94" ht="15" customHeight="1" s="104">
      <c r="A94" s="194" t="n">
        <v>45838</v>
      </c>
      <c r="B94" s="195" t="inlineStr">
        <is>
          <t>Walmart</t>
        </is>
      </c>
      <c r="C94" s="195" t="inlineStr">
        <is>
          <t>Sales</t>
        </is>
      </c>
      <c r="D94" s="195" t="inlineStr">
        <is>
          <t>Gross sales refund</t>
        </is>
      </c>
      <c r="E94" s="196" t="n">
        <v>-294.96</v>
      </c>
      <c r="F94" s="197" t="n">
        <v>-0.2057262424</v>
      </c>
      <c r="BA94" s="199" t="n">
        <v>-294.96</v>
      </c>
      <c r="BC94" s="200" t="inlineStr">
        <is>
          <t>Jun</t>
        </is>
      </c>
      <c r="BD94" s="199" t="n">
        <v>2025</v>
      </c>
      <c r="BE94" s="199" t="n">
        <v>2025</v>
      </c>
    </row>
    <row r="95" ht="15" customHeight="1" s="104">
      <c r="A95" s="194" t="n">
        <v>45838</v>
      </c>
      <c r="B95" s="195" t="inlineStr">
        <is>
          <t>Walmart</t>
        </is>
      </c>
      <c r="C95" s="195" t="inlineStr">
        <is>
          <t>Sales</t>
        </is>
      </c>
      <c r="D95" s="195" t="inlineStr">
        <is>
          <t>Shipping</t>
        </is>
      </c>
      <c r="E95" s="198" t="n">
        <v>0</v>
      </c>
      <c r="F95" s="198" t="n">
        <v>0</v>
      </c>
      <c r="BA95" s="201" t="n">
        <v>0</v>
      </c>
      <c r="BC95" s="200" t="inlineStr">
        <is>
          <t>Jun</t>
        </is>
      </c>
      <c r="BD95" s="199" t="n">
        <v>2025</v>
      </c>
      <c r="BE95" s="199" t="n">
        <v>2025</v>
      </c>
    </row>
    <row r="96" ht="15" customHeight="1" s="104">
      <c r="A96" s="194" t="n">
        <v>45838</v>
      </c>
      <c r="B96" s="195" t="inlineStr">
        <is>
          <t>Walmart</t>
        </is>
      </c>
      <c r="C96" s="195" t="inlineStr">
        <is>
          <t>Sales</t>
        </is>
      </c>
      <c r="D96" s="195" t="inlineStr">
        <is>
          <t>Promotion</t>
        </is>
      </c>
      <c r="E96" s="198" t="n">
        <v>0</v>
      </c>
      <c r="F96" s="198" t="n">
        <v>0</v>
      </c>
      <c r="BA96" s="201" t="n">
        <v>0</v>
      </c>
      <c r="BC96" s="200" t="inlineStr">
        <is>
          <t>Jun</t>
        </is>
      </c>
      <c r="BD96" s="199" t="n">
        <v>2025</v>
      </c>
      <c r="BE96" s="199" t="n">
        <v>2025</v>
      </c>
    </row>
    <row r="97" ht="15" customHeight="1" s="104">
      <c r="A97" s="194" t="n">
        <v>45838</v>
      </c>
      <c r="B97" s="195" t="inlineStr">
        <is>
          <t>Tiktok</t>
        </is>
      </c>
      <c r="C97" s="195" t="inlineStr">
        <is>
          <t>Net Sales</t>
        </is>
      </c>
      <c r="D97" s="195" t="inlineStr">
        <is>
          <t>Gross sales</t>
        </is>
      </c>
      <c r="E97" s="196" t="n">
        <v>2512.28</v>
      </c>
      <c r="F97" s="196" t="n">
        <v>1.060785705</v>
      </c>
      <c r="G97" s="196" t="n">
        <v>75</v>
      </c>
      <c r="J97" s="198" t="n">
        <v>0</v>
      </c>
      <c r="K97" s="196" t="n">
        <v>2512.28</v>
      </c>
      <c r="M97" s="197" t="n">
        <v>0.0851</v>
      </c>
      <c r="N97" s="197" t="n">
        <v>-0.0573</v>
      </c>
      <c r="R97" s="196" t="n">
        <v>2368.32</v>
      </c>
      <c r="S97" s="196" t="n">
        <v>-55.54</v>
      </c>
      <c r="U97" s="196" t="n">
        <v>-971.9</v>
      </c>
      <c r="V97" s="196" t="n">
        <v>-12.19</v>
      </c>
      <c r="W97" s="196" t="n">
        <v>-142.14</v>
      </c>
      <c r="X97" s="196" t="n">
        <v>-188.3</v>
      </c>
      <c r="Y97" s="196" t="n">
        <v>-4.07</v>
      </c>
      <c r="Z97" s="196" t="n">
        <v>-783.2</v>
      </c>
      <c r="AA97" s="196" t="n">
        <v>-25.53</v>
      </c>
      <c r="AB97" s="196" t="n">
        <v>185.45</v>
      </c>
      <c r="AC97" s="197" t="n">
        <v>0.0783044521</v>
      </c>
      <c r="BA97" s="199" t="n">
        <v>2437.28</v>
      </c>
      <c r="BC97" s="200" t="inlineStr">
        <is>
          <t>Jun</t>
        </is>
      </c>
      <c r="BD97" s="199" t="n">
        <v>2025</v>
      </c>
      <c r="BE97" s="199" t="n">
        <v>2025</v>
      </c>
    </row>
    <row r="98" ht="15" customHeight="1" s="104">
      <c r="A98" s="194" t="n">
        <v>45838</v>
      </c>
      <c r="B98" s="195" t="inlineStr">
        <is>
          <t>Tiktok</t>
        </is>
      </c>
      <c r="C98" s="195" t="inlineStr">
        <is>
          <t>Net Sales</t>
        </is>
      </c>
      <c r="D98" s="195" t="inlineStr">
        <is>
          <t>Gross sales refund</t>
        </is>
      </c>
      <c r="E98" s="196" t="n">
        <v>-143.96</v>
      </c>
      <c r="F98" s="197" t="n">
        <v>-0.06078570463</v>
      </c>
      <c r="BA98" s="199" t="n">
        <v>-143.96</v>
      </c>
      <c r="BC98" s="200" t="inlineStr">
        <is>
          <t>Jun</t>
        </is>
      </c>
      <c r="BD98" s="199" t="n">
        <v>2025</v>
      </c>
      <c r="BE98" s="199" t="n">
        <v>2025</v>
      </c>
    </row>
    <row r="99" ht="15" customHeight="1" s="104">
      <c r="A99" s="194" t="n">
        <v>45838</v>
      </c>
      <c r="B99" s="195" t="inlineStr">
        <is>
          <t>Tiktok</t>
        </is>
      </c>
      <c r="C99" s="195" t="inlineStr">
        <is>
          <t>Net Sales</t>
        </is>
      </c>
      <c r="D99" s="195" t="inlineStr">
        <is>
          <t>Seller discount</t>
        </is>
      </c>
      <c r="E99" s="198" t="n">
        <v>0</v>
      </c>
      <c r="F99" s="198" t="n">
        <v>0</v>
      </c>
      <c r="BA99" s="201" t="n">
        <v>0</v>
      </c>
      <c r="BC99" s="200" t="inlineStr">
        <is>
          <t>Jun</t>
        </is>
      </c>
      <c r="BD99" s="199" t="n">
        <v>2025</v>
      </c>
      <c r="BE99" s="199" t="n">
        <v>2025</v>
      </c>
    </row>
    <row r="100" ht="15" customHeight="1" s="104">
      <c r="A100" s="194" t="n">
        <v>45838</v>
      </c>
      <c r="B100" s="195" t="inlineStr">
        <is>
          <t>Tiktok</t>
        </is>
      </c>
      <c r="C100" s="195" t="inlineStr">
        <is>
          <t>Net Sales</t>
        </is>
      </c>
      <c r="D100" s="195" t="inlineStr">
        <is>
          <t>Seller discount refund</t>
        </is>
      </c>
      <c r="E100" s="198" t="n">
        <v>0</v>
      </c>
      <c r="F100" s="198" t="n">
        <v>0</v>
      </c>
      <c r="BA100" s="201" t="n">
        <v>0</v>
      </c>
      <c r="BC100" s="200" t="inlineStr">
        <is>
          <t>Jun</t>
        </is>
      </c>
      <c r="BD100" s="199" t="n">
        <v>2025</v>
      </c>
      <c r="BE100" s="199" t="n">
        <v>2025</v>
      </c>
    </row>
    <row r="101" ht="15" customHeight="1" s="104">
      <c r="A101" s="194" t="n">
        <v>45838</v>
      </c>
      <c r="B101" s="195" t="inlineStr">
        <is>
          <t>Shopify</t>
        </is>
      </c>
      <c r="C101" s="195" t="inlineStr">
        <is>
          <t>Sales</t>
        </is>
      </c>
      <c r="D101" s="195" t="inlineStr">
        <is>
          <t>Gross sales</t>
        </is>
      </c>
      <c r="E101" s="196" t="n">
        <v>4089.18</v>
      </c>
      <c r="F101" s="197" t="n">
        <v>0.9857816478</v>
      </c>
      <c r="G101" s="196" t="n">
        <v>106</v>
      </c>
      <c r="J101" s="196" t="n">
        <v>-37.67</v>
      </c>
      <c r="K101" s="196" t="n">
        <v>2443.46</v>
      </c>
      <c r="L101" s="196" t="n">
        <v>2443.46</v>
      </c>
      <c r="M101" s="197" t="n">
        <v>0.0073</v>
      </c>
      <c r="N101" s="197" t="n">
        <v>0.0081</v>
      </c>
      <c r="O101" s="196" t="n">
        <v>1</v>
      </c>
      <c r="P101" s="197" t="n">
        <v>0.589</v>
      </c>
      <c r="Q101" s="198" t="n">
        <v>0</v>
      </c>
      <c r="AD101" s="196" t="n">
        <v>-29.86</v>
      </c>
      <c r="AE101" s="198" t="n">
        <v>0</v>
      </c>
      <c r="AF101" s="196" t="n">
        <v>-1157.65</v>
      </c>
      <c r="AH101" s="196" t="n">
        <v>-108.24</v>
      </c>
      <c r="AI101" s="196" t="n">
        <v>-1469.42</v>
      </c>
      <c r="AJ101" s="196" t="n">
        <v>-37.67</v>
      </c>
      <c r="AK101" s="196" t="n">
        <v>2443.46</v>
      </c>
      <c r="AL101" s="196" t="n">
        <v>1345.32</v>
      </c>
      <c r="AM101" s="197" t="n">
        <v>0.0073</v>
      </c>
      <c r="AN101" s="197" t="n">
        <v>0.0081</v>
      </c>
      <c r="AO101" s="197" t="n">
        <v>0.3243172877</v>
      </c>
      <c r="BA101" s="199" t="n">
        <v>3983.18</v>
      </c>
      <c r="BC101" s="200" t="inlineStr">
        <is>
          <t>Jun</t>
        </is>
      </c>
      <c r="BD101" s="199" t="n">
        <v>2025</v>
      </c>
      <c r="BE101" s="199" t="n">
        <v>2025</v>
      </c>
    </row>
    <row r="102" ht="15" customHeight="1" s="104">
      <c r="A102" s="194" t="n">
        <v>45838</v>
      </c>
      <c r="B102" s="195" t="inlineStr">
        <is>
          <t>Shopify</t>
        </is>
      </c>
      <c r="C102" s="195" t="inlineStr">
        <is>
          <t>Sales</t>
        </is>
      </c>
      <c r="D102" s="195" t="inlineStr">
        <is>
          <t>Promo</t>
        </is>
      </c>
      <c r="E102" s="198" t="n">
        <v>0</v>
      </c>
      <c r="F102" s="198" t="n">
        <v>0</v>
      </c>
      <c r="BA102" s="201" t="n">
        <v>0</v>
      </c>
      <c r="BC102" s="200" t="inlineStr">
        <is>
          <t>Jun</t>
        </is>
      </c>
      <c r="BD102" s="199" t="n">
        <v>2025</v>
      </c>
      <c r="BE102" s="199" t="n">
        <v>2025</v>
      </c>
    </row>
    <row r="103" ht="15" customHeight="1" s="104">
      <c r="A103" s="194" t="n">
        <v>45838</v>
      </c>
      <c r="B103" s="195" t="inlineStr">
        <is>
          <t>Shopify</t>
        </is>
      </c>
      <c r="C103" s="195" t="inlineStr">
        <is>
          <t>Sales</t>
        </is>
      </c>
      <c r="D103" s="195" t="inlineStr">
        <is>
          <t>Shipping</t>
        </is>
      </c>
      <c r="E103" s="196" t="n">
        <v>60.29</v>
      </c>
      <c r="F103" s="197" t="n">
        <v>0.0145341549</v>
      </c>
      <c r="BA103" s="199" t="n">
        <v>60.29</v>
      </c>
      <c r="BC103" s="200" t="inlineStr">
        <is>
          <t>Jun</t>
        </is>
      </c>
      <c r="BD103" s="199" t="n">
        <v>2025</v>
      </c>
      <c r="BE103" s="199" t="n">
        <v>2025</v>
      </c>
    </row>
    <row r="104" ht="15" customHeight="1" s="104">
      <c r="A104" s="194" t="n">
        <v>45838</v>
      </c>
      <c r="B104" s="195" t="inlineStr">
        <is>
          <t>Shopify</t>
        </is>
      </c>
      <c r="C104" s="195" t="inlineStr">
        <is>
          <t>Sales</t>
        </is>
      </c>
      <c r="D104" s="195" t="inlineStr">
        <is>
          <t>Sales tax</t>
        </is>
      </c>
      <c r="E104" s="196" t="n">
        <v>37.67</v>
      </c>
      <c r="F104" s="197" t="n">
        <v>0.009081134768</v>
      </c>
      <c r="BA104" s="199" t="n">
        <v>37.67</v>
      </c>
      <c r="BC104" s="200" t="inlineStr">
        <is>
          <t>Jun</t>
        </is>
      </c>
      <c r="BD104" s="199" t="n">
        <v>2025</v>
      </c>
      <c r="BE104" s="199" t="n">
        <v>2025</v>
      </c>
    </row>
    <row r="105" ht="15" customHeight="1" s="104">
      <c r="A105" s="194" t="n">
        <v>45838</v>
      </c>
      <c r="B105" s="195" t="inlineStr">
        <is>
          <t>Shopify</t>
        </is>
      </c>
      <c r="C105" s="195" t="inlineStr">
        <is>
          <t>Sales</t>
        </is>
      </c>
      <c r="D105" s="195" t="inlineStr">
        <is>
          <t>Refunded amount</t>
        </is>
      </c>
      <c r="E105" s="196" t="n">
        <v>-32.99</v>
      </c>
      <c r="F105" s="197" t="n">
        <v>-0.007952923706</v>
      </c>
      <c r="BA105" s="199" t="n">
        <v>-32.99</v>
      </c>
      <c r="BC105" s="200" t="inlineStr">
        <is>
          <t>Jun</t>
        </is>
      </c>
      <c r="BD105" s="199" t="n">
        <v>2025</v>
      </c>
      <c r="BE105" s="199" t="n">
        <v>2025</v>
      </c>
    </row>
    <row r="106" ht="15" customHeight="1" s="104">
      <c r="A106" s="194" t="n">
        <v>45838</v>
      </c>
      <c r="B106" s="195" t="inlineStr">
        <is>
          <t>Shopify</t>
        </is>
      </c>
      <c r="C106" s="195" t="inlineStr">
        <is>
          <t>Sales</t>
        </is>
      </c>
      <c r="D106" s="195" t="inlineStr">
        <is>
          <t>Refunded shipping</t>
        </is>
      </c>
      <c r="E106" s="196" t="n">
        <v>-5.99</v>
      </c>
      <c r="F106" s="197" t="n">
        <v>-0.001444013731</v>
      </c>
      <c r="BA106" s="199" t="n">
        <v>-5.99</v>
      </c>
      <c r="BC106" s="200" t="inlineStr">
        <is>
          <t>Jun</t>
        </is>
      </c>
      <c r="BD106" s="199" t="n">
        <v>2025</v>
      </c>
      <c r="BE106" s="199" t="n">
        <v>2025</v>
      </c>
    </row>
    <row r="107" ht="15" customHeight="1" s="104">
      <c r="A107" s="194" t="n">
        <v>45869</v>
      </c>
      <c r="B107" s="195" t="inlineStr">
        <is>
          <t>Amazon US</t>
        </is>
      </c>
      <c r="C107" s="195" t="inlineStr">
        <is>
          <t>Sales</t>
        </is>
      </c>
      <c r="D107" s="195" t="inlineStr">
        <is>
          <t>Organic</t>
        </is>
      </c>
      <c r="E107" s="196" t="n">
        <v>81175.60000000001</v>
      </c>
      <c r="F107" s="197" t="n">
        <v>0.7522615173</v>
      </c>
      <c r="G107" s="196" t="n">
        <v>2260</v>
      </c>
      <c r="J107" s="198" t="n">
        <v>0</v>
      </c>
      <c r="K107" s="196" t="n">
        <v>28907.57</v>
      </c>
      <c r="L107" s="196" t="n">
        <v>28907.57</v>
      </c>
      <c r="M107" s="197" t="n">
        <v>0.0669</v>
      </c>
      <c r="N107" s="197" t="n">
        <v>0.0876</v>
      </c>
      <c r="O107" s="197" t="n">
        <v>0.503</v>
      </c>
      <c r="P107" s="197" t="n">
        <v>0.2679</v>
      </c>
      <c r="Q107" s="196" t="n">
        <v>1.0114</v>
      </c>
      <c r="BA107" s="199" t="n">
        <v>78915.60000000001</v>
      </c>
      <c r="BC107" s="200" t="inlineStr">
        <is>
          <t>Jul</t>
        </is>
      </c>
      <c r="BD107" s="199" t="n">
        <v>2025</v>
      </c>
      <c r="BE107" s="199" t="n">
        <v>2025</v>
      </c>
    </row>
    <row r="108" ht="15" customHeight="1" s="104">
      <c r="A108" s="194" t="n">
        <v>45869</v>
      </c>
      <c r="B108" s="195" t="inlineStr">
        <is>
          <t>Amazon US</t>
        </is>
      </c>
      <c r="C108" s="195" t="inlineStr">
        <is>
          <t>Sales</t>
        </is>
      </c>
      <c r="D108" s="195" t="inlineStr">
        <is>
          <t>Sponsored Products (same day)</t>
        </is>
      </c>
      <c r="E108" s="196" t="n">
        <v>26733.15</v>
      </c>
      <c r="F108" s="197" t="n">
        <v>0.2477384827</v>
      </c>
      <c r="BA108" s="199" t="n">
        <v>26733.15</v>
      </c>
      <c r="BC108" s="200" t="inlineStr">
        <is>
          <t>Jul</t>
        </is>
      </c>
      <c r="BD108" s="199" t="n">
        <v>2025</v>
      </c>
      <c r="BE108" s="199" t="n">
        <v>2025</v>
      </c>
    </row>
    <row r="109" ht="15" customHeight="1" s="104">
      <c r="A109" s="194" t="n">
        <v>45869</v>
      </c>
      <c r="B109" s="195" t="inlineStr">
        <is>
          <t>Amazon US</t>
        </is>
      </c>
      <c r="C109" s="195" t="inlineStr">
        <is>
          <t>Sales</t>
        </is>
      </c>
      <c r="D109" s="195" t="inlineStr">
        <is>
          <t>Sponsored Display (same day)</t>
        </is>
      </c>
      <c r="E109" s="198" t="n">
        <v>0</v>
      </c>
      <c r="F109" s="198" t="n">
        <v>0</v>
      </c>
      <c r="BA109" s="201" t="n">
        <v>0</v>
      </c>
      <c r="BC109" s="200" t="inlineStr">
        <is>
          <t>Jul</t>
        </is>
      </c>
      <c r="BD109" s="199" t="n">
        <v>2025</v>
      </c>
      <c r="BE109" s="199" t="n">
        <v>2025</v>
      </c>
    </row>
    <row r="110" ht="15" customHeight="1" s="104">
      <c r="A110" s="194" t="n">
        <v>45869</v>
      </c>
      <c r="B110" s="195" t="inlineStr">
        <is>
          <t>Amazon CA</t>
        </is>
      </c>
      <c r="C110" s="195" t="inlineStr">
        <is>
          <t>Sales</t>
        </is>
      </c>
      <c r="D110" s="195" t="inlineStr">
        <is>
          <t>Organic</t>
        </is>
      </c>
      <c r="E110" s="196" t="n">
        <v>13416.27</v>
      </c>
      <c r="F110" s="197" t="n">
        <v>0.6815606897000001</v>
      </c>
      <c r="G110" s="196" t="n">
        <v>406</v>
      </c>
      <c r="J110" s="198" t="n">
        <v>0</v>
      </c>
      <c r="K110" s="196" t="n">
        <v>4234.15</v>
      </c>
      <c r="L110" s="196" t="n">
        <v>4234.15</v>
      </c>
      <c r="M110" s="197" t="n">
        <v>0.06619999999999999</v>
      </c>
      <c r="N110" s="197" t="n">
        <v>0.1478</v>
      </c>
      <c r="O110" s="197" t="n">
        <v>0.3721</v>
      </c>
      <c r="P110" s="197" t="n">
        <v>0.2151</v>
      </c>
      <c r="Q110" s="197" t="n">
        <v>0.8037</v>
      </c>
      <c r="BA110" s="199" t="n">
        <v>13010.27</v>
      </c>
      <c r="BC110" s="200" t="inlineStr">
        <is>
          <t>Jul</t>
        </is>
      </c>
      <c r="BD110" s="199" t="n">
        <v>2025</v>
      </c>
      <c r="BE110" s="199" t="n">
        <v>2025</v>
      </c>
    </row>
    <row r="111" ht="15" customHeight="1" s="104">
      <c r="A111" s="194" t="n">
        <v>45869</v>
      </c>
      <c r="B111" s="195" t="inlineStr">
        <is>
          <t>Amazon CA</t>
        </is>
      </c>
      <c r="C111" s="195" t="inlineStr">
        <is>
          <t>Sales</t>
        </is>
      </c>
      <c r="D111" s="195" t="inlineStr">
        <is>
          <t>Sponsored Products (same day)</t>
        </is>
      </c>
      <c r="E111" s="196" t="n">
        <v>6268.36</v>
      </c>
      <c r="F111" s="197" t="n">
        <v>0.3184393103</v>
      </c>
      <c r="BA111" s="199" t="n">
        <v>6268.36</v>
      </c>
      <c r="BC111" s="200" t="inlineStr">
        <is>
          <t>Jul</t>
        </is>
      </c>
      <c r="BD111" s="199" t="n">
        <v>2025</v>
      </c>
      <c r="BE111" s="199" t="n">
        <v>2025</v>
      </c>
    </row>
    <row r="112" ht="15" customHeight="1" s="104">
      <c r="A112" s="194" t="n">
        <v>45869</v>
      </c>
      <c r="B112" s="195" t="inlineStr">
        <is>
          <t>Amazon CA</t>
        </is>
      </c>
      <c r="C112" s="195" t="inlineStr">
        <is>
          <t>Sales</t>
        </is>
      </c>
      <c r="D112" s="195" t="inlineStr">
        <is>
          <t>Sponsored Display (same day)</t>
        </is>
      </c>
      <c r="E112" s="198" t="n">
        <v>0</v>
      </c>
      <c r="F112" s="198" t="n">
        <v>0</v>
      </c>
      <c r="BA112" s="201" t="n">
        <v>0</v>
      </c>
      <c r="BC112" s="200" t="inlineStr">
        <is>
          <t>Jul</t>
        </is>
      </c>
      <c r="BD112" s="199" t="n">
        <v>2025</v>
      </c>
      <c r="BE112" s="199" t="n">
        <v>2025</v>
      </c>
    </row>
    <row r="113" ht="15" customHeight="1" s="104">
      <c r="A113" s="194" t="n">
        <v>45869</v>
      </c>
      <c r="B113" s="195" t="inlineStr">
        <is>
          <t>Walmart</t>
        </is>
      </c>
      <c r="C113" s="195" t="inlineStr">
        <is>
          <t>Sales</t>
        </is>
      </c>
      <c r="D113" s="195" t="inlineStr">
        <is>
          <t>Gross sales</t>
        </is>
      </c>
      <c r="E113" s="196" t="n">
        <v>1149.73</v>
      </c>
      <c r="F113" s="196" t="n">
        <v>1.102625825</v>
      </c>
      <c r="G113" s="196" t="n">
        <v>26</v>
      </c>
      <c r="J113" s="198" t="n">
        <v>0</v>
      </c>
      <c r="K113" s="196" t="n">
        <v>1149.73</v>
      </c>
      <c r="M113" s="197" t="n">
        <v>0.0232</v>
      </c>
      <c r="N113" s="197" t="n">
        <v>0.1113</v>
      </c>
      <c r="P113" s="197" t="n">
        <v>0.2228142982</v>
      </c>
      <c r="AQ113" s="196" t="n">
        <v>-26.62</v>
      </c>
      <c r="AR113" s="196" t="n">
        <v>-205.9</v>
      </c>
      <c r="AU113" s="196" t="n">
        <v>-179.72</v>
      </c>
      <c r="AV113" s="196" t="n">
        <v>-111.28</v>
      </c>
      <c r="AW113" s="196" t="n">
        <v>-1.15</v>
      </c>
      <c r="AX113" s="196" t="n">
        <v>-377.1</v>
      </c>
      <c r="AY113" s="196" t="n">
        <v>140.95</v>
      </c>
      <c r="AZ113" s="199" t="n">
        <v>1042.72</v>
      </c>
      <c r="BA113" s="199" t="n">
        <v>1123.73</v>
      </c>
      <c r="BC113" s="200" t="inlineStr">
        <is>
          <t>Jul</t>
        </is>
      </c>
      <c r="BD113" s="199" t="n">
        <v>2025</v>
      </c>
      <c r="BE113" s="199" t="n">
        <v>2025</v>
      </c>
    </row>
    <row r="114" ht="15" customHeight="1" s="104">
      <c r="A114" s="194" t="n">
        <v>45869</v>
      </c>
      <c r="B114" s="195" t="inlineStr">
        <is>
          <t>Walmart</t>
        </is>
      </c>
      <c r="C114" s="195" t="inlineStr">
        <is>
          <t>Sales</t>
        </is>
      </c>
      <c r="D114" s="195" t="inlineStr">
        <is>
          <t>Gross sales refund</t>
        </is>
      </c>
      <c r="E114" s="196" t="n">
        <v>-127.98</v>
      </c>
      <c r="F114" s="197" t="n">
        <v>-0.1227366887</v>
      </c>
      <c r="BA114" s="199" t="n">
        <v>-127.98</v>
      </c>
      <c r="BC114" s="200" t="inlineStr">
        <is>
          <t>Jul</t>
        </is>
      </c>
      <c r="BD114" s="199" t="n">
        <v>2025</v>
      </c>
      <c r="BE114" s="199" t="n">
        <v>2025</v>
      </c>
    </row>
    <row r="115" ht="15" customHeight="1" s="104">
      <c r="A115" s="194" t="n">
        <v>45869</v>
      </c>
      <c r="B115" s="195" t="inlineStr">
        <is>
          <t>Walmart</t>
        </is>
      </c>
      <c r="C115" s="195" t="inlineStr">
        <is>
          <t>Sales</t>
        </is>
      </c>
      <c r="D115" s="195" t="inlineStr">
        <is>
          <t>Shipping</t>
        </is>
      </c>
      <c r="E115" s="196" t="n">
        <v>20.97</v>
      </c>
      <c r="F115" s="197" t="n">
        <v>0.02011086389</v>
      </c>
      <c r="BA115" s="199" t="n">
        <v>20.97</v>
      </c>
      <c r="BC115" s="200" t="inlineStr">
        <is>
          <t>Jul</t>
        </is>
      </c>
      <c r="BD115" s="199" t="n">
        <v>2025</v>
      </c>
      <c r="BE115" s="199" t="n">
        <v>2025</v>
      </c>
    </row>
    <row r="116" ht="15" customHeight="1" s="104">
      <c r="A116" s="194" t="n">
        <v>45869</v>
      </c>
      <c r="B116" s="195" t="inlineStr">
        <is>
          <t>Walmart</t>
        </is>
      </c>
      <c r="C116" s="195" t="inlineStr">
        <is>
          <t>Sales</t>
        </is>
      </c>
      <c r="D116" s="195" t="inlineStr">
        <is>
          <t>Promotion</t>
        </is>
      </c>
      <c r="E116" s="198" t="n">
        <v>0</v>
      </c>
      <c r="F116" s="198" t="n">
        <v>0</v>
      </c>
      <c r="BA116" s="201" t="n">
        <v>0</v>
      </c>
      <c r="BC116" s="200" t="inlineStr">
        <is>
          <t>Jul</t>
        </is>
      </c>
      <c r="BD116" s="199" t="n">
        <v>2025</v>
      </c>
      <c r="BE116" s="199" t="n">
        <v>2025</v>
      </c>
    </row>
    <row r="117" ht="15" customHeight="1" s="104">
      <c r="A117" s="194" t="n">
        <v>45869</v>
      </c>
      <c r="B117" s="195" t="inlineStr">
        <is>
          <t>Tiktok</t>
        </is>
      </c>
      <c r="C117" s="195" t="inlineStr">
        <is>
          <t>Net Sales</t>
        </is>
      </c>
      <c r="D117" s="195" t="inlineStr">
        <is>
          <t>Gross sales</t>
        </is>
      </c>
      <c r="E117" s="196" t="n">
        <v>4913.78</v>
      </c>
      <c r="F117" s="196" t="n">
        <v>1.054721776</v>
      </c>
      <c r="G117" s="196" t="n">
        <v>125</v>
      </c>
      <c r="J117" s="198" t="n">
        <v>0</v>
      </c>
      <c r="K117" s="196" t="n">
        <v>4913.78</v>
      </c>
      <c r="M117" s="197" t="n">
        <v>0.1256</v>
      </c>
      <c r="N117" s="197" t="n">
        <v>0.05188266467</v>
      </c>
      <c r="R117" s="196" t="n">
        <v>4658.84</v>
      </c>
      <c r="S117" s="197" t="n">
        <v>-0.05</v>
      </c>
      <c r="U117" s="196" t="n">
        <v>-1530.57</v>
      </c>
      <c r="V117" s="196" t="n">
        <v>-72.14</v>
      </c>
      <c r="W117" s="196" t="n">
        <v>-279.6</v>
      </c>
      <c r="X117" s="196" t="n">
        <v>-315.3</v>
      </c>
      <c r="Y117" s="196" t="n">
        <v>-4.56</v>
      </c>
      <c r="Z117" s="196" t="n">
        <v>-1320.23</v>
      </c>
      <c r="AA117" s="196" t="n">
        <v>-302.09</v>
      </c>
      <c r="AB117" s="196" t="n">
        <v>834.3</v>
      </c>
      <c r="AC117" s="197" t="n">
        <v>0.1790789123</v>
      </c>
      <c r="BA117" s="199" t="n">
        <v>4788.78</v>
      </c>
      <c r="BC117" s="200" t="inlineStr">
        <is>
          <t>Jul</t>
        </is>
      </c>
      <c r="BD117" s="199" t="n">
        <v>2025</v>
      </c>
      <c r="BE117" s="199" t="n">
        <v>2025</v>
      </c>
    </row>
    <row r="118" ht="15" customHeight="1" s="104">
      <c r="A118" s="194" t="n">
        <v>45869</v>
      </c>
      <c r="B118" s="195" t="inlineStr">
        <is>
          <t>Tiktok</t>
        </is>
      </c>
      <c r="C118" s="195" t="inlineStr">
        <is>
          <t>Net Sales</t>
        </is>
      </c>
      <c r="D118" s="195" t="inlineStr">
        <is>
          <t>Gross sales refund</t>
        </is>
      </c>
      <c r="E118" s="196" t="n">
        <v>-254.94</v>
      </c>
      <c r="F118" s="197" t="n">
        <v>-0.05472177624</v>
      </c>
      <c r="BA118" s="199" t="n">
        <v>-254.94</v>
      </c>
      <c r="BC118" s="200" t="inlineStr">
        <is>
          <t>Jul</t>
        </is>
      </c>
      <c r="BD118" s="199" t="n">
        <v>2025</v>
      </c>
      <c r="BE118" s="199" t="n">
        <v>2025</v>
      </c>
    </row>
    <row r="119" ht="15" customHeight="1" s="104">
      <c r="A119" s="194" t="n">
        <v>45869</v>
      </c>
      <c r="B119" s="195" t="inlineStr">
        <is>
          <t>Tiktok</t>
        </is>
      </c>
      <c r="C119" s="195" t="inlineStr">
        <is>
          <t>Net Sales</t>
        </is>
      </c>
      <c r="D119" s="195" t="inlineStr">
        <is>
          <t>Seller discount</t>
        </is>
      </c>
      <c r="E119" s="198" t="n">
        <v>0</v>
      </c>
      <c r="F119" s="198" t="n">
        <v>0</v>
      </c>
      <c r="BA119" s="201" t="n">
        <v>0</v>
      </c>
      <c r="BC119" s="200" t="inlineStr">
        <is>
          <t>Jul</t>
        </is>
      </c>
      <c r="BD119" s="199" t="n">
        <v>2025</v>
      </c>
      <c r="BE119" s="199" t="n">
        <v>2025</v>
      </c>
    </row>
    <row r="120" ht="15" customHeight="1" s="104">
      <c r="A120" s="194" t="n">
        <v>45869</v>
      </c>
      <c r="B120" s="195" t="inlineStr">
        <is>
          <t>Tiktok</t>
        </is>
      </c>
      <c r="C120" s="195" t="inlineStr">
        <is>
          <t>Net Sales</t>
        </is>
      </c>
      <c r="D120" s="195" t="inlineStr">
        <is>
          <t>Seller discount refund</t>
        </is>
      </c>
      <c r="E120" s="198" t="n">
        <v>0</v>
      </c>
      <c r="F120" s="198" t="n">
        <v>0</v>
      </c>
      <c r="BA120" s="201" t="n">
        <v>0</v>
      </c>
      <c r="BC120" s="200" t="inlineStr">
        <is>
          <t>Jul</t>
        </is>
      </c>
      <c r="BD120" s="199" t="n">
        <v>2025</v>
      </c>
      <c r="BE120" s="199" t="n">
        <v>2025</v>
      </c>
    </row>
    <row r="121" ht="15" customHeight="1" s="104">
      <c r="A121" s="194" t="n">
        <v>45869</v>
      </c>
      <c r="B121" s="195" t="inlineStr">
        <is>
          <t>Shopify</t>
        </is>
      </c>
      <c r="C121" s="195" t="inlineStr">
        <is>
          <t>Sales</t>
        </is>
      </c>
      <c r="D121" s="195" t="inlineStr">
        <is>
          <t>Gross sales</t>
        </is>
      </c>
      <c r="E121" s="196" t="n">
        <v>5344.38</v>
      </c>
      <c r="F121" s="197" t="n">
        <v>0.9461842839</v>
      </c>
      <c r="G121" s="196" t="n">
        <v>162</v>
      </c>
      <c r="J121" s="196" t="n">
        <v>-42.84</v>
      </c>
      <c r="K121" s="196" t="n">
        <v>1088.86</v>
      </c>
      <c r="L121" s="196" t="n">
        <v>1088.86</v>
      </c>
      <c r="M121" s="197" t="n">
        <v>0.4877</v>
      </c>
      <c r="N121" s="198" t="n">
        <v>0</v>
      </c>
      <c r="O121" s="198" t="n">
        <v>0</v>
      </c>
      <c r="P121" s="197" t="n">
        <v>0.1928</v>
      </c>
      <c r="Q121" s="198" t="n">
        <v>0</v>
      </c>
      <c r="AD121" s="196" t="n">
        <v>-2606.64</v>
      </c>
      <c r="AE121" s="198" t="n">
        <v>0</v>
      </c>
      <c r="AF121" s="196" t="n">
        <v>-1245.12</v>
      </c>
      <c r="AH121" s="196" t="n">
        <v>-188.79</v>
      </c>
      <c r="AI121" s="196" t="n">
        <v>-1681.69</v>
      </c>
      <c r="AJ121" s="196" t="n">
        <v>-42.84</v>
      </c>
      <c r="AK121" s="196" t="n">
        <v>1088.86</v>
      </c>
      <c r="AL121" s="196" t="n">
        <v>-116.73</v>
      </c>
      <c r="AM121" s="197" t="n">
        <v>0.4877</v>
      </c>
      <c r="AN121" s="198" t="n">
        <v>0</v>
      </c>
      <c r="AO121" s="197" t="n">
        <v>-0.02066621226</v>
      </c>
      <c r="BA121" s="199" t="n">
        <v>5182.38</v>
      </c>
      <c r="BC121" s="200" t="inlineStr">
        <is>
          <t>Jul</t>
        </is>
      </c>
      <c r="BD121" s="199" t="n">
        <v>2025</v>
      </c>
      <c r="BE121" s="199" t="n">
        <v>2025</v>
      </c>
    </row>
    <row r="122" ht="15" customHeight="1" s="104">
      <c r="A122" s="194" t="n">
        <v>45869</v>
      </c>
      <c r="B122" s="195" t="inlineStr">
        <is>
          <t>Shopify</t>
        </is>
      </c>
      <c r="C122" s="195" t="inlineStr">
        <is>
          <t>Sales</t>
        </is>
      </c>
      <c r="D122" s="195" t="inlineStr">
        <is>
          <t>Promo</t>
        </is>
      </c>
      <c r="E122" s="196" t="n">
        <v>-57.27</v>
      </c>
      <c r="F122" s="197" t="n">
        <v>-0.0101392442</v>
      </c>
      <c r="BA122" s="199" t="n">
        <v>-57.27</v>
      </c>
      <c r="BC122" s="200" t="inlineStr">
        <is>
          <t>Jul</t>
        </is>
      </c>
      <c r="BD122" s="199" t="n">
        <v>2025</v>
      </c>
      <c r="BE122" s="199" t="n">
        <v>2025</v>
      </c>
    </row>
    <row r="123" ht="15" customHeight="1" s="104">
      <c r="A123" s="194" t="n">
        <v>45869</v>
      </c>
      <c r="B123" s="195" t="inlineStr">
        <is>
          <t>Shopify</t>
        </is>
      </c>
      <c r="C123" s="195" t="inlineStr">
        <is>
          <t>Sales</t>
        </is>
      </c>
      <c r="D123" s="195" t="inlineStr">
        <is>
          <t>Shipping</t>
        </is>
      </c>
      <c r="E123" s="196" t="n">
        <v>331.6</v>
      </c>
      <c r="F123" s="197" t="n">
        <v>0.05870741013</v>
      </c>
      <c r="BA123" s="199" t="n">
        <v>331.6</v>
      </c>
      <c r="BC123" s="200" t="inlineStr">
        <is>
          <t>Jul</t>
        </is>
      </c>
      <c r="BD123" s="199" t="n">
        <v>2025</v>
      </c>
      <c r="BE123" s="199" t="n">
        <v>2025</v>
      </c>
    </row>
    <row r="124" ht="15" customHeight="1" s="104">
      <c r="A124" s="194" t="n">
        <v>45869</v>
      </c>
      <c r="B124" s="195" t="inlineStr">
        <is>
          <t>Shopify</t>
        </is>
      </c>
      <c r="C124" s="195" t="inlineStr">
        <is>
          <t>Sales</t>
        </is>
      </c>
      <c r="D124" s="195" t="inlineStr">
        <is>
          <t>Sales tax</t>
        </is>
      </c>
      <c r="E124" s="196" t="n">
        <v>42.84</v>
      </c>
      <c r="F124" s="197" t="n">
        <v>0.007584515832</v>
      </c>
      <c r="BA124" s="199" t="n">
        <v>42.84</v>
      </c>
      <c r="BC124" s="200" t="inlineStr">
        <is>
          <t>Jul</t>
        </is>
      </c>
      <c r="BD124" s="199" t="n">
        <v>2025</v>
      </c>
      <c r="BE124" s="199" t="n">
        <v>2025</v>
      </c>
    </row>
    <row r="125" ht="15" customHeight="1" s="104">
      <c r="A125" s="194" t="n">
        <v>45869</v>
      </c>
      <c r="B125" s="195" t="inlineStr">
        <is>
          <t>Shopify</t>
        </is>
      </c>
      <c r="C125" s="195" t="inlineStr">
        <is>
          <t>Sales</t>
        </is>
      </c>
      <c r="D125" s="195" t="inlineStr">
        <is>
          <t>Refunded amount</t>
        </is>
      </c>
      <c r="E125" s="196" t="n">
        <v>-13.2</v>
      </c>
      <c r="F125" s="197" t="n">
        <v>-0.002336965663</v>
      </c>
      <c r="BA125" s="199" t="n">
        <v>-13.2</v>
      </c>
      <c r="BC125" s="200" t="inlineStr">
        <is>
          <t>Jul</t>
        </is>
      </c>
      <c r="BD125" s="199" t="n">
        <v>2025</v>
      </c>
      <c r="BE125" s="199" t="n">
        <v>2025</v>
      </c>
    </row>
    <row r="126" ht="15" customHeight="1" s="104">
      <c r="A126" s="194" t="n">
        <v>45869</v>
      </c>
      <c r="B126" s="195" t="inlineStr">
        <is>
          <t>Shopify</t>
        </is>
      </c>
      <c r="C126" s="195" t="inlineStr">
        <is>
          <t>Sales</t>
        </is>
      </c>
      <c r="D126" s="195" t="inlineStr">
        <is>
          <t>Refunded shipping</t>
        </is>
      </c>
      <c r="E126" s="198" t="n">
        <v>0</v>
      </c>
      <c r="F126" s="198" t="n">
        <v>0</v>
      </c>
      <c r="BA126" s="201" t="n">
        <v>0</v>
      </c>
      <c r="BC126" s="200" t="inlineStr">
        <is>
          <t>Jul</t>
        </is>
      </c>
      <c r="BD126" s="199" t="n">
        <v>2025</v>
      </c>
      <c r="BE126" s="199" t="n">
        <v>2025</v>
      </c>
    </row>
    <row r="127" ht="15" customHeight="1" s="104">
      <c r="A127" s="194" t="n">
        <v>45900</v>
      </c>
      <c r="B127" s="195" t="inlineStr">
        <is>
          <t>Amazon US</t>
        </is>
      </c>
      <c r="C127" s="195" t="inlineStr">
        <is>
          <t>Sales</t>
        </is>
      </c>
      <c r="D127" s="195" t="inlineStr">
        <is>
          <t>Organic</t>
        </is>
      </c>
      <c r="E127" s="196" t="n">
        <v>75717.88</v>
      </c>
      <c r="F127" s="197" t="n">
        <v>0.7703305769</v>
      </c>
      <c r="G127" s="196" t="n">
        <v>2009</v>
      </c>
      <c r="J127" s="198" t="n">
        <v>0</v>
      </c>
      <c r="K127" s="196" t="n">
        <v>23854.28</v>
      </c>
      <c r="L127" s="196" t="n">
        <v>23854.28</v>
      </c>
      <c r="M127" s="197" t="n">
        <v>0.0625</v>
      </c>
      <c r="N127" s="197" t="n">
        <v>0.113</v>
      </c>
      <c r="O127" s="197" t="n">
        <v>0.4057</v>
      </c>
      <c r="P127" s="197" t="n">
        <v>0.2427</v>
      </c>
      <c r="Q127" s="197" t="n">
        <v>0.92</v>
      </c>
      <c r="BA127" s="199" t="n">
        <v>73708.88</v>
      </c>
      <c r="BC127" s="200" t="inlineStr">
        <is>
          <t>Aug</t>
        </is>
      </c>
      <c r="BD127" s="199" t="n">
        <v>2025</v>
      </c>
      <c r="BE127" s="199" t="n">
        <v>2025</v>
      </c>
    </row>
    <row r="128" ht="15" customHeight="1" s="104">
      <c r="A128" s="194" t="n">
        <v>45900</v>
      </c>
      <c r="B128" s="195" t="inlineStr">
        <is>
          <t>Amazon US</t>
        </is>
      </c>
      <c r="C128" s="195" t="inlineStr">
        <is>
          <t>Sales</t>
        </is>
      </c>
      <c r="D128" s="195" t="inlineStr">
        <is>
          <t>Sponsored Products (same day)</t>
        </is>
      </c>
      <c r="E128" s="196" t="n">
        <v>22574.83</v>
      </c>
      <c r="F128" s="197" t="n">
        <v>0.2296694231</v>
      </c>
      <c r="BA128" s="199" t="n">
        <v>22574.83</v>
      </c>
      <c r="BC128" s="200" t="inlineStr">
        <is>
          <t>Aug</t>
        </is>
      </c>
      <c r="BD128" s="199" t="n">
        <v>2025</v>
      </c>
      <c r="BE128" s="199" t="n">
        <v>2025</v>
      </c>
    </row>
    <row r="129" ht="15" customHeight="1" s="104">
      <c r="A129" s="194" t="n">
        <v>45900</v>
      </c>
      <c r="B129" s="195" t="inlineStr">
        <is>
          <t>Amazon US</t>
        </is>
      </c>
      <c r="C129" s="195" t="inlineStr">
        <is>
          <t>Sales</t>
        </is>
      </c>
      <c r="D129" s="195" t="inlineStr">
        <is>
          <t>Sponsored Display (same day)</t>
        </is>
      </c>
      <c r="E129" s="198" t="n">
        <v>0</v>
      </c>
      <c r="F129" s="198" t="n">
        <v>0</v>
      </c>
      <c r="BA129" s="201" t="n">
        <v>0</v>
      </c>
      <c r="BC129" s="200" t="inlineStr">
        <is>
          <t>Aug</t>
        </is>
      </c>
      <c r="BD129" s="199" t="n">
        <v>2025</v>
      </c>
      <c r="BE129" s="199" t="n">
        <v>2025</v>
      </c>
    </row>
    <row r="130" ht="15" customHeight="1" s="104">
      <c r="A130" s="194" t="n">
        <v>45900</v>
      </c>
      <c r="B130" s="195" t="inlineStr">
        <is>
          <t>Amazon CA</t>
        </is>
      </c>
      <c r="C130" s="195" t="inlineStr">
        <is>
          <t>Sales</t>
        </is>
      </c>
      <c r="D130" s="195" t="inlineStr">
        <is>
          <t>Organic</t>
        </is>
      </c>
      <c r="E130" s="196" t="n">
        <v>11629.02</v>
      </c>
      <c r="F130" s="197" t="n">
        <v>0.8148010610999999</v>
      </c>
      <c r="G130" s="196" t="n">
        <v>291</v>
      </c>
      <c r="J130" s="198" t="n">
        <v>0</v>
      </c>
      <c r="K130" s="196" t="n">
        <v>2753.6</v>
      </c>
      <c r="L130" s="196" t="n">
        <v>2753.6</v>
      </c>
      <c r="M130" s="197" t="n">
        <v>0.0355</v>
      </c>
      <c r="N130" s="197" t="n">
        <v>0.2131</v>
      </c>
      <c r="O130" s="197" t="n">
        <v>0.3714</v>
      </c>
      <c r="P130" s="197" t="n">
        <v>0.1929</v>
      </c>
      <c r="Q130" s="197" t="n">
        <v>0.737</v>
      </c>
      <c r="BA130" s="199" t="n">
        <v>11338.02</v>
      </c>
      <c r="BC130" s="200" t="inlineStr">
        <is>
          <t>Aug</t>
        </is>
      </c>
      <c r="BD130" s="199" t="n">
        <v>2025</v>
      </c>
      <c r="BE130" s="199" t="n">
        <v>2025</v>
      </c>
    </row>
    <row r="131" ht="15" customHeight="1" s="104">
      <c r="A131" s="194" t="n">
        <v>45900</v>
      </c>
      <c r="B131" s="195" t="inlineStr">
        <is>
          <t>Amazon CA</t>
        </is>
      </c>
      <c r="C131" s="195" t="inlineStr">
        <is>
          <t>Sales</t>
        </is>
      </c>
      <c r="D131" s="195" t="inlineStr">
        <is>
          <t>Sponsored Products (same day)</t>
        </is>
      </c>
      <c r="E131" s="196" t="n">
        <v>2643.2</v>
      </c>
      <c r="F131" s="197" t="n">
        <v>0.1851989389</v>
      </c>
      <c r="BA131" s="199" t="n">
        <v>2643.2</v>
      </c>
      <c r="BC131" s="200" t="inlineStr">
        <is>
          <t>Aug</t>
        </is>
      </c>
      <c r="BD131" s="199" t="n">
        <v>2025</v>
      </c>
      <c r="BE131" s="199" t="n">
        <v>2025</v>
      </c>
    </row>
    <row r="132" ht="15" customHeight="1" s="104">
      <c r="A132" s="194" t="n">
        <v>45900</v>
      </c>
      <c r="B132" s="195" t="inlineStr">
        <is>
          <t>Amazon CA</t>
        </is>
      </c>
      <c r="C132" s="195" t="inlineStr">
        <is>
          <t>Sales</t>
        </is>
      </c>
      <c r="D132" s="195" t="inlineStr">
        <is>
          <t>Sponsored Display (same day)</t>
        </is>
      </c>
      <c r="E132" s="198" t="n">
        <v>0</v>
      </c>
      <c r="F132" s="198" t="n">
        <v>0</v>
      </c>
      <c r="BA132" s="201" t="n">
        <v>0</v>
      </c>
      <c r="BC132" s="200" t="inlineStr">
        <is>
          <t>Aug</t>
        </is>
      </c>
      <c r="BD132" s="199" t="n">
        <v>2025</v>
      </c>
      <c r="BE132" s="199" t="n">
        <v>2025</v>
      </c>
    </row>
    <row r="133" ht="15" customHeight="1" s="104">
      <c r="A133" s="194" t="n">
        <v>45900</v>
      </c>
      <c r="B133" s="195" t="inlineStr">
        <is>
          <t>Walmart</t>
        </is>
      </c>
      <c r="C133" s="195" t="inlineStr">
        <is>
          <t>Sales</t>
        </is>
      </c>
      <c r="D133" s="195" t="inlineStr">
        <is>
          <t>Gross sales</t>
        </is>
      </c>
      <c r="E133" s="196" t="n">
        <v>1025.46</v>
      </c>
      <c r="F133" s="196" t="n">
        <v>1</v>
      </c>
      <c r="G133" s="196" t="n">
        <v>26</v>
      </c>
      <c r="J133" s="198" t="n">
        <v>0</v>
      </c>
      <c r="K133" s="196" t="n">
        <v>1025.46</v>
      </c>
      <c r="M133" s="197" t="n">
        <v>0.0177</v>
      </c>
      <c r="N133" s="198" t="n">
        <v>0</v>
      </c>
      <c r="P133" s="197" t="n">
        <v>0.2903184912</v>
      </c>
      <c r="AQ133" s="196" t="n">
        <v>-18.13</v>
      </c>
      <c r="AR133" s="196" t="n">
        <v>-147.1</v>
      </c>
      <c r="AU133" s="196" t="n">
        <v>-151.8</v>
      </c>
      <c r="AV133" s="196" t="n">
        <v>-73.31999999999999</v>
      </c>
      <c r="AW133" s="198" t="n">
        <v>0</v>
      </c>
      <c r="AX133" s="196" t="n">
        <v>-337.4</v>
      </c>
      <c r="AY133" s="196" t="n">
        <v>297.71</v>
      </c>
      <c r="AZ133" s="199" t="n">
        <v>1025.46</v>
      </c>
      <c r="BA133" s="199" t="n">
        <v>999.46</v>
      </c>
      <c r="BC133" s="200" t="inlineStr">
        <is>
          <t>Aug</t>
        </is>
      </c>
      <c r="BD133" s="199" t="n">
        <v>2025</v>
      </c>
      <c r="BE133" s="199" t="n">
        <v>2025</v>
      </c>
    </row>
    <row r="134" ht="15" customHeight="1" s="104">
      <c r="A134" s="194" t="n">
        <v>45900</v>
      </c>
      <c r="B134" s="195" t="inlineStr">
        <is>
          <t>Walmart</t>
        </is>
      </c>
      <c r="C134" s="195" t="inlineStr">
        <is>
          <t>Sales</t>
        </is>
      </c>
      <c r="D134" s="195" t="inlineStr">
        <is>
          <t>Gross sales refund</t>
        </is>
      </c>
      <c r="E134" s="198" t="n">
        <v>0</v>
      </c>
      <c r="F134" s="198" t="n">
        <v>0</v>
      </c>
      <c r="BA134" s="201" t="n">
        <v>0</v>
      </c>
      <c r="BC134" s="200" t="inlineStr">
        <is>
          <t>Aug</t>
        </is>
      </c>
      <c r="BD134" s="199" t="n">
        <v>2025</v>
      </c>
      <c r="BE134" s="199" t="n">
        <v>2025</v>
      </c>
    </row>
    <row r="135" ht="15" customHeight="1" s="104">
      <c r="A135" s="194" t="n">
        <v>45900</v>
      </c>
      <c r="B135" s="195" t="inlineStr">
        <is>
          <t>Walmart</t>
        </is>
      </c>
      <c r="C135" s="195" t="inlineStr">
        <is>
          <t>Sales</t>
        </is>
      </c>
      <c r="D135" s="195" t="inlineStr">
        <is>
          <t>Shipping</t>
        </is>
      </c>
      <c r="E135" s="198" t="n">
        <v>0</v>
      </c>
      <c r="F135" s="198" t="n">
        <v>0</v>
      </c>
      <c r="BA135" s="201" t="n">
        <v>0</v>
      </c>
      <c r="BC135" s="200" t="inlineStr">
        <is>
          <t>Aug</t>
        </is>
      </c>
      <c r="BD135" s="199" t="n">
        <v>2025</v>
      </c>
      <c r="BE135" s="199" t="n">
        <v>2025</v>
      </c>
    </row>
    <row r="136" ht="15" customHeight="1" s="104">
      <c r="A136" s="194" t="n">
        <v>45900</v>
      </c>
      <c r="B136" s="195" t="inlineStr">
        <is>
          <t>Walmart</t>
        </is>
      </c>
      <c r="C136" s="195" t="inlineStr">
        <is>
          <t>Sales</t>
        </is>
      </c>
      <c r="D136" s="195" t="inlineStr">
        <is>
          <t>Promotion</t>
        </is>
      </c>
      <c r="E136" s="198" t="n">
        <v>0</v>
      </c>
      <c r="F136" s="198" t="n">
        <v>0</v>
      </c>
      <c r="BA136" s="201" t="n">
        <v>0</v>
      </c>
      <c r="BC136" s="200" t="inlineStr">
        <is>
          <t>Aug</t>
        </is>
      </c>
      <c r="BD136" s="199" t="n">
        <v>2025</v>
      </c>
      <c r="BE136" s="199" t="n">
        <v>2025</v>
      </c>
    </row>
    <row r="137" ht="15" customHeight="1" s="104">
      <c r="A137" s="194" t="n">
        <v>45900</v>
      </c>
      <c r="B137" s="195" t="inlineStr">
        <is>
          <t>Tiktok</t>
        </is>
      </c>
      <c r="C137" s="195" t="inlineStr">
        <is>
          <t>Net Sales</t>
        </is>
      </c>
      <c r="D137" s="195" t="inlineStr">
        <is>
          <t>Gross sales</t>
        </is>
      </c>
      <c r="E137" s="196" t="n">
        <v>4365.04</v>
      </c>
      <c r="F137" s="196" t="n">
        <v>1.09863735</v>
      </c>
      <c r="G137" s="196" t="n">
        <v>100</v>
      </c>
      <c r="J137" s="198" t="n">
        <v>0</v>
      </c>
      <c r="K137" s="196" t="n">
        <v>4365.04</v>
      </c>
      <c r="M137" s="197" t="n">
        <v>0.1288</v>
      </c>
      <c r="N137" s="197" t="n">
        <v>0.08978153694</v>
      </c>
      <c r="R137" s="196" t="n">
        <v>3973.14</v>
      </c>
      <c r="S137" s="196" t="n">
        <v>-11.71</v>
      </c>
      <c r="U137" s="196" t="n">
        <v>-970.7</v>
      </c>
      <c r="V137" s="196" t="n">
        <v>-22.6</v>
      </c>
      <c r="W137" s="196" t="n">
        <v>-238.44</v>
      </c>
      <c r="X137" s="196" t="n">
        <v>-271.1</v>
      </c>
      <c r="Y137" s="196" t="n">
        <v>-2.79</v>
      </c>
      <c r="Z137" s="196" t="n">
        <v>-1208.87</v>
      </c>
      <c r="AA137" s="196" t="n">
        <v>-290.9</v>
      </c>
      <c r="AB137" s="196" t="n">
        <v>956.03</v>
      </c>
      <c r="AC137" s="197" t="n">
        <v>0.2406232854</v>
      </c>
      <c r="BA137" s="199" t="n">
        <v>4265.04</v>
      </c>
      <c r="BC137" s="200" t="inlineStr">
        <is>
          <t>Aug</t>
        </is>
      </c>
      <c r="BD137" s="199" t="n">
        <v>2025</v>
      </c>
      <c r="BE137" s="199" t="n">
        <v>2025</v>
      </c>
    </row>
    <row r="138" ht="15" customHeight="1" s="104">
      <c r="A138" s="194" t="n">
        <v>45900</v>
      </c>
      <c r="B138" s="195" t="inlineStr">
        <is>
          <t>Tiktok</t>
        </is>
      </c>
      <c r="C138" s="195" t="inlineStr">
        <is>
          <t>Net Sales</t>
        </is>
      </c>
      <c r="D138" s="195" t="inlineStr">
        <is>
          <t>Gross sales refund</t>
        </is>
      </c>
      <c r="E138" s="196" t="n">
        <v>-391.9</v>
      </c>
      <c r="F138" s="197" t="n">
        <v>-0.0986373498</v>
      </c>
      <c r="BA138" s="199" t="n">
        <v>-391.9</v>
      </c>
      <c r="BC138" s="200" t="inlineStr">
        <is>
          <t>Aug</t>
        </is>
      </c>
      <c r="BD138" s="199" t="n">
        <v>2025</v>
      </c>
      <c r="BE138" s="199" t="n">
        <v>2025</v>
      </c>
    </row>
    <row r="139" ht="15" customHeight="1" s="104">
      <c r="A139" s="194" t="n">
        <v>45900</v>
      </c>
      <c r="B139" s="195" t="inlineStr">
        <is>
          <t>Tiktok</t>
        </is>
      </c>
      <c r="C139" s="195" t="inlineStr">
        <is>
          <t>Net Sales</t>
        </is>
      </c>
      <c r="D139" s="195" t="inlineStr">
        <is>
          <t>Seller discount</t>
        </is>
      </c>
      <c r="E139" s="198" t="n">
        <v>0</v>
      </c>
      <c r="F139" s="198" t="n">
        <v>0</v>
      </c>
      <c r="BA139" s="201" t="n">
        <v>0</v>
      </c>
      <c r="BC139" s="200" t="inlineStr">
        <is>
          <t>Aug</t>
        </is>
      </c>
      <c r="BD139" s="199" t="n">
        <v>2025</v>
      </c>
      <c r="BE139" s="199" t="n">
        <v>2025</v>
      </c>
    </row>
    <row r="140" ht="15" customHeight="1" s="104">
      <c r="A140" s="194" t="n">
        <v>45900</v>
      </c>
      <c r="B140" s="195" t="inlineStr">
        <is>
          <t>Tiktok</t>
        </is>
      </c>
      <c r="C140" s="195" t="inlineStr">
        <is>
          <t>Net Sales</t>
        </is>
      </c>
      <c r="D140" s="195" t="inlineStr">
        <is>
          <t>Seller discount refund</t>
        </is>
      </c>
      <c r="E140" s="198" t="n">
        <v>0</v>
      </c>
      <c r="F140" s="198" t="n">
        <v>0</v>
      </c>
      <c r="BA140" s="201" t="n">
        <v>0</v>
      </c>
      <c r="BC140" s="200" t="inlineStr">
        <is>
          <t>Aug</t>
        </is>
      </c>
      <c r="BD140" s="199" t="n">
        <v>2025</v>
      </c>
      <c r="BE140" s="199" t="n">
        <v>2025</v>
      </c>
    </row>
    <row r="141" ht="15" customHeight="1" s="104">
      <c r="A141" s="194" t="n">
        <v>45900</v>
      </c>
      <c r="B141" s="195" t="inlineStr">
        <is>
          <t>Shopify</t>
        </is>
      </c>
      <c r="C141" s="195" t="inlineStr">
        <is>
          <t>Sales</t>
        </is>
      </c>
      <c r="D141" s="195" t="inlineStr">
        <is>
          <t>Gross sales</t>
        </is>
      </c>
      <c r="E141" s="196" t="n">
        <v>9233.27</v>
      </c>
      <c r="F141" s="197" t="n">
        <v>0.9535123402</v>
      </c>
      <c r="G141" s="196" t="n">
        <v>273</v>
      </c>
      <c r="J141" s="196" t="n">
        <v>-57.57</v>
      </c>
      <c r="K141" s="196" t="n">
        <v>2101.24</v>
      </c>
      <c r="L141" s="196" t="n">
        <v>2101.24</v>
      </c>
      <c r="M141" s="197" t="n">
        <v>0.4608</v>
      </c>
      <c r="N141" s="198" t="n">
        <v>0</v>
      </c>
      <c r="O141" s="198" t="n">
        <v>0</v>
      </c>
      <c r="P141" s="197" t="n">
        <v>0.217</v>
      </c>
      <c r="Q141" s="198" t="n">
        <v>0</v>
      </c>
      <c r="AD141" s="196" t="n">
        <v>-4254.9</v>
      </c>
      <c r="AE141" s="198" t="n">
        <v>0</v>
      </c>
      <c r="AF141" s="196" t="n">
        <v>-2864.17</v>
      </c>
      <c r="AH141" s="196" t="n">
        <v>-320.62</v>
      </c>
      <c r="AI141" s="196" t="n">
        <v>-2949.1</v>
      </c>
      <c r="AJ141" s="196" t="n">
        <v>-57.57</v>
      </c>
      <c r="AK141" s="196" t="n">
        <v>2101.24</v>
      </c>
      <c r="AL141" s="196" t="n">
        <v>-762.9299999999999</v>
      </c>
      <c r="AM141" s="197" t="n">
        <v>0.4608</v>
      </c>
      <c r="AN141" s="198" t="n">
        <v>0</v>
      </c>
      <c r="AO141" s="197" t="n">
        <v>-0.07878716529</v>
      </c>
      <c r="BA141" s="199" t="n">
        <v>8960.27</v>
      </c>
      <c r="BC141" s="200" t="inlineStr">
        <is>
          <t>Aug</t>
        </is>
      </c>
      <c r="BD141" s="199" t="n">
        <v>2025</v>
      </c>
      <c r="BE141" s="199" t="n">
        <v>2025</v>
      </c>
    </row>
    <row r="142" ht="15" customHeight="1" s="104">
      <c r="A142" s="194" t="n">
        <v>45900</v>
      </c>
      <c r="B142" s="195" t="inlineStr">
        <is>
          <t>Shopify</t>
        </is>
      </c>
      <c r="C142" s="195" t="inlineStr">
        <is>
          <t>Sales</t>
        </is>
      </c>
      <c r="D142" s="195" t="inlineStr">
        <is>
          <t>Promo</t>
        </is>
      </c>
      <c r="E142" s="196" t="n">
        <v>-332.09</v>
      </c>
      <c r="F142" s="197" t="n">
        <v>-0.03429466625</v>
      </c>
      <c r="BA142" s="199" t="n">
        <v>-332.09</v>
      </c>
      <c r="BC142" s="200" t="inlineStr">
        <is>
          <t>Aug</t>
        </is>
      </c>
      <c r="BD142" s="199" t="n">
        <v>2025</v>
      </c>
      <c r="BE142" s="199" t="n">
        <v>2025</v>
      </c>
    </row>
    <row r="143" ht="15" customHeight="1" s="104">
      <c r="A143" s="194" t="n">
        <v>45900</v>
      </c>
      <c r="B143" s="195" t="inlineStr">
        <is>
          <t>Shopify</t>
        </is>
      </c>
      <c r="C143" s="195" t="inlineStr">
        <is>
          <t>Sales</t>
        </is>
      </c>
      <c r="D143" s="195" t="inlineStr">
        <is>
          <t>Shipping</t>
        </is>
      </c>
      <c r="E143" s="196" t="n">
        <v>724.6799999999999</v>
      </c>
      <c r="F143" s="197" t="n">
        <v>0.07483711866999999</v>
      </c>
      <c r="BA143" s="199" t="n">
        <v>724.6799999999999</v>
      </c>
      <c r="BC143" s="200" t="inlineStr">
        <is>
          <t>Aug</t>
        </is>
      </c>
      <c r="BD143" s="199" t="n">
        <v>2025</v>
      </c>
      <c r="BE143" s="199" t="n">
        <v>2025</v>
      </c>
    </row>
    <row r="144" ht="15" customHeight="1" s="104">
      <c r="A144" s="194" t="n">
        <v>45900</v>
      </c>
      <c r="B144" s="195" t="inlineStr">
        <is>
          <t>Shopify</t>
        </is>
      </c>
      <c r="C144" s="195" t="inlineStr">
        <is>
          <t>Sales</t>
        </is>
      </c>
      <c r="D144" s="195" t="inlineStr">
        <is>
          <t>Sales tax</t>
        </is>
      </c>
      <c r="E144" s="196" t="n">
        <v>57.57</v>
      </c>
      <c r="F144" s="197" t="n">
        <v>0.005945207432</v>
      </c>
      <c r="BA144" s="199" t="n">
        <v>57.57</v>
      </c>
      <c r="BC144" s="200" t="inlineStr">
        <is>
          <t>Aug</t>
        </is>
      </c>
      <c r="BD144" s="199" t="n">
        <v>2025</v>
      </c>
      <c r="BE144" s="199" t="n">
        <v>2025</v>
      </c>
    </row>
    <row r="145" ht="15" customHeight="1" s="104">
      <c r="A145" s="194" t="n">
        <v>45900</v>
      </c>
      <c r="B145" s="195" t="inlineStr">
        <is>
          <t>Shopify</t>
        </is>
      </c>
      <c r="C145" s="195" t="inlineStr">
        <is>
          <t>Sales</t>
        </is>
      </c>
      <c r="D145" s="195" t="inlineStr">
        <is>
          <t>Refunded amount</t>
        </is>
      </c>
      <c r="E145" s="198" t="n">
        <v>0</v>
      </c>
      <c r="F145" s="198" t="n">
        <v>0</v>
      </c>
      <c r="BA145" s="201" t="n">
        <v>0</v>
      </c>
      <c r="BC145" s="200" t="inlineStr">
        <is>
          <t>Aug</t>
        </is>
      </c>
      <c r="BD145" s="199" t="n">
        <v>2025</v>
      </c>
      <c r="BE145" s="199" t="n">
        <v>2025</v>
      </c>
    </row>
    <row r="146" ht="15" customHeight="1" s="104">
      <c r="A146" s="194" t="n">
        <v>45900</v>
      </c>
      <c r="B146" s="195" t="inlineStr">
        <is>
          <t>Shopify</t>
        </is>
      </c>
      <c r="C146" s="195" t="inlineStr">
        <is>
          <t>Sales</t>
        </is>
      </c>
      <c r="D146" s="195" t="inlineStr">
        <is>
          <t>Refunded shipping</t>
        </is>
      </c>
      <c r="E146" s="198" t="n">
        <v>0</v>
      </c>
      <c r="F146" s="198" t="n">
        <v>0</v>
      </c>
      <c r="BA146" s="201" t="n">
        <v>0</v>
      </c>
      <c r="BC146" s="200" t="inlineStr">
        <is>
          <t>Aug</t>
        </is>
      </c>
      <c r="BD146" s="199" t="n">
        <v>2025</v>
      </c>
      <c r="BE146" s="199" t="n">
        <v>2025</v>
      </c>
    </row>
    <row r="147" ht="15" customHeight="1" s="104">
      <c r="A147" s="194" t="n">
        <v>45930</v>
      </c>
      <c r="B147" s="195" t="inlineStr">
        <is>
          <t>Amazon US</t>
        </is>
      </c>
      <c r="C147" s="195" t="inlineStr">
        <is>
          <t>Sales</t>
        </is>
      </c>
      <c r="D147" s="195" t="inlineStr">
        <is>
          <t>Organic</t>
        </is>
      </c>
      <c r="E147" s="196" t="n">
        <v>78693.36</v>
      </c>
      <c r="F147" s="197" t="n">
        <v>0.7741386366</v>
      </c>
      <c r="G147" s="196" t="n">
        <v>2261</v>
      </c>
      <c r="J147" s="198" t="n">
        <v>0</v>
      </c>
      <c r="K147" s="196" t="n">
        <v>21023.54</v>
      </c>
      <c r="L147" s="196" t="n">
        <v>21023.54</v>
      </c>
      <c r="M147" s="197" t="n">
        <v>0.079</v>
      </c>
      <c r="N147" s="197" t="n">
        <v>0.1035</v>
      </c>
      <c r="O147" s="197" t="n">
        <v>0.4716</v>
      </c>
      <c r="P147" s="197" t="n">
        <v>0.2068</v>
      </c>
      <c r="Q147" s="197" t="n">
        <v>0.7549</v>
      </c>
      <c r="BA147" s="199" t="n">
        <v>76432.36</v>
      </c>
      <c r="BC147" s="200" t="inlineStr">
        <is>
          <t>Sep</t>
        </is>
      </c>
      <c r="BD147" s="199" t="n">
        <v>2025</v>
      </c>
      <c r="BE147" s="199" t="n">
        <v>2025</v>
      </c>
    </row>
    <row r="148" ht="15" customHeight="1" s="104">
      <c r="A148" s="194" t="n">
        <v>45930</v>
      </c>
      <c r="B148" s="195" t="inlineStr">
        <is>
          <t>Amazon US</t>
        </is>
      </c>
      <c r="C148" s="195" t="inlineStr">
        <is>
          <t>Sales</t>
        </is>
      </c>
      <c r="D148" s="195" t="inlineStr">
        <is>
          <t>Sponsored Products (same day)</t>
        </is>
      </c>
      <c r="E148" s="196" t="n">
        <v>22959.44</v>
      </c>
      <c r="F148" s="197" t="n">
        <v>0.2258613634</v>
      </c>
      <c r="BA148" s="199" t="n">
        <v>22959.44</v>
      </c>
      <c r="BC148" s="200" t="inlineStr">
        <is>
          <t>Sep</t>
        </is>
      </c>
      <c r="BD148" s="199" t="n">
        <v>2025</v>
      </c>
      <c r="BE148" s="199" t="n">
        <v>2025</v>
      </c>
    </row>
    <row r="149" ht="15" customHeight="1" s="104">
      <c r="A149" s="194" t="n">
        <v>45930</v>
      </c>
      <c r="B149" s="195" t="inlineStr">
        <is>
          <t>Amazon US</t>
        </is>
      </c>
      <c r="C149" s="195" t="inlineStr">
        <is>
          <t>Sales</t>
        </is>
      </c>
      <c r="D149" s="195" t="inlineStr">
        <is>
          <t>Sponsored Display (same day)</t>
        </is>
      </c>
      <c r="E149" s="198" t="n">
        <v>0</v>
      </c>
      <c r="F149" s="198" t="n">
        <v>0</v>
      </c>
      <c r="BA149" s="201" t="n">
        <v>0</v>
      </c>
      <c r="BC149" s="200" t="inlineStr">
        <is>
          <t>Sep</t>
        </is>
      </c>
      <c r="BD149" s="199" t="n">
        <v>2025</v>
      </c>
      <c r="BE149" s="199" t="n">
        <v>2025</v>
      </c>
    </row>
    <row r="150" ht="15" customHeight="1" s="104">
      <c r="A150" s="194" t="n">
        <v>45930</v>
      </c>
      <c r="B150" s="195" t="inlineStr">
        <is>
          <t>Amazon CA</t>
        </is>
      </c>
      <c r="C150" s="195" t="inlineStr">
        <is>
          <t>Sales</t>
        </is>
      </c>
      <c r="D150" s="195" t="inlineStr">
        <is>
          <t>Organic</t>
        </is>
      </c>
      <c r="E150" s="196" t="n">
        <v>7778.43</v>
      </c>
      <c r="F150" s="197" t="n">
        <v>0.7914753718</v>
      </c>
      <c r="G150" s="196" t="n">
        <v>217</v>
      </c>
      <c r="J150" s="198" t="n">
        <v>0</v>
      </c>
      <c r="K150" s="196" t="n">
        <v>1779.92</v>
      </c>
      <c r="L150" s="196" t="n">
        <v>1779.92</v>
      </c>
      <c r="M150" s="197" t="n">
        <v>0.0563</v>
      </c>
      <c r="N150" s="197" t="n">
        <v>0.1705</v>
      </c>
      <c r="O150" s="197" t="n">
        <v>0.3256</v>
      </c>
      <c r="P150" s="197" t="n">
        <v>0.1811</v>
      </c>
      <c r="Q150" s="197" t="n">
        <v>0.6831</v>
      </c>
      <c r="BA150" s="199" t="n">
        <v>7561.43</v>
      </c>
      <c r="BC150" s="200" t="inlineStr">
        <is>
          <t>Sep</t>
        </is>
      </c>
      <c r="BD150" s="199" t="n">
        <v>2025</v>
      </c>
      <c r="BE150" s="199" t="n">
        <v>2025</v>
      </c>
    </row>
    <row r="151" ht="15" customHeight="1" s="104">
      <c r="A151" s="194" t="n">
        <v>45930</v>
      </c>
      <c r="B151" s="195" t="inlineStr">
        <is>
          <t>Amazon CA</t>
        </is>
      </c>
      <c r="C151" s="195" t="inlineStr">
        <is>
          <t>Sales</t>
        </is>
      </c>
      <c r="D151" s="195" t="inlineStr">
        <is>
          <t>Sponsored Products (same day)</t>
        </is>
      </c>
      <c r="E151" s="196" t="n">
        <v>2049.33</v>
      </c>
      <c r="F151" s="197" t="n">
        <v>0.2085246282</v>
      </c>
      <c r="BA151" s="199" t="n">
        <v>2049.33</v>
      </c>
      <c r="BC151" s="200" t="inlineStr">
        <is>
          <t>Sep</t>
        </is>
      </c>
      <c r="BD151" s="199" t="n">
        <v>2025</v>
      </c>
      <c r="BE151" s="199" t="n">
        <v>2025</v>
      </c>
    </row>
    <row r="152" ht="15" customHeight="1" s="104">
      <c r="A152" s="194" t="n">
        <v>45930</v>
      </c>
      <c r="B152" s="195" t="inlineStr">
        <is>
          <t>Amazon CA</t>
        </is>
      </c>
      <c r="C152" s="195" t="inlineStr">
        <is>
          <t>Sales</t>
        </is>
      </c>
      <c r="D152" s="195" t="inlineStr">
        <is>
          <t>Sponsored Display (same day)</t>
        </is>
      </c>
      <c r="E152" s="198" t="n">
        <v>0</v>
      </c>
      <c r="F152" s="198" t="n">
        <v>0</v>
      </c>
      <c r="BA152" s="201" t="n">
        <v>0</v>
      </c>
      <c r="BC152" s="200" t="inlineStr">
        <is>
          <t>Sep</t>
        </is>
      </c>
      <c r="BD152" s="199" t="n">
        <v>2025</v>
      </c>
      <c r="BE152" s="199" t="n">
        <v>2025</v>
      </c>
    </row>
    <row r="153" ht="15" customHeight="1" s="104">
      <c r="A153" s="194" t="n">
        <v>45930</v>
      </c>
      <c r="B153" s="195" t="inlineStr">
        <is>
          <t>Walmart</t>
        </is>
      </c>
      <c r="C153" s="195" t="inlineStr">
        <is>
          <t>Sales</t>
        </is>
      </c>
      <c r="D153" s="195" t="inlineStr">
        <is>
          <t>Gross sales</t>
        </is>
      </c>
      <c r="E153" s="196" t="n">
        <v>2221.37</v>
      </c>
      <c r="F153" s="196" t="n">
        <v>1.046355089</v>
      </c>
      <c r="G153" s="196" t="n">
        <v>61</v>
      </c>
      <c r="J153" s="198" t="n">
        <v>0</v>
      </c>
      <c r="K153" s="196" t="n">
        <v>2221.37</v>
      </c>
      <c r="M153" s="197" t="n">
        <v>0.023</v>
      </c>
      <c r="N153" s="197" t="n">
        <v>0.0495</v>
      </c>
      <c r="P153" s="197" t="n">
        <v>0.4022779515</v>
      </c>
      <c r="AQ153" s="196" t="n">
        <v>-51.04</v>
      </c>
      <c r="AR153" s="196" t="n">
        <v>-239.78</v>
      </c>
      <c r="AU153" s="196" t="n">
        <v>-338.58</v>
      </c>
      <c r="AV153" s="196" t="n">
        <v>-63.02</v>
      </c>
      <c r="AW153" s="196" t="n">
        <v>61.48</v>
      </c>
      <c r="AX153" s="196" t="n">
        <v>-638</v>
      </c>
      <c r="AY153" s="196" t="n">
        <v>854.02</v>
      </c>
      <c r="AZ153" s="199" t="n">
        <v>2122.96</v>
      </c>
      <c r="BA153" s="199" t="n">
        <v>2160.37</v>
      </c>
      <c r="BC153" s="200" t="inlineStr">
        <is>
          <t>Sep</t>
        </is>
      </c>
      <c r="BD153" s="199" t="n">
        <v>2025</v>
      </c>
      <c r="BE153" s="199" t="n">
        <v>2025</v>
      </c>
    </row>
    <row r="154" ht="15" customHeight="1" s="104">
      <c r="A154" s="194" t="n">
        <v>45930</v>
      </c>
      <c r="B154" s="195" t="inlineStr">
        <is>
          <t>Walmart</t>
        </is>
      </c>
      <c r="C154" s="195" t="inlineStr">
        <is>
          <t>Sales</t>
        </is>
      </c>
      <c r="D154" s="195" t="inlineStr">
        <is>
          <t>Gross sales refund</t>
        </is>
      </c>
      <c r="E154" s="196" t="n">
        <v>-109.98</v>
      </c>
      <c r="F154" s="197" t="n">
        <v>-0.05180502694</v>
      </c>
      <c r="BA154" s="199" t="n">
        <v>-109.98</v>
      </c>
      <c r="BC154" s="200" t="inlineStr">
        <is>
          <t>Sep</t>
        </is>
      </c>
      <c r="BD154" s="199" t="n">
        <v>2025</v>
      </c>
      <c r="BE154" s="199" t="n">
        <v>2025</v>
      </c>
    </row>
    <row r="155" ht="15" customHeight="1" s="104">
      <c r="A155" s="194" t="n">
        <v>45930</v>
      </c>
      <c r="B155" s="195" t="inlineStr">
        <is>
          <t>Walmart</t>
        </is>
      </c>
      <c r="C155" s="195" t="inlineStr">
        <is>
          <t>Sales</t>
        </is>
      </c>
      <c r="D155" s="195" t="inlineStr">
        <is>
          <t>Shipping</t>
        </is>
      </c>
      <c r="E155" s="196" t="n">
        <v>13.98</v>
      </c>
      <c r="F155" s="197" t="n">
        <v>0.006585145269</v>
      </c>
      <c r="BA155" s="199" t="n">
        <v>13.98</v>
      </c>
      <c r="BC155" s="200" t="inlineStr">
        <is>
          <t>Sep</t>
        </is>
      </c>
      <c r="BD155" s="199" t="n">
        <v>2025</v>
      </c>
      <c r="BE155" s="199" t="n">
        <v>2025</v>
      </c>
    </row>
    <row r="156" ht="15" customHeight="1" s="104">
      <c r="A156" s="194" t="n">
        <v>45930</v>
      </c>
      <c r="B156" s="195" t="inlineStr">
        <is>
          <t>Walmart</t>
        </is>
      </c>
      <c r="C156" s="195" t="inlineStr">
        <is>
          <t>Sales</t>
        </is>
      </c>
      <c r="D156" s="195" t="inlineStr">
        <is>
          <t>Promotion</t>
        </is>
      </c>
      <c r="E156" s="196" t="n">
        <v>-2.41</v>
      </c>
      <c r="F156" s="197" t="n">
        <v>-0.001135207446</v>
      </c>
      <c r="BA156" s="199" t="n">
        <v>-2.41</v>
      </c>
      <c r="BC156" s="200" t="inlineStr">
        <is>
          <t>Sep</t>
        </is>
      </c>
      <c r="BD156" s="199" t="n">
        <v>2025</v>
      </c>
      <c r="BE156" s="199" t="n">
        <v>2025</v>
      </c>
    </row>
    <row r="157" ht="15" customHeight="1" s="104">
      <c r="A157" s="194" t="n">
        <v>45930</v>
      </c>
      <c r="B157" s="195" t="inlineStr">
        <is>
          <t>Tiktok</t>
        </is>
      </c>
      <c r="C157" s="195" t="inlineStr">
        <is>
          <t>Net Sales</t>
        </is>
      </c>
      <c r="D157" s="195" t="inlineStr">
        <is>
          <t>Gross sales</t>
        </is>
      </c>
      <c r="E157" s="196" t="n">
        <v>2963.24</v>
      </c>
      <c r="F157" s="196" t="n">
        <v>1.078993555</v>
      </c>
      <c r="G157" s="196" t="n">
        <v>83</v>
      </c>
      <c r="J157" s="198" t="n">
        <v>0</v>
      </c>
      <c r="K157" s="196" t="n">
        <v>2963.24</v>
      </c>
      <c r="M157" s="197" t="n">
        <v>0.1838</v>
      </c>
      <c r="N157" s="197" t="n">
        <v>0.07321040483000001</v>
      </c>
      <c r="R157" s="196" t="n">
        <v>2746.3</v>
      </c>
      <c r="S157" s="196" t="n">
        <v>-9.73</v>
      </c>
      <c r="U157" s="196" t="n">
        <v>-967.29</v>
      </c>
      <c r="V157" s="196" t="n">
        <v>-6.1</v>
      </c>
      <c r="W157" s="196" t="n">
        <v>-164.82</v>
      </c>
      <c r="X157" s="196" t="n">
        <v>-184.1</v>
      </c>
      <c r="Y157" s="196" t="n">
        <v>-2.62</v>
      </c>
      <c r="Z157" s="196" t="n">
        <v>-925.14</v>
      </c>
      <c r="AA157" s="196" t="n">
        <v>-360.57</v>
      </c>
      <c r="AB157" s="196" t="n">
        <v>125.93</v>
      </c>
      <c r="AC157" s="197" t="n">
        <v>0.04585442231</v>
      </c>
      <c r="BA157" s="199" t="n">
        <v>2880.24</v>
      </c>
      <c r="BC157" s="200" t="inlineStr">
        <is>
          <t>Sep</t>
        </is>
      </c>
      <c r="BD157" s="199" t="n">
        <v>2025</v>
      </c>
      <c r="BE157" s="199" t="n">
        <v>2025</v>
      </c>
    </row>
    <row r="158" ht="15" customHeight="1" s="104">
      <c r="A158" s="194" t="n">
        <v>45930</v>
      </c>
      <c r="B158" s="195" t="inlineStr">
        <is>
          <t>Tiktok</t>
        </is>
      </c>
      <c r="C158" s="195" t="inlineStr">
        <is>
          <t>Net Sales</t>
        </is>
      </c>
      <c r="D158" s="195" t="inlineStr">
        <is>
          <t>Gross sales refund</t>
        </is>
      </c>
      <c r="E158" s="196" t="n">
        <v>-216.94</v>
      </c>
      <c r="F158" s="197" t="n">
        <v>-0.07899355496</v>
      </c>
      <c r="BA158" s="199" t="n">
        <v>-216.94</v>
      </c>
      <c r="BC158" s="200" t="inlineStr">
        <is>
          <t>Sep</t>
        </is>
      </c>
      <c r="BD158" s="199" t="n">
        <v>2025</v>
      </c>
      <c r="BE158" s="199" t="n">
        <v>2025</v>
      </c>
    </row>
    <row r="159" ht="15" customHeight="1" s="104">
      <c r="A159" s="194" t="n">
        <v>45930</v>
      </c>
      <c r="B159" s="195" t="inlineStr">
        <is>
          <t>Tiktok</t>
        </is>
      </c>
      <c r="C159" s="195" t="inlineStr">
        <is>
          <t>Net Sales</t>
        </is>
      </c>
      <c r="D159" s="195" t="inlineStr">
        <is>
          <t>Seller discount</t>
        </is>
      </c>
      <c r="E159" s="198" t="n">
        <v>0</v>
      </c>
      <c r="F159" s="198" t="n">
        <v>0</v>
      </c>
      <c r="BA159" s="201" t="n">
        <v>0</v>
      </c>
      <c r="BC159" s="200" t="inlineStr">
        <is>
          <t>Sep</t>
        </is>
      </c>
      <c r="BD159" s="199" t="n">
        <v>2025</v>
      </c>
      <c r="BE159" s="199" t="n">
        <v>2025</v>
      </c>
    </row>
    <row r="160" ht="15" customHeight="1" s="104">
      <c r="A160" s="194" t="n">
        <v>45930</v>
      </c>
      <c r="B160" s="195" t="inlineStr">
        <is>
          <t>Tiktok</t>
        </is>
      </c>
      <c r="C160" s="195" t="inlineStr">
        <is>
          <t>Net Sales</t>
        </is>
      </c>
      <c r="D160" s="195" t="inlineStr">
        <is>
          <t>Seller discount refund</t>
        </is>
      </c>
      <c r="E160" s="198" t="n">
        <v>0</v>
      </c>
      <c r="F160" s="198" t="n">
        <v>0</v>
      </c>
      <c r="BA160" s="201" t="n">
        <v>0</v>
      </c>
      <c r="BC160" s="200" t="inlineStr">
        <is>
          <t>Sep</t>
        </is>
      </c>
      <c r="BD160" s="199" t="n">
        <v>2025</v>
      </c>
      <c r="BE160" s="199" t="n">
        <v>2025</v>
      </c>
    </row>
    <row r="161" ht="15" customHeight="1" s="104">
      <c r="A161" s="194" t="n">
        <v>45930</v>
      </c>
      <c r="B161" s="195" t="inlineStr">
        <is>
          <t>Shopify</t>
        </is>
      </c>
      <c r="C161" s="195" t="inlineStr">
        <is>
          <t>Sales</t>
        </is>
      </c>
      <c r="D161" s="195" t="inlineStr">
        <is>
          <t>Gross sales</t>
        </is>
      </c>
      <c r="E161" s="196" t="n">
        <v>11197.6</v>
      </c>
      <c r="F161" s="197" t="n">
        <v>0.9625099388</v>
      </c>
      <c r="G161" s="196" t="n">
        <v>339</v>
      </c>
      <c r="J161" s="196" t="n">
        <v>-111.81</v>
      </c>
      <c r="K161" s="196" t="n">
        <v>709.33</v>
      </c>
      <c r="L161" s="196" t="n">
        <v>709.33</v>
      </c>
      <c r="M161" s="197" t="n">
        <v>0.5926</v>
      </c>
      <c r="N161" s="197" t="n">
        <v>0.006427270129</v>
      </c>
      <c r="O161" s="196" t="n">
        <v>1</v>
      </c>
      <c r="P161" s="197" t="n">
        <v>0.061</v>
      </c>
      <c r="Q161" s="198" t="n">
        <v>0</v>
      </c>
      <c r="AD161" s="196" t="n">
        <v>-6894.29</v>
      </c>
      <c r="AE161" s="198" t="n">
        <v>0</v>
      </c>
      <c r="AF161" s="196" t="n">
        <v>-3370</v>
      </c>
      <c r="AH161" s="196" t="n">
        <v>-374.76</v>
      </c>
      <c r="AI161" s="196" t="n">
        <v>-3375.91</v>
      </c>
      <c r="AJ161" s="196" t="n">
        <v>-111.81</v>
      </c>
      <c r="AK161" s="196" t="n">
        <v>709.33</v>
      </c>
      <c r="AL161" s="196" t="n">
        <v>-2493.02</v>
      </c>
      <c r="AM161" s="197" t="n">
        <v>0.5926</v>
      </c>
      <c r="AN161" s="197" t="n">
        <v>0.006427270129</v>
      </c>
      <c r="AO161" s="197" t="n">
        <v>-0.2142920383</v>
      </c>
      <c r="BA161" s="199" t="n">
        <v>10858.6</v>
      </c>
      <c r="BC161" s="200" t="inlineStr">
        <is>
          <t>Sep</t>
        </is>
      </c>
      <c r="BD161" s="199" t="n">
        <v>2025</v>
      </c>
      <c r="BE161" s="199" t="n">
        <v>2025</v>
      </c>
    </row>
    <row r="162" ht="15" customHeight="1" s="104">
      <c r="A162" s="194" t="n">
        <v>45930</v>
      </c>
      <c r="B162" s="195" t="inlineStr">
        <is>
          <t>Shopify</t>
        </is>
      </c>
      <c r="C162" s="195" t="inlineStr">
        <is>
          <t>Sales</t>
        </is>
      </c>
      <c r="D162" s="195" t="inlineStr">
        <is>
          <t>Promo</t>
        </is>
      </c>
      <c r="E162" s="196" t="n">
        <v>-529.89</v>
      </c>
      <c r="F162" s="197" t="n">
        <v>-0.0455476523</v>
      </c>
      <c r="BA162" s="199" t="n">
        <v>-529.89</v>
      </c>
      <c r="BC162" s="200" t="inlineStr">
        <is>
          <t>Sep</t>
        </is>
      </c>
      <c r="BD162" s="199" t="n">
        <v>2025</v>
      </c>
      <c r="BE162" s="199" t="n">
        <v>2025</v>
      </c>
    </row>
    <row r="163" ht="15" customHeight="1" s="104">
      <c r="A163" s="194" t="n">
        <v>45930</v>
      </c>
      <c r="B163" s="195" t="inlineStr">
        <is>
          <t>Shopify</t>
        </is>
      </c>
      <c r="C163" s="195" t="inlineStr">
        <is>
          <t>Sales</t>
        </is>
      </c>
      <c r="D163" s="195" t="inlineStr">
        <is>
          <t>Shipping</t>
        </is>
      </c>
      <c r="E163" s="196" t="n">
        <v>932.1900000000001</v>
      </c>
      <c r="F163" s="197" t="n">
        <v>0.08012807564</v>
      </c>
      <c r="BA163" s="199" t="n">
        <v>932.1900000000001</v>
      </c>
      <c r="BC163" s="200" t="inlineStr">
        <is>
          <t>Sep</t>
        </is>
      </c>
      <c r="BD163" s="199" t="n">
        <v>2025</v>
      </c>
      <c r="BE163" s="199" t="n">
        <v>2025</v>
      </c>
    </row>
    <row r="164" ht="15" customHeight="1" s="104">
      <c r="A164" s="194" t="n">
        <v>45930</v>
      </c>
      <c r="B164" s="195" t="inlineStr">
        <is>
          <t>Shopify</t>
        </is>
      </c>
      <c r="C164" s="195" t="inlineStr">
        <is>
          <t>Sales</t>
        </is>
      </c>
      <c r="D164" s="195" t="inlineStr">
        <is>
          <t>Sales tax</t>
        </is>
      </c>
      <c r="E164" s="196" t="n">
        <v>111.81</v>
      </c>
      <c r="F164" s="197" t="n">
        <v>0.009610830557999999</v>
      </c>
      <c r="BA164" s="199" t="n">
        <v>111.81</v>
      </c>
      <c r="BC164" s="200" t="inlineStr">
        <is>
          <t>Sep</t>
        </is>
      </c>
      <c r="BD164" s="199" t="n">
        <v>2025</v>
      </c>
      <c r="BE164" s="199" t="n">
        <v>2025</v>
      </c>
    </row>
    <row r="165" ht="15" customHeight="1" s="104">
      <c r="A165" s="194" t="n">
        <v>45930</v>
      </c>
      <c r="B165" s="195" t="inlineStr">
        <is>
          <t>Shopify</t>
        </is>
      </c>
      <c r="C165" s="195" t="inlineStr">
        <is>
          <t>Sales</t>
        </is>
      </c>
      <c r="D165" s="195" t="inlineStr">
        <is>
          <t>Refunded amount</t>
        </is>
      </c>
      <c r="E165" s="196" t="n">
        <v>-71.97</v>
      </c>
      <c r="F165" s="197" t="n">
        <v>-0.006186311379</v>
      </c>
      <c r="BA165" s="199" t="n">
        <v>-71.97</v>
      </c>
      <c r="BC165" s="200" t="inlineStr">
        <is>
          <t>Sep</t>
        </is>
      </c>
      <c r="BD165" s="199" t="n">
        <v>2025</v>
      </c>
      <c r="BE165" s="199" t="n">
        <v>2025</v>
      </c>
    </row>
    <row r="166" ht="15" customHeight="1" s="104">
      <c r="A166" s="194" t="n">
        <v>45930</v>
      </c>
      <c r="B166" s="195" t="inlineStr">
        <is>
          <t>Shopify</t>
        </is>
      </c>
      <c r="C166" s="195" t="inlineStr">
        <is>
          <t>Sales</t>
        </is>
      </c>
      <c r="D166" s="195" t="inlineStr">
        <is>
          <t>Refunded shipping</t>
        </is>
      </c>
      <c r="E166" s="196" t="n">
        <v>-5.99</v>
      </c>
      <c r="F166" s="197" t="n">
        <v>-0.0005148812722</v>
      </c>
      <c r="BA166" s="199" t="n">
        <v>-5.99</v>
      </c>
      <c r="BC166" s="200" t="inlineStr">
        <is>
          <t>Sep</t>
        </is>
      </c>
      <c r="BD166" s="199" t="n">
        <v>2025</v>
      </c>
      <c r="BE166" s="199" t="n">
        <v>2025</v>
      </c>
    </row>
    <row r="167" ht="15" customHeight="1" s="104">
      <c r="A167" s="194" t="n">
        <v>45961</v>
      </c>
      <c r="B167" s="195" t="inlineStr">
        <is>
          <t>Tiktok</t>
        </is>
      </c>
      <c r="C167" s="195" t="inlineStr">
        <is>
          <t>Net Sales</t>
        </is>
      </c>
      <c r="D167" s="195" t="inlineStr">
        <is>
          <t>Gross sales</t>
        </is>
      </c>
      <c r="E167" s="196" t="n">
        <v>4279.92</v>
      </c>
      <c r="F167" s="196" t="n">
        <v>1.105916765</v>
      </c>
      <c r="G167" s="196" t="n">
        <v>117</v>
      </c>
      <c r="J167" s="198" t="n">
        <v>0</v>
      </c>
      <c r="K167" s="196" t="n">
        <v>4279.92</v>
      </c>
      <c r="M167" s="197" t="n">
        <v>0.1819</v>
      </c>
      <c r="N167" s="197" t="n">
        <v>0.09577281818</v>
      </c>
      <c r="R167" s="196" t="n">
        <v>3870.02</v>
      </c>
      <c r="S167" s="196" t="n">
        <v>-21.59</v>
      </c>
      <c r="U167" s="196" t="n">
        <v>-1449.42</v>
      </c>
      <c r="V167" s="196" t="n">
        <v>-48.42</v>
      </c>
      <c r="W167" s="196" t="n">
        <v>-232.26</v>
      </c>
      <c r="X167" s="196" t="n">
        <v>-192.1</v>
      </c>
      <c r="Y167" s="196" t="n">
        <v>-3.04</v>
      </c>
      <c r="Z167" s="196" t="n">
        <v>-1315.46</v>
      </c>
      <c r="AA167" s="196" t="n">
        <v>-586.48</v>
      </c>
      <c r="AB167" s="196" t="n">
        <v>21.25</v>
      </c>
      <c r="AC167" s="197" t="n">
        <v>0.005490927695</v>
      </c>
      <c r="BA167" s="199" t="n">
        <v>4162.92</v>
      </c>
      <c r="BC167" s="200" t="inlineStr">
        <is>
          <t>Oct</t>
        </is>
      </c>
      <c r="BD167" s="199" t="n">
        <v>2025</v>
      </c>
      <c r="BE167" s="199" t="n">
        <v>2025</v>
      </c>
    </row>
    <row r="168" ht="15" customHeight="1" s="104">
      <c r="A168" s="194" t="n">
        <v>45961</v>
      </c>
      <c r="B168" s="195" t="inlineStr">
        <is>
          <t>Tiktok</t>
        </is>
      </c>
      <c r="C168" s="195" t="inlineStr">
        <is>
          <t>Net Sales</t>
        </is>
      </c>
      <c r="D168" s="195" t="inlineStr">
        <is>
          <t>Gross sales refund</t>
        </is>
      </c>
      <c r="E168" s="196" t="n">
        <v>-409.9</v>
      </c>
      <c r="F168" s="197" t="n">
        <v>-0.1059167653</v>
      </c>
      <c r="BA168" s="199" t="n">
        <v>-409.9</v>
      </c>
      <c r="BC168" s="200" t="inlineStr">
        <is>
          <t>Oct</t>
        </is>
      </c>
      <c r="BD168" s="199" t="n">
        <v>2025</v>
      </c>
      <c r="BE168" s="199" t="n">
        <v>2025</v>
      </c>
    </row>
    <row r="169" ht="15" customHeight="1" s="104">
      <c r="A169" s="194" t="n">
        <v>45961</v>
      </c>
      <c r="B169" s="195" t="inlineStr">
        <is>
          <t>Tiktok</t>
        </is>
      </c>
      <c r="C169" s="195" t="inlineStr">
        <is>
          <t>Net Sales</t>
        </is>
      </c>
      <c r="D169" s="195" t="inlineStr">
        <is>
          <t>Seller discount</t>
        </is>
      </c>
      <c r="E169" s="198" t="n">
        <v>0</v>
      </c>
      <c r="F169" s="198" t="n">
        <v>0</v>
      </c>
      <c r="BA169" s="201" t="n">
        <v>0</v>
      </c>
      <c r="BC169" s="200" t="inlineStr">
        <is>
          <t>Oct</t>
        </is>
      </c>
      <c r="BD169" s="199" t="n">
        <v>2025</v>
      </c>
      <c r="BE169" s="199" t="n">
        <v>2025</v>
      </c>
    </row>
    <row r="170" ht="15" customHeight="1" s="104">
      <c r="A170" s="194" t="n">
        <v>45961</v>
      </c>
      <c r="B170" s="195" t="inlineStr">
        <is>
          <t>Tiktok</t>
        </is>
      </c>
      <c r="C170" s="195" t="inlineStr">
        <is>
          <t>Net Sales</t>
        </is>
      </c>
      <c r="D170" s="195" t="inlineStr">
        <is>
          <t>Seller discount refund</t>
        </is>
      </c>
      <c r="E170" s="198" t="n">
        <v>0</v>
      </c>
      <c r="F170" s="198" t="n">
        <v>0</v>
      </c>
      <c r="BA170" s="201" t="n">
        <v>0</v>
      </c>
      <c r="BC170" s="200" t="inlineStr">
        <is>
          <t>Oct</t>
        </is>
      </c>
      <c r="BD170" s="199" t="n">
        <v>2025</v>
      </c>
      <c r="BE170" s="199" t="n">
        <v>2025</v>
      </c>
    </row>
    <row r="171" ht="15" customHeight="1" s="104">
      <c r="A171" s="194" t="n">
        <v>45961</v>
      </c>
      <c r="B171" s="195" t="inlineStr">
        <is>
          <t>Shopify</t>
        </is>
      </c>
      <c r="C171" s="195" t="inlineStr">
        <is>
          <t>Sales</t>
        </is>
      </c>
      <c r="D171" s="195" t="inlineStr">
        <is>
          <t>Gross sales</t>
        </is>
      </c>
      <c r="E171" s="196" t="n">
        <v>4566.58</v>
      </c>
      <c r="F171" s="197" t="n">
        <v>0.9596256128</v>
      </c>
      <c r="G171" s="196" t="n">
        <v>142</v>
      </c>
      <c r="J171" s="196" t="n">
        <v>-40.09</v>
      </c>
      <c r="K171" s="196" t="n">
        <v>1247.57</v>
      </c>
      <c r="L171" s="196" t="n">
        <v>1247.57</v>
      </c>
      <c r="M171" s="197" t="n">
        <v>0.3881</v>
      </c>
      <c r="N171" s="197" t="n">
        <v>0.01950693955</v>
      </c>
      <c r="O171" s="198" t="n">
        <v>0</v>
      </c>
      <c r="P171" s="197" t="n">
        <v>0.2622</v>
      </c>
      <c r="Q171" s="198" t="n">
        <v>0</v>
      </c>
      <c r="AD171" s="196" t="n">
        <v>-1846.8</v>
      </c>
      <c r="AE171" s="198" t="n">
        <v>0</v>
      </c>
      <c r="AF171" s="196" t="n">
        <v>-1122.03</v>
      </c>
      <c r="AH171" s="196" t="n">
        <v>-147.97</v>
      </c>
      <c r="AI171" s="196" t="n">
        <v>-1476.28</v>
      </c>
      <c r="AJ171" s="196" t="n">
        <v>-40.09</v>
      </c>
      <c r="AK171" s="196" t="n">
        <v>1247.57</v>
      </c>
      <c r="AL171" s="196" t="n">
        <v>125.54</v>
      </c>
      <c r="AM171" s="197" t="n">
        <v>0.3881</v>
      </c>
      <c r="AN171" s="197" t="n">
        <v>0.01950693955</v>
      </c>
      <c r="AO171" s="197" t="n">
        <v>0.02638109908</v>
      </c>
      <c r="BA171" s="199" t="n">
        <v>4424.58</v>
      </c>
      <c r="BC171" s="200" t="inlineStr">
        <is>
          <t>Oct</t>
        </is>
      </c>
      <c r="BD171" s="199" t="n">
        <v>2025</v>
      </c>
      <c r="BE171" s="199" t="n">
        <v>2025</v>
      </c>
    </row>
    <row r="172" ht="15" customHeight="1" s="104">
      <c r="A172" s="194" t="n">
        <v>45961</v>
      </c>
      <c r="B172" s="195" t="inlineStr">
        <is>
          <t>Shopify</t>
        </is>
      </c>
      <c r="C172" s="195" t="inlineStr">
        <is>
          <t>Sales</t>
        </is>
      </c>
      <c r="D172" s="195" t="inlineStr">
        <is>
          <t>Promo</t>
        </is>
      </c>
      <c r="E172" s="196" t="n">
        <v>-74.31999999999999</v>
      </c>
      <c r="F172" s="197" t="n">
        <v>-0.0156176779</v>
      </c>
      <c r="BA172" s="199" t="n">
        <v>-74.31999999999999</v>
      </c>
      <c r="BC172" s="200" t="inlineStr">
        <is>
          <t>Oct</t>
        </is>
      </c>
      <c r="BD172" s="199" t="n">
        <v>2025</v>
      </c>
      <c r="BE172" s="199" t="n">
        <v>2025</v>
      </c>
    </row>
    <row r="173" ht="15" customHeight="1" s="104">
      <c r="A173" s="194" t="n">
        <v>45961</v>
      </c>
      <c r="B173" s="195" t="inlineStr">
        <is>
          <t>Shopify</t>
        </is>
      </c>
      <c r="C173" s="195" t="inlineStr">
        <is>
          <t>Sales</t>
        </is>
      </c>
      <c r="D173" s="195" t="inlineStr">
        <is>
          <t>Shipping</t>
        </is>
      </c>
      <c r="E173" s="196" t="n">
        <v>321.43</v>
      </c>
      <c r="F173" s="197" t="n">
        <v>0.06754561635</v>
      </c>
      <c r="AH173" s="202" t="inlineStr">
        <is>
          <t xml:space="preserve">  </t>
        </is>
      </c>
      <c r="BA173" s="199" t="n">
        <v>321.43</v>
      </c>
      <c r="BC173" s="200" t="inlineStr">
        <is>
          <t>Oct</t>
        </is>
      </c>
      <c r="BD173" s="199" t="n">
        <v>2025</v>
      </c>
      <c r="BE173" s="199" t="n">
        <v>2025</v>
      </c>
    </row>
    <row r="174" ht="15" customHeight="1" s="104">
      <c r="A174" s="194" t="n">
        <v>45961</v>
      </c>
      <c r="B174" s="195" t="inlineStr">
        <is>
          <t>Shopify</t>
        </is>
      </c>
      <c r="C174" s="195" t="inlineStr">
        <is>
          <t>Sales</t>
        </is>
      </c>
      <c r="D174" s="195" t="inlineStr">
        <is>
          <t>Sales tax</t>
        </is>
      </c>
      <c r="E174" s="196" t="n">
        <v>40.09</v>
      </c>
      <c r="F174" s="197" t="n">
        <v>0.008424552032</v>
      </c>
      <c r="BA174" s="199" t="n">
        <v>40.09</v>
      </c>
      <c r="BC174" s="200" t="inlineStr">
        <is>
          <t>Oct</t>
        </is>
      </c>
      <c r="BD174" s="199" t="n">
        <v>2025</v>
      </c>
      <c r="BE174" s="199" t="n">
        <v>2025</v>
      </c>
    </row>
    <row r="175" ht="15" customHeight="1" s="104">
      <c r="A175" s="194" t="n">
        <v>45961</v>
      </c>
      <c r="B175" s="195" t="inlineStr">
        <is>
          <t>Shopify</t>
        </is>
      </c>
      <c r="C175" s="195" t="inlineStr">
        <is>
          <t>Sales</t>
        </is>
      </c>
      <c r="D175" s="195" t="inlineStr">
        <is>
          <t>Refunded amount</t>
        </is>
      </c>
      <c r="E175" s="196" t="n">
        <v>-89.08</v>
      </c>
      <c r="F175" s="197" t="n">
        <v>-0.01871935882</v>
      </c>
      <c r="BA175" s="199" t="n">
        <v>-89.08</v>
      </c>
      <c r="BC175" s="200" t="inlineStr">
        <is>
          <t>Oct</t>
        </is>
      </c>
      <c r="BD175" s="199" t="n">
        <v>2025</v>
      </c>
      <c r="BE175" s="199" t="n">
        <v>2025</v>
      </c>
    </row>
    <row r="176" ht="15" customHeight="1" s="104">
      <c r="A176" s="194" t="n">
        <v>45961</v>
      </c>
      <c r="B176" s="195" t="inlineStr">
        <is>
          <t>Shopify</t>
        </is>
      </c>
      <c r="C176" s="195" t="inlineStr">
        <is>
          <t>Sales</t>
        </is>
      </c>
      <c r="D176" s="195" t="inlineStr">
        <is>
          <t>Refunded shipping</t>
        </is>
      </c>
      <c r="E176" s="196" t="n">
        <v>-5.99</v>
      </c>
      <c r="F176" s="197" t="n">
        <v>-0.001258744492</v>
      </c>
      <c r="BA176" s="199" t="n">
        <v>-5.99</v>
      </c>
      <c r="BC176" s="200" t="inlineStr">
        <is>
          <t>Oct</t>
        </is>
      </c>
      <c r="BD176" s="199" t="n">
        <v>2025</v>
      </c>
      <c r="BE176" s="199" t="n">
        <v>2025</v>
      </c>
    </row>
    <row r="177" ht="15" customHeight="1" s="104">
      <c r="A177" s="194" t="n">
        <v>45961</v>
      </c>
      <c r="B177" s="195" t="inlineStr">
        <is>
          <t>Walmart</t>
        </is>
      </c>
      <c r="C177" s="195" t="inlineStr">
        <is>
          <t>Sales</t>
        </is>
      </c>
      <c r="D177" s="195" t="inlineStr">
        <is>
          <t>Gross sales</t>
        </is>
      </c>
      <c r="E177" s="196" t="n">
        <v>1698.47</v>
      </c>
      <c r="F177" s="196" t="n">
        <v>1</v>
      </c>
      <c r="G177" s="196" t="n">
        <v>44</v>
      </c>
      <c r="J177" s="198" t="n">
        <v>0</v>
      </c>
      <c r="K177" s="196" t="n">
        <v>1698.47</v>
      </c>
      <c r="M177" s="197" t="n">
        <v>0.0921</v>
      </c>
      <c r="N177" s="198" t="n">
        <v>0</v>
      </c>
      <c r="P177" s="197" t="n">
        <v>0.2746825084</v>
      </c>
      <c r="AQ177" s="196" t="n">
        <v>-156.44</v>
      </c>
      <c r="AR177" s="196" t="n">
        <v>-256.15</v>
      </c>
      <c r="AU177" s="196" t="n">
        <v>-259.8</v>
      </c>
      <c r="AV177" s="196" t="n">
        <v>-58.35</v>
      </c>
      <c r="AW177" s="196" t="n">
        <v>24.33</v>
      </c>
      <c r="AX177" s="196" t="n">
        <v>-525.52</v>
      </c>
      <c r="AY177" s="196" t="n">
        <v>466.54</v>
      </c>
      <c r="AZ177" s="199" t="n">
        <v>1698.47</v>
      </c>
      <c r="BA177" s="199" t="n">
        <v>1654.47</v>
      </c>
      <c r="BC177" s="200" t="inlineStr">
        <is>
          <t>Oct</t>
        </is>
      </c>
      <c r="BD177" s="199" t="n">
        <v>2025</v>
      </c>
      <c r="BE177" s="199" t="n">
        <v>2025</v>
      </c>
    </row>
    <row r="178" ht="15" customHeight="1" s="104">
      <c r="A178" s="194" t="n">
        <v>45961</v>
      </c>
      <c r="B178" s="195" t="inlineStr">
        <is>
          <t>Walmart</t>
        </is>
      </c>
      <c r="C178" s="195" t="inlineStr">
        <is>
          <t>Sales</t>
        </is>
      </c>
      <c r="D178" s="195" t="inlineStr">
        <is>
          <t>Gross sales refund</t>
        </is>
      </c>
      <c r="E178" s="198" t="n">
        <v>0</v>
      </c>
      <c r="F178" s="198" t="n">
        <v>0</v>
      </c>
      <c r="BA178" s="201" t="n">
        <v>0</v>
      </c>
      <c r="BC178" s="200" t="inlineStr">
        <is>
          <t>Oct</t>
        </is>
      </c>
      <c r="BD178" s="199" t="n">
        <v>2025</v>
      </c>
      <c r="BE178" s="199" t="n">
        <v>2025</v>
      </c>
    </row>
    <row r="179" ht="15" customHeight="1" s="104">
      <c r="A179" s="194" t="n">
        <v>45961</v>
      </c>
      <c r="B179" s="195" t="inlineStr">
        <is>
          <t>Walmart</t>
        </is>
      </c>
      <c r="C179" s="195" t="inlineStr">
        <is>
          <t>Sales</t>
        </is>
      </c>
      <c r="D179" s="195" t="inlineStr">
        <is>
          <t>Shipping</t>
        </is>
      </c>
      <c r="E179" s="198" t="n">
        <v>0</v>
      </c>
      <c r="F179" s="198" t="n">
        <v>0</v>
      </c>
      <c r="BA179" s="201" t="n">
        <v>0</v>
      </c>
      <c r="BC179" s="200" t="inlineStr">
        <is>
          <t>Oct</t>
        </is>
      </c>
      <c r="BD179" s="199" t="n">
        <v>2025</v>
      </c>
      <c r="BE179" s="199" t="n">
        <v>2025</v>
      </c>
    </row>
    <row r="180" ht="15" customHeight="1" s="104">
      <c r="A180" s="194" t="n">
        <v>45961</v>
      </c>
      <c r="B180" s="195" t="inlineStr">
        <is>
          <t>Walmart</t>
        </is>
      </c>
      <c r="C180" s="195" t="inlineStr">
        <is>
          <t>Sales</t>
        </is>
      </c>
      <c r="D180" s="195" t="inlineStr">
        <is>
          <t>Promotion</t>
        </is>
      </c>
      <c r="E180" s="198" t="n">
        <v>0</v>
      </c>
      <c r="F180" s="198" t="n">
        <v>0</v>
      </c>
      <c r="BA180" s="201" t="n">
        <v>0</v>
      </c>
      <c r="BC180" s="200" t="inlineStr">
        <is>
          <t>Oct</t>
        </is>
      </c>
      <c r="BD180" s="199" t="n">
        <v>2025</v>
      </c>
      <c r="BE180" s="199" t="n">
        <v>2025</v>
      </c>
    </row>
    <row r="181" ht="15" customHeight="1" s="104">
      <c r="A181" s="194" t="n">
        <v>45961</v>
      </c>
      <c r="B181" s="195" t="inlineStr">
        <is>
          <t>Amazon US</t>
        </is>
      </c>
      <c r="C181" s="195" t="inlineStr">
        <is>
          <t>Sales</t>
        </is>
      </c>
      <c r="D181" s="195" t="inlineStr">
        <is>
          <t>Organic</t>
        </is>
      </c>
      <c r="E181" s="196" t="n">
        <v>73777.06</v>
      </c>
      <c r="F181" s="197" t="n">
        <v>0.7695478471</v>
      </c>
      <c r="G181" s="196" t="n">
        <v>2200</v>
      </c>
      <c r="J181" s="198" t="n">
        <v>0</v>
      </c>
      <c r="K181" s="196" t="n">
        <v>17351.3</v>
      </c>
      <c r="L181" s="196" t="n">
        <v>17351.3</v>
      </c>
      <c r="M181" s="197" t="n">
        <v>0.0842</v>
      </c>
      <c r="N181" s="197" t="n">
        <v>0.1191</v>
      </c>
      <c r="O181" s="197" t="n">
        <v>0.4554</v>
      </c>
      <c r="P181" s="197" t="n">
        <v>0.181</v>
      </c>
      <c r="Q181" s="197" t="n">
        <v>0.6544</v>
      </c>
      <c r="BA181" s="199" t="n">
        <v>71577.06</v>
      </c>
      <c r="BC181" s="200" t="inlineStr">
        <is>
          <t>Oct</t>
        </is>
      </c>
      <c r="BD181" s="199" t="n">
        <v>2025</v>
      </c>
      <c r="BE181" s="199" t="n">
        <v>2025</v>
      </c>
    </row>
    <row r="182" ht="15" customHeight="1" s="104">
      <c r="A182" s="194" t="n">
        <v>45961</v>
      </c>
      <c r="B182" s="195" t="inlineStr">
        <is>
          <t>Amazon US</t>
        </is>
      </c>
      <c r="C182" s="195" t="inlineStr">
        <is>
          <t>Sales</t>
        </is>
      </c>
      <c r="D182" s="195" t="inlineStr">
        <is>
          <t>Sponsored Products (same day)</t>
        </is>
      </c>
      <c r="E182" s="196" t="n">
        <v>22093.6</v>
      </c>
      <c r="F182" s="197" t="n">
        <v>0.2304521529</v>
      </c>
      <c r="BA182" s="199" t="n">
        <v>22093.6</v>
      </c>
      <c r="BC182" s="200" t="inlineStr">
        <is>
          <t>Oct</t>
        </is>
      </c>
      <c r="BD182" s="199" t="n">
        <v>2025</v>
      </c>
      <c r="BE182" s="199" t="n">
        <v>2025</v>
      </c>
    </row>
    <row r="183" ht="15" customHeight="1" s="104">
      <c r="A183" s="194" t="n">
        <v>45961</v>
      </c>
      <c r="B183" s="195" t="inlineStr">
        <is>
          <t>Amazon US</t>
        </is>
      </c>
      <c r="C183" s="195" t="inlineStr">
        <is>
          <t>Sales</t>
        </is>
      </c>
      <c r="D183" s="195" t="inlineStr">
        <is>
          <t>Sponsored Display (same day)</t>
        </is>
      </c>
      <c r="E183" s="198" t="n">
        <v>0</v>
      </c>
      <c r="F183" s="198" t="n">
        <v>0</v>
      </c>
      <c r="BA183" s="201" t="n">
        <v>0</v>
      </c>
      <c r="BC183" s="200" t="inlineStr">
        <is>
          <t>Oct</t>
        </is>
      </c>
      <c r="BD183" s="199" t="n">
        <v>2025</v>
      </c>
      <c r="BE183" s="199" t="n">
        <v>2025</v>
      </c>
    </row>
    <row r="184" ht="15" customHeight="1" s="104">
      <c r="A184" s="194" t="n">
        <v>45961</v>
      </c>
      <c r="B184" s="195" t="inlineStr">
        <is>
          <t>Amazon CA</t>
        </is>
      </c>
      <c r="C184" s="195" t="inlineStr">
        <is>
          <t>Sales</t>
        </is>
      </c>
      <c r="D184" s="195" t="inlineStr">
        <is>
          <t>Organic</t>
        </is>
      </c>
      <c r="E184" s="196" t="n">
        <v>4909.92</v>
      </c>
      <c r="F184" s="197" t="n">
        <v>0.6967172871</v>
      </c>
      <c r="G184" s="196" t="n">
        <v>152</v>
      </c>
      <c r="J184" s="198" t="n">
        <v>0</v>
      </c>
      <c r="K184" s="196" t="n">
        <v>609.01</v>
      </c>
      <c r="L184" s="196" t="n">
        <v>609.01</v>
      </c>
      <c r="M184" s="197" t="n">
        <v>0.09760000000000001</v>
      </c>
      <c r="N184" s="197" t="n">
        <v>0.1776</v>
      </c>
      <c r="O184" s="197" t="n">
        <v>0.5</v>
      </c>
      <c r="P184" s="197" t="n">
        <v>0.0864</v>
      </c>
      <c r="Q184" s="197" t="n">
        <v>0.3055</v>
      </c>
      <c r="BA184" s="199" t="n">
        <v>4757.92</v>
      </c>
      <c r="BC184" s="200" t="inlineStr">
        <is>
          <t>Oct</t>
        </is>
      </c>
      <c r="BD184" s="199" t="n">
        <v>2025</v>
      </c>
      <c r="BE184" s="199" t="n">
        <v>2025</v>
      </c>
    </row>
    <row r="185" ht="15" customHeight="1" s="104">
      <c r="A185" s="194" t="n">
        <v>45961</v>
      </c>
      <c r="B185" s="195" t="inlineStr">
        <is>
          <t>Amazon CA</t>
        </is>
      </c>
      <c r="C185" s="195" t="inlineStr">
        <is>
          <t>Sales</t>
        </is>
      </c>
      <c r="D185" s="195" t="inlineStr">
        <is>
          <t>Sponsored Products (same day)</t>
        </is>
      </c>
      <c r="E185" s="196" t="n">
        <v>2137.3</v>
      </c>
      <c r="F185" s="197" t="n">
        <v>0.3032827129</v>
      </c>
      <c r="BA185" s="199" t="n">
        <v>2137.3</v>
      </c>
      <c r="BC185" s="200" t="inlineStr">
        <is>
          <t>Oct</t>
        </is>
      </c>
      <c r="BD185" s="199" t="n">
        <v>2025</v>
      </c>
      <c r="BE185" s="199" t="n">
        <v>2025</v>
      </c>
    </row>
    <row r="186" ht="15" customHeight="1" s="104">
      <c r="A186" s="194" t="n">
        <v>45961</v>
      </c>
      <c r="B186" s="195" t="inlineStr">
        <is>
          <t>Amazon CA</t>
        </is>
      </c>
      <c r="C186" s="195" t="inlineStr">
        <is>
          <t>Sales</t>
        </is>
      </c>
      <c r="D186" s="195" t="inlineStr">
        <is>
          <t>Sponsored Display (same day)</t>
        </is>
      </c>
      <c r="E186" s="198" t="n">
        <v>0</v>
      </c>
      <c r="F186" s="198" t="n">
        <v>0</v>
      </c>
      <c r="BA186" s="201" t="n">
        <v>0</v>
      </c>
      <c r="BC186" s="200" t="inlineStr">
        <is>
          <t>Oct</t>
        </is>
      </c>
      <c r="BD186" s="199" t="n">
        <v>2025</v>
      </c>
      <c r="BE186" s="199" t="n">
        <v>2025</v>
      </c>
    </row>
    <row r="187" ht="15" customHeight="1" s="104">
      <c r="A187" s="194" t="n">
        <v>45991</v>
      </c>
      <c r="B187" s="195" t="inlineStr">
        <is>
          <t>Tiktok</t>
        </is>
      </c>
      <c r="C187" s="195" t="inlineStr">
        <is>
          <t>Net Sales</t>
        </is>
      </c>
      <c r="D187" s="195" t="inlineStr">
        <is>
          <t>Gross sales</t>
        </is>
      </c>
      <c r="E187" s="196" t="n">
        <v>11633.97</v>
      </c>
      <c r="F187" s="196" t="n">
        <v>1.087606083</v>
      </c>
      <c r="G187" s="196" t="n">
        <v>307</v>
      </c>
      <c r="J187" s="198" t="n">
        <v>0</v>
      </c>
      <c r="K187" s="196" t="n">
        <v>11633.97</v>
      </c>
      <c r="M187" s="197" t="n">
        <v>0.1214</v>
      </c>
      <c r="N187" s="197" t="n">
        <v>0.04554421234</v>
      </c>
      <c r="R187" s="196" t="n">
        <v>10696.86</v>
      </c>
      <c r="S187" s="196" t="n">
        <v>-4.58</v>
      </c>
      <c r="U187" s="196" t="n">
        <v>-3919.62</v>
      </c>
      <c r="V187" s="196" t="n">
        <v>-139.25</v>
      </c>
      <c r="W187" s="196" t="n">
        <v>-641.74</v>
      </c>
      <c r="X187" s="196" t="n">
        <v>-521.03</v>
      </c>
      <c r="Y187" s="196" t="n">
        <v>-3</v>
      </c>
      <c r="Z187" s="196" t="n">
        <v>-3329.94</v>
      </c>
      <c r="AA187" s="196" t="n">
        <v>-1412.5</v>
      </c>
      <c r="AB187" s="196" t="n">
        <v>725.2</v>
      </c>
      <c r="AC187" s="197" t="n">
        <v>0.06779559608999999</v>
      </c>
      <c r="BA187" s="199" t="n">
        <v>11326.97</v>
      </c>
      <c r="BC187" s="200" t="inlineStr">
        <is>
          <t>Nov</t>
        </is>
      </c>
      <c r="BD187" s="199" t="n">
        <v>2025</v>
      </c>
      <c r="BE187" s="199" t="n">
        <v>2025</v>
      </c>
    </row>
    <row r="188" ht="15" customHeight="1" s="104">
      <c r="A188" s="194" t="n">
        <v>45991</v>
      </c>
      <c r="B188" s="195" t="inlineStr">
        <is>
          <t>Tiktok</t>
        </is>
      </c>
      <c r="C188" s="195" t="inlineStr">
        <is>
          <t>Net Sales</t>
        </is>
      </c>
      <c r="D188" s="195" t="inlineStr">
        <is>
          <t>Gross sales refund</t>
        </is>
      </c>
      <c r="E188" s="196" t="n">
        <v>-529.86</v>
      </c>
      <c r="F188" s="197" t="n">
        <v>-0.04953416236</v>
      </c>
      <c r="BA188" s="199" t="n">
        <v>-529.86</v>
      </c>
      <c r="BC188" s="200" t="inlineStr">
        <is>
          <t>Nov</t>
        </is>
      </c>
      <c r="BD188" s="199" t="n">
        <v>2025</v>
      </c>
      <c r="BE188" s="199" t="n">
        <v>2025</v>
      </c>
    </row>
    <row r="189" ht="15" customHeight="1" s="104">
      <c r="A189" s="194" t="n">
        <v>45991</v>
      </c>
      <c r="B189" s="195" t="inlineStr">
        <is>
          <t>Tiktok</t>
        </is>
      </c>
      <c r="C189" s="195" t="inlineStr">
        <is>
          <t>Net Sales</t>
        </is>
      </c>
      <c r="D189" s="195" t="inlineStr">
        <is>
          <t>Seller discount</t>
        </is>
      </c>
      <c r="E189" s="196" t="n">
        <v>-428.85</v>
      </c>
      <c r="F189" s="197" t="n">
        <v>-0.04009120433</v>
      </c>
      <c r="BA189" s="199" t="n">
        <v>-428.85</v>
      </c>
      <c r="BC189" s="200" t="inlineStr">
        <is>
          <t>Nov</t>
        </is>
      </c>
      <c r="BD189" s="199" t="n">
        <v>2025</v>
      </c>
      <c r="BE189" s="199" t="n">
        <v>2025</v>
      </c>
    </row>
    <row r="190" ht="15" customHeight="1" s="104">
      <c r="A190" s="194" t="n">
        <v>45991</v>
      </c>
      <c r="B190" s="195" t="inlineStr">
        <is>
          <t>Tiktok</t>
        </is>
      </c>
      <c r="C190" s="195" t="inlineStr">
        <is>
          <t>Net Sales</t>
        </is>
      </c>
      <c r="D190" s="195" t="inlineStr">
        <is>
          <t>Seller discount refund</t>
        </is>
      </c>
      <c r="E190" s="196" t="n">
        <v>21.6</v>
      </c>
      <c r="F190" s="197" t="n">
        <v>0.002019284164</v>
      </c>
      <c r="BA190" s="199" t="n">
        <v>21.6</v>
      </c>
      <c r="BC190" s="200" t="inlineStr">
        <is>
          <t>Nov</t>
        </is>
      </c>
      <c r="BD190" s="199" t="n">
        <v>2025</v>
      </c>
      <c r="BE190" s="199" t="n">
        <v>2025</v>
      </c>
    </row>
    <row r="191" ht="15" customHeight="1" s="104">
      <c r="A191" s="194" t="n">
        <v>45991</v>
      </c>
      <c r="B191" s="195" t="inlineStr">
        <is>
          <t>Shopify</t>
        </is>
      </c>
      <c r="C191" s="195" t="inlineStr">
        <is>
          <t>Sales</t>
        </is>
      </c>
      <c r="D191" s="195" t="inlineStr">
        <is>
          <t>Gross sales</t>
        </is>
      </c>
      <c r="E191" s="196" t="n">
        <v>1383.88</v>
      </c>
      <c r="F191" s="197" t="n">
        <v>0.9959267096</v>
      </c>
      <c r="G191" s="196" t="n">
        <v>40</v>
      </c>
      <c r="J191" s="196" t="n">
        <v>-12.31</v>
      </c>
      <c r="M191" s="197" t="n">
        <v>0.1503</v>
      </c>
      <c r="N191" s="198" t="n">
        <v>0</v>
      </c>
      <c r="AD191" s="196" t="n">
        <v>-208.82</v>
      </c>
      <c r="AE191" s="198" t="n">
        <v>0</v>
      </c>
      <c r="AF191" s="196" t="n">
        <v>-290.16</v>
      </c>
      <c r="AH191" s="196" t="n">
        <v>-27.14</v>
      </c>
      <c r="AI191" s="196" t="n">
        <v>-345.88</v>
      </c>
      <c r="AJ191" s="196" t="n">
        <v>-12.31</v>
      </c>
      <c r="AL191" s="196" t="n">
        <v>505.23</v>
      </c>
      <c r="AN191" s="198" t="n">
        <v>0</v>
      </c>
      <c r="AO191" s="197" t="n">
        <v>0.3635951466</v>
      </c>
      <c r="BA191" s="199" t="n">
        <v>1343.88</v>
      </c>
      <c r="BC191" s="200" t="inlineStr">
        <is>
          <t>Nov</t>
        </is>
      </c>
      <c r="BD191" s="199" t="n">
        <v>2025</v>
      </c>
      <c r="BE191" s="199" t="n">
        <v>2025</v>
      </c>
    </row>
    <row r="192" ht="15" customHeight="1" s="104">
      <c r="A192" s="194" t="n">
        <v>45991</v>
      </c>
      <c r="B192" s="195" t="inlineStr">
        <is>
          <t>Shopify</t>
        </is>
      </c>
      <c r="C192" s="195" t="inlineStr">
        <is>
          <t>Sales</t>
        </is>
      </c>
      <c r="D192" s="195" t="inlineStr">
        <is>
          <t>Promo</t>
        </is>
      </c>
      <c r="E192" s="198" t="n">
        <v>0</v>
      </c>
      <c r="F192" s="198" t="n">
        <v>0</v>
      </c>
      <c r="BA192" s="201" t="n">
        <v>0</v>
      </c>
      <c r="BC192" s="200" t="inlineStr">
        <is>
          <t>Nov</t>
        </is>
      </c>
      <c r="BD192" s="199" t="n">
        <v>2025</v>
      </c>
      <c r="BE192" s="199" t="n">
        <v>2025</v>
      </c>
    </row>
    <row r="193" ht="15" customHeight="1" s="104">
      <c r="A193" s="194" t="n">
        <v>45991</v>
      </c>
      <c r="B193" s="195" t="inlineStr">
        <is>
          <t>Shopify</t>
        </is>
      </c>
      <c r="C193" s="195" t="inlineStr">
        <is>
          <t>Sales</t>
        </is>
      </c>
      <c r="D193" s="195" t="inlineStr">
        <is>
          <t>Shipping</t>
        </is>
      </c>
      <c r="E193" s="196" t="n">
        <v>17.97</v>
      </c>
      <c r="F193" s="197" t="n">
        <v>0.01293233732</v>
      </c>
      <c r="BA193" s="199" t="n">
        <v>17.97</v>
      </c>
      <c r="BC193" s="200" t="inlineStr">
        <is>
          <t>Nov</t>
        </is>
      </c>
      <c r="BD193" s="199" t="n">
        <v>2025</v>
      </c>
      <c r="BE193" s="199" t="n">
        <v>2025</v>
      </c>
    </row>
    <row r="194" ht="15" customHeight="1" s="104">
      <c r="A194" s="194" t="n">
        <v>45991</v>
      </c>
      <c r="B194" s="195" t="inlineStr">
        <is>
          <t>Shopify</t>
        </is>
      </c>
      <c r="C194" s="195" t="inlineStr">
        <is>
          <t>Sales</t>
        </is>
      </c>
      <c r="D194" s="195" t="inlineStr">
        <is>
          <t>Sales tax</t>
        </is>
      </c>
      <c r="E194" s="196" t="n">
        <v>-12.31</v>
      </c>
      <c r="F194" s="197" t="n">
        <v>-0.008859046879</v>
      </c>
      <c r="BA194" s="199" t="n">
        <v>-12.31</v>
      </c>
      <c r="BC194" s="200" t="inlineStr">
        <is>
          <t>Nov</t>
        </is>
      </c>
      <c r="BD194" s="199" t="n">
        <v>2025</v>
      </c>
      <c r="BE194" s="199" t="n">
        <v>2025</v>
      </c>
    </row>
    <row r="195" ht="15" customHeight="1" s="104">
      <c r="A195" s="194" t="n">
        <v>45991</v>
      </c>
      <c r="B195" s="195" t="inlineStr">
        <is>
          <t>Shopify</t>
        </is>
      </c>
      <c r="C195" s="195" t="inlineStr">
        <is>
          <t>Sales</t>
        </is>
      </c>
      <c r="D195" s="195" t="inlineStr">
        <is>
          <t>Refunded amount</t>
        </is>
      </c>
      <c r="E195" s="198" t="n">
        <v>0</v>
      </c>
      <c r="F195" s="198" t="n">
        <v>0</v>
      </c>
      <c r="BA195" s="201" t="n">
        <v>0</v>
      </c>
      <c r="BC195" s="200" t="inlineStr">
        <is>
          <t>Nov</t>
        </is>
      </c>
      <c r="BD195" s="199" t="n">
        <v>2025</v>
      </c>
      <c r="BE195" s="199" t="n">
        <v>2025</v>
      </c>
    </row>
    <row r="196" ht="15" customHeight="1" s="104">
      <c r="A196" s="194" t="n">
        <v>45991</v>
      </c>
      <c r="B196" s="195" t="inlineStr">
        <is>
          <t>Shopify</t>
        </is>
      </c>
      <c r="C196" s="195" t="inlineStr">
        <is>
          <t>Sales</t>
        </is>
      </c>
      <c r="D196" s="195" t="inlineStr">
        <is>
          <t>Refunded shipping</t>
        </is>
      </c>
      <c r="E196" s="198" t="n">
        <v>0</v>
      </c>
      <c r="F196" s="198" t="n">
        <v>0</v>
      </c>
      <c r="BA196" s="201" t="n">
        <v>0</v>
      </c>
      <c r="BC196" s="200" t="inlineStr">
        <is>
          <t>Nov</t>
        </is>
      </c>
      <c r="BD196" s="199" t="n">
        <v>2025</v>
      </c>
      <c r="BE196" s="199" t="n">
        <v>2025</v>
      </c>
    </row>
    <row r="197" ht="15" customHeight="1" s="104">
      <c r="A197" s="194" t="n">
        <v>45991</v>
      </c>
      <c r="B197" s="195" t="inlineStr">
        <is>
          <t>Walmart</t>
        </is>
      </c>
      <c r="C197" s="195" t="inlineStr">
        <is>
          <t>Sales</t>
        </is>
      </c>
      <c r="D197" s="195" t="inlineStr">
        <is>
          <t>Gross sales</t>
        </is>
      </c>
      <c r="E197" s="196" t="n">
        <v>2190.34</v>
      </c>
      <c r="F197" s="196" t="n">
        <v>1.09114368</v>
      </c>
      <c r="G197" s="196" t="n">
        <v>60</v>
      </c>
      <c r="J197" s="198" t="n">
        <v>0</v>
      </c>
      <c r="K197" s="196" t="n">
        <v>2190.34</v>
      </c>
      <c r="M197" s="197" t="n">
        <v>0.1238</v>
      </c>
      <c r="N197" s="197" t="n">
        <v>0.08991298155000001</v>
      </c>
      <c r="P197" s="197" t="n">
        <v>0.04548715241</v>
      </c>
      <c r="AQ197" s="196" t="n">
        <v>-271.12</v>
      </c>
      <c r="AR197" s="196" t="n">
        <v>-646.73</v>
      </c>
      <c r="AU197" s="196" t="n">
        <v>-314.57</v>
      </c>
      <c r="AV197" s="196" t="n">
        <v>-36.75</v>
      </c>
      <c r="AW197" s="198" t="n">
        <v>0</v>
      </c>
      <c r="AX197" s="196" t="n">
        <v>-646.9</v>
      </c>
      <c r="AY197" s="196" t="n">
        <v>91.31</v>
      </c>
      <c r="AZ197" s="199" t="n">
        <v>2007.38</v>
      </c>
      <c r="BA197" s="199" t="n">
        <v>2130.34</v>
      </c>
      <c r="BC197" s="200" t="inlineStr">
        <is>
          <t>Nov</t>
        </is>
      </c>
      <c r="BD197" s="199" t="n">
        <v>2025</v>
      </c>
      <c r="BE197" s="199" t="n">
        <v>2025</v>
      </c>
    </row>
    <row r="198" ht="15" customHeight="1" s="104">
      <c r="A198" s="194" t="n">
        <v>45991</v>
      </c>
      <c r="B198" s="195" t="inlineStr">
        <is>
          <t>Walmart</t>
        </is>
      </c>
      <c r="C198" s="195" t="inlineStr">
        <is>
          <t>Sales</t>
        </is>
      </c>
      <c r="D198" s="195" t="inlineStr">
        <is>
          <t>Gross sales refund</t>
        </is>
      </c>
      <c r="E198" s="196" t="n">
        <v>-196.94</v>
      </c>
      <c r="F198" s="197" t="n">
        <v>-0.09810798155</v>
      </c>
      <c r="BA198" s="199" t="n">
        <v>-196.94</v>
      </c>
      <c r="BC198" s="200" t="inlineStr">
        <is>
          <t>Nov</t>
        </is>
      </c>
      <c r="BD198" s="199" t="n">
        <v>2025</v>
      </c>
      <c r="BE198" s="199" t="n">
        <v>2025</v>
      </c>
    </row>
    <row r="199" ht="15" customHeight="1" s="104">
      <c r="A199" s="194" t="n">
        <v>45991</v>
      </c>
      <c r="B199" s="195" t="inlineStr">
        <is>
          <t>Walmart</t>
        </is>
      </c>
      <c r="C199" s="195" t="inlineStr">
        <is>
          <t>Sales</t>
        </is>
      </c>
      <c r="D199" s="195" t="inlineStr">
        <is>
          <t>Shipping</t>
        </is>
      </c>
      <c r="E199" s="196" t="n">
        <v>13.98</v>
      </c>
      <c r="F199" s="197" t="n">
        <v>0.006964301727</v>
      </c>
      <c r="BA199" s="199" t="n">
        <v>13.98</v>
      </c>
      <c r="BC199" s="200" t="inlineStr">
        <is>
          <t>Nov</t>
        </is>
      </c>
      <c r="BD199" s="199" t="n">
        <v>2025</v>
      </c>
      <c r="BE199" s="199" t="n">
        <v>2025</v>
      </c>
    </row>
    <row r="200" ht="15" customHeight="1" s="104">
      <c r="A200" s="194" t="n">
        <v>45991</v>
      </c>
      <c r="B200" s="195" t="inlineStr">
        <is>
          <t>Walmart</t>
        </is>
      </c>
      <c r="C200" s="195" t="inlineStr">
        <is>
          <t>Sales</t>
        </is>
      </c>
      <c r="D200" s="195" t="inlineStr">
        <is>
          <t>Promotion</t>
        </is>
      </c>
      <c r="E200" s="198" t="n">
        <v>0</v>
      </c>
      <c r="F200" s="198" t="n">
        <v>0</v>
      </c>
      <c r="BA200" s="201" t="n">
        <v>0</v>
      </c>
      <c r="BC200" s="200" t="inlineStr">
        <is>
          <t>Nov</t>
        </is>
      </c>
      <c r="BD200" s="199" t="n">
        <v>2025</v>
      </c>
      <c r="BE200" s="199" t="n">
        <v>2025</v>
      </c>
    </row>
    <row r="201" ht="15" customHeight="1" s="104">
      <c r="A201" s="194" t="n">
        <v>45991</v>
      </c>
      <c r="B201" s="195" t="inlineStr">
        <is>
          <t>Amazon US</t>
        </is>
      </c>
      <c r="C201" s="195" t="inlineStr">
        <is>
          <t>Sales</t>
        </is>
      </c>
      <c r="D201" s="195" t="inlineStr">
        <is>
          <t>Organic</t>
        </is>
      </c>
      <c r="E201" s="196" t="n">
        <v>103684.17</v>
      </c>
      <c r="F201" s="197" t="n">
        <v>0.7938794266</v>
      </c>
      <c r="G201" s="196" t="n">
        <v>3198</v>
      </c>
      <c r="J201" s="198" t="n">
        <v>0</v>
      </c>
      <c r="K201" s="196" t="n">
        <v>19919.05</v>
      </c>
      <c r="L201" s="196" t="n">
        <v>19919.05</v>
      </c>
      <c r="M201" s="197" t="n">
        <v>0.0851</v>
      </c>
      <c r="N201" s="197" t="n">
        <v>0.06909999999999999</v>
      </c>
      <c r="O201" s="197" t="n">
        <v>0.4472</v>
      </c>
      <c r="P201" s="197" t="n">
        <v>0.1525</v>
      </c>
      <c r="Q201" s="197" t="n">
        <v>0.5259</v>
      </c>
      <c r="BA201" s="199" t="n">
        <v>100486.17</v>
      </c>
      <c r="BC201" s="200" t="inlineStr">
        <is>
          <t>Nov</t>
        </is>
      </c>
      <c r="BD201" s="199" t="n">
        <v>2025</v>
      </c>
      <c r="BE201" s="199" t="n">
        <v>2025</v>
      </c>
    </row>
    <row r="202" ht="15" customHeight="1" s="104">
      <c r="A202" s="194" t="n">
        <v>45991</v>
      </c>
      <c r="B202" s="195" t="inlineStr">
        <is>
          <t>Amazon US</t>
        </is>
      </c>
      <c r="C202" s="195" t="inlineStr">
        <is>
          <t>Sales</t>
        </is>
      </c>
      <c r="D202" s="195" t="inlineStr">
        <is>
          <t>Sponsored Products (same day)</t>
        </is>
      </c>
      <c r="E202" s="196" t="n">
        <v>26920.26</v>
      </c>
      <c r="F202" s="197" t="n">
        <v>0.2061205734</v>
      </c>
      <c r="BA202" s="199" t="n">
        <v>26920.26</v>
      </c>
      <c r="BC202" s="200" t="inlineStr">
        <is>
          <t>Nov</t>
        </is>
      </c>
      <c r="BD202" s="199" t="n">
        <v>2025</v>
      </c>
      <c r="BE202" s="199" t="n">
        <v>2025</v>
      </c>
    </row>
    <row r="203" ht="15" customHeight="1" s="104">
      <c r="A203" s="194" t="n">
        <v>45991</v>
      </c>
      <c r="B203" s="195" t="inlineStr">
        <is>
          <t>Amazon US</t>
        </is>
      </c>
      <c r="C203" s="195" t="inlineStr">
        <is>
          <t>Sales</t>
        </is>
      </c>
      <c r="D203" s="195" t="inlineStr">
        <is>
          <t>Sponsored Display (same day)</t>
        </is>
      </c>
      <c r="E203" s="198" t="n">
        <v>0</v>
      </c>
      <c r="F203" s="198" t="n">
        <v>0</v>
      </c>
      <c r="BA203" s="201" t="n">
        <v>0</v>
      </c>
      <c r="BC203" s="200" t="inlineStr">
        <is>
          <t>Nov</t>
        </is>
      </c>
      <c r="BD203" s="199" t="n">
        <v>2025</v>
      </c>
      <c r="BE203" s="199" t="n">
        <v>2025</v>
      </c>
    </row>
    <row r="204" ht="15" customHeight="1" s="104">
      <c r="A204" s="194" t="n">
        <v>45991</v>
      </c>
      <c r="B204" s="195" t="inlineStr">
        <is>
          <t>Amazon CA</t>
        </is>
      </c>
      <c r="C204" s="195" t="inlineStr">
        <is>
          <t>Sales</t>
        </is>
      </c>
      <c r="D204" s="195" t="inlineStr">
        <is>
          <t>Organic</t>
        </is>
      </c>
      <c r="E204" s="196" t="n">
        <v>12435.57</v>
      </c>
      <c r="F204" s="197" t="n">
        <v>0.7718199033000001</v>
      </c>
      <c r="G204" s="196" t="n">
        <v>453</v>
      </c>
      <c r="J204" s="198" t="n">
        <v>0</v>
      </c>
      <c r="K204" s="196" t="n">
        <v>1811.7</v>
      </c>
      <c r="L204" s="196" t="n">
        <v>1811.7</v>
      </c>
      <c r="M204" s="197" t="n">
        <v>0.06610000000000001</v>
      </c>
      <c r="N204" s="197" t="n">
        <v>0.0883</v>
      </c>
      <c r="O204" s="197" t="n">
        <v>0.5357</v>
      </c>
      <c r="P204" s="197" t="n">
        <v>0.1124</v>
      </c>
      <c r="Q204" s="197" t="n">
        <v>0.356</v>
      </c>
      <c r="BA204" s="199" t="n">
        <v>11982.57</v>
      </c>
      <c r="BC204" s="200" t="inlineStr">
        <is>
          <t>Nov</t>
        </is>
      </c>
      <c r="BD204" s="199" t="n">
        <v>2025</v>
      </c>
      <c r="BE204" s="199" t="n">
        <v>2025</v>
      </c>
    </row>
    <row r="205" ht="15" customHeight="1" s="104">
      <c r="A205" s="194" t="n">
        <v>45991</v>
      </c>
      <c r="B205" s="195" t="inlineStr">
        <is>
          <t>Amazon CA</t>
        </is>
      </c>
      <c r="C205" s="195" t="inlineStr">
        <is>
          <t>Sales</t>
        </is>
      </c>
      <c r="D205" s="195" t="inlineStr">
        <is>
          <t>Sponsored Products (same day)</t>
        </is>
      </c>
      <c r="E205" s="196" t="n">
        <v>3676.44</v>
      </c>
      <c r="F205" s="197" t="n">
        <v>0.2281800967</v>
      </c>
      <c r="BA205" s="199" t="n">
        <v>3676.44</v>
      </c>
      <c r="BC205" s="200" t="inlineStr">
        <is>
          <t>Nov</t>
        </is>
      </c>
      <c r="BD205" s="199" t="n">
        <v>2025</v>
      </c>
      <c r="BE205" s="199" t="n">
        <v>2025</v>
      </c>
    </row>
    <row r="206" ht="15" customHeight="1" s="104">
      <c r="A206" s="194" t="n">
        <v>45991</v>
      </c>
      <c r="B206" s="195" t="inlineStr">
        <is>
          <t>Amazon CA</t>
        </is>
      </c>
      <c r="C206" s="195" t="inlineStr">
        <is>
          <t>Sales</t>
        </is>
      </c>
      <c r="D206" s="195" t="inlineStr">
        <is>
          <t>Sponsored Display (same day)</t>
        </is>
      </c>
      <c r="E206" s="198" t="n">
        <v>0</v>
      </c>
      <c r="F206" s="198" t="n">
        <v>0</v>
      </c>
      <c r="BA206" s="201" t="n">
        <v>0</v>
      </c>
      <c r="BC206" s="200" t="inlineStr">
        <is>
          <t>Nov</t>
        </is>
      </c>
      <c r="BD206" s="199" t="n">
        <v>2025</v>
      </c>
      <c r="BE206" s="199" t="n">
        <v>2025</v>
      </c>
    </row>
    <row r="207" ht="15" customHeight="1" s="104">
      <c r="A207" s="194" t="n">
        <v>46022</v>
      </c>
      <c r="B207" s="195" t="inlineStr">
        <is>
          <t>Amazon US</t>
        </is>
      </c>
      <c r="C207" s="195" t="inlineStr">
        <is>
          <t>Sales</t>
        </is>
      </c>
      <c r="D207" s="195" t="inlineStr">
        <is>
          <t>Organic</t>
        </is>
      </c>
      <c r="E207" s="196" t="n">
        <v>175143.49</v>
      </c>
      <c r="F207" s="197" t="n">
        <v>0.7850493173999999</v>
      </c>
      <c r="G207" s="196" t="n">
        <v>5580</v>
      </c>
      <c r="J207" s="198" t="n">
        <v>0</v>
      </c>
      <c r="K207" s="196" t="n">
        <v>45650.77</v>
      </c>
      <c r="L207" s="196" t="n">
        <v>45650.77</v>
      </c>
      <c r="M207" s="197" t="n">
        <v>0.0756</v>
      </c>
      <c r="N207" s="197" t="n">
        <v>0.0711</v>
      </c>
      <c r="O207" s="197" t="n">
        <v>0.5748</v>
      </c>
      <c r="P207" s="197" t="n">
        <v>0.2043</v>
      </c>
      <c r="Q207" s="197" t="n">
        <v>0.7582</v>
      </c>
      <c r="BA207" s="199" t="n">
        <v>169563.49</v>
      </c>
      <c r="BC207" s="200" t="inlineStr">
        <is>
          <t>Dec</t>
        </is>
      </c>
      <c r="BD207" s="199" t="n">
        <v>2025</v>
      </c>
      <c r="BE207" s="199" t="n">
        <v>2025</v>
      </c>
    </row>
    <row r="208" ht="15" customHeight="1" s="104">
      <c r="A208" s="194" t="n">
        <v>46022</v>
      </c>
      <c r="B208" s="195" t="inlineStr">
        <is>
          <t>Amazon US</t>
        </is>
      </c>
      <c r="C208" s="195" t="inlineStr">
        <is>
          <t>Sales</t>
        </is>
      </c>
      <c r="D208" s="195" t="inlineStr">
        <is>
          <t>Sponsored Products (same day)</t>
        </is>
      </c>
      <c r="E208" s="196" t="n">
        <v>47955.22</v>
      </c>
      <c r="F208" s="197" t="n">
        <v>0.2149506826</v>
      </c>
      <c r="BA208" s="199" t="n">
        <v>47955.22</v>
      </c>
      <c r="BC208" s="200" t="inlineStr">
        <is>
          <t>Dec</t>
        </is>
      </c>
      <c r="BD208" s="199" t="n">
        <v>2025</v>
      </c>
      <c r="BE208" s="199" t="n">
        <v>2025</v>
      </c>
    </row>
    <row r="209" ht="15" customHeight="1" s="104">
      <c r="A209" s="194" t="n">
        <v>46022</v>
      </c>
      <c r="B209" s="195" t="inlineStr">
        <is>
          <t>Amazon US</t>
        </is>
      </c>
      <c r="C209" s="195" t="inlineStr">
        <is>
          <t>Sales</t>
        </is>
      </c>
      <c r="D209" s="195" t="inlineStr">
        <is>
          <t>Sponsored Display (same day)</t>
        </is>
      </c>
      <c r="E209" s="198" t="n">
        <v>0</v>
      </c>
      <c r="F209" s="198" t="n">
        <v>0</v>
      </c>
      <c r="BA209" s="201" t="n">
        <v>0</v>
      </c>
      <c r="BC209" s="200" t="inlineStr">
        <is>
          <t>Dec</t>
        </is>
      </c>
      <c r="BD209" s="199" t="n">
        <v>2025</v>
      </c>
      <c r="BE209" s="199" t="n">
        <v>2025</v>
      </c>
    </row>
    <row r="210" ht="15" customHeight="1" s="104">
      <c r="A210" s="194" t="n">
        <v>46022</v>
      </c>
      <c r="B210" s="195" t="inlineStr">
        <is>
          <t>Amazon CA</t>
        </is>
      </c>
      <c r="C210" s="195" t="inlineStr">
        <is>
          <t>Sales</t>
        </is>
      </c>
      <c r="D210" s="195" t="inlineStr">
        <is>
          <t>Organic</t>
        </is>
      </c>
      <c r="E210" s="196" t="n">
        <v>10902.43</v>
      </c>
      <c r="F210" s="196" t="n">
        <v>2.41102855</v>
      </c>
      <c r="G210" s="196" t="n">
        <v>294</v>
      </c>
      <c r="J210" s="198" t="n">
        <v>0</v>
      </c>
      <c r="K210" s="196" t="n">
        <v>-275.9</v>
      </c>
      <c r="L210" s="196" t="n">
        <v>-275.9</v>
      </c>
      <c r="M210" s="197" t="n">
        <v>0.0895</v>
      </c>
      <c r="N210" s="197" t="n">
        <v>0.2099</v>
      </c>
      <c r="O210" s="197" t="n">
        <v>0.4</v>
      </c>
      <c r="P210" s="197" t="n">
        <v>-0.0179</v>
      </c>
      <c r="Q210" s="197" t="n">
        <v>-0.0589</v>
      </c>
      <c r="BA210" s="199" t="n">
        <v>10608.43</v>
      </c>
      <c r="BC210" s="200" t="inlineStr">
        <is>
          <t>Dec</t>
        </is>
      </c>
      <c r="BD210" s="199" t="n">
        <v>2025</v>
      </c>
      <c r="BE210" s="199" t="n">
        <v>2025</v>
      </c>
    </row>
    <row r="211" ht="15" customHeight="1" s="104">
      <c r="A211" s="194" t="n">
        <v>46022</v>
      </c>
      <c r="B211" s="195" t="inlineStr">
        <is>
          <t>Amazon CA</t>
        </is>
      </c>
      <c r="C211" s="195" t="inlineStr">
        <is>
          <t>Sales</t>
        </is>
      </c>
      <c r="D211" s="195" t="inlineStr">
        <is>
          <t>Sponsored Products (same day)</t>
        </is>
      </c>
      <c r="E211" s="196" t="n">
        <v>4521.9</v>
      </c>
      <c r="F211" s="196" t="n">
        <v>1</v>
      </c>
      <c r="BA211" s="199" t="n">
        <v>4521.9</v>
      </c>
      <c r="BC211" s="200" t="inlineStr">
        <is>
          <t>Dec</t>
        </is>
      </c>
      <c r="BD211" s="199" t="n">
        <v>2025</v>
      </c>
      <c r="BE211" s="199" t="n">
        <v>2025</v>
      </c>
    </row>
    <row r="212" ht="15" customHeight="1" s="104">
      <c r="A212" s="194" t="n">
        <v>46022</v>
      </c>
      <c r="B212" s="195" t="inlineStr">
        <is>
          <t>Amazon CA</t>
        </is>
      </c>
      <c r="C212" s="195" t="inlineStr">
        <is>
          <t>Sales</t>
        </is>
      </c>
      <c r="D212" s="195" t="inlineStr">
        <is>
          <t>Sponsored Display (same day)</t>
        </is>
      </c>
      <c r="E212" s="198" t="n">
        <v>0</v>
      </c>
      <c r="F212" s="198" t="n">
        <v>0</v>
      </c>
      <c r="BA212" s="201" t="n">
        <v>0</v>
      </c>
      <c r="BC212" s="200" t="inlineStr">
        <is>
          <t>Dec</t>
        </is>
      </c>
      <c r="BD212" s="199" t="n">
        <v>2025</v>
      </c>
      <c r="BE212" s="199" t="n">
        <v>2025</v>
      </c>
    </row>
    <row r="213" ht="15" customHeight="1" s="104">
      <c r="A213" s="194" t="n">
        <v>46022</v>
      </c>
      <c r="B213" s="195" t="inlineStr">
        <is>
          <t>Tiktok</t>
        </is>
      </c>
      <c r="C213" s="195" t="inlineStr">
        <is>
          <t>Net Sales</t>
        </is>
      </c>
      <c r="D213" s="195" t="inlineStr">
        <is>
          <t>Gross sales</t>
        </is>
      </c>
      <c r="E213" s="196" t="n">
        <v>10930.42</v>
      </c>
      <c r="F213" s="196" t="n">
        <v>1.132338682</v>
      </c>
      <c r="G213" s="196" t="n">
        <v>289</v>
      </c>
      <c r="J213" s="198" t="n">
        <v>0</v>
      </c>
      <c r="K213" s="196" t="n">
        <v>10930.42</v>
      </c>
      <c r="M213" s="197" t="n">
        <v>0.124926581</v>
      </c>
      <c r="N213" s="197" t="n">
        <v>0.08881268972</v>
      </c>
      <c r="R213" s="196" t="n">
        <v>9652.959999999999</v>
      </c>
      <c r="S213" s="196" t="n">
        <v>-70.2</v>
      </c>
      <c r="U213" s="196" t="n">
        <v>-3869.84</v>
      </c>
      <c r="V213" s="196" t="n">
        <v>-119.1</v>
      </c>
      <c r="W213" s="196" t="n">
        <v>-578.8099999999999</v>
      </c>
      <c r="X213" s="196" t="n">
        <v>-436.45</v>
      </c>
      <c r="Y213" s="196" t="n">
        <v>-4.01</v>
      </c>
      <c r="Z213" s="196" t="n">
        <v>-3239.22</v>
      </c>
      <c r="AA213" s="196" t="n">
        <v>-1365.5</v>
      </c>
      <c r="AB213" s="196" t="n">
        <v>-30.17</v>
      </c>
      <c r="AC213" s="197" t="n">
        <v>-0.003125466178</v>
      </c>
      <c r="BA213" s="199" t="n">
        <v>10641.42</v>
      </c>
      <c r="BC213" s="200" t="inlineStr">
        <is>
          <t>Dec</t>
        </is>
      </c>
      <c r="BD213" s="199" t="n">
        <v>2025</v>
      </c>
      <c r="BE213" s="199" t="n">
        <v>2025</v>
      </c>
    </row>
    <row r="214" ht="15" customHeight="1" s="104">
      <c r="A214" s="194" t="n">
        <v>46022</v>
      </c>
      <c r="B214" s="195" t="inlineStr">
        <is>
          <t>Tiktok</t>
        </is>
      </c>
      <c r="C214" s="195" t="inlineStr">
        <is>
          <t>Net Sales</t>
        </is>
      </c>
      <c r="D214" s="195" t="inlineStr">
        <is>
          <t>Gross sales refund</t>
        </is>
      </c>
      <c r="E214" s="196" t="n">
        <v>-970.76</v>
      </c>
      <c r="F214" s="197" t="n">
        <v>-0.100566044</v>
      </c>
      <c r="BA214" s="199" t="n">
        <v>-970.76</v>
      </c>
      <c r="BC214" s="200" t="inlineStr">
        <is>
          <t>Dec</t>
        </is>
      </c>
      <c r="BD214" s="199" t="n">
        <v>2025</v>
      </c>
      <c r="BE214" s="199" t="n">
        <v>2025</v>
      </c>
    </row>
    <row r="215" ht="15" customHeight="1" s="104">
      <c r="A215" s="194" t="n">
        <v>46022</v>
      </c>
      <c r="B215" s="195" t="inlineStr">
        <is>
          <t>Tiktok</t>
        </is>
      </c>
      <c r="C215" s="195" t="inlineStr">
        <is>
          <t>Net Sales</t>
        </is>
      </c>
      <c r="D215" s="195" t="inlineStr">
        <is>
          <t>Seller discount</t>
        </is>
      </c>
      <c r="E215" s="196" t="n">
        <v>-342.1</v>
      </c>
      <c r="F215" s="197" t="n">
        <v>-0.03543990652</v>
      </c>
      <c r="BA215" s="199" t="n">
        <v>-342.1</v>
      </c>
      <c r="BC215" s="200" t="inlineStr">
        <is>
          <t>Dec</t>
        </is>
      </c>
      <c r="BD215" s="199" t="n">
        <v>2025</v>
      </c>
      <c r="BE215" s="199" t="n">
        <v>2025</v>
      </c>
    </row>
    <row r="216" ht="15" customHeight="1" s="104">
      <c r="A216" s="194" t="n">
        <v>46022</v>
      </c>
      <c r="B216" s="195" t="inlineStr">
        <is>
          <t>Tiktok</t>
        </is>
      </c>
      <c r="C216" s="195" t="inlineStr">
        <is>
          <t>Net Sales</t>
        </is>
      </c>
      <c r="D216" s="195" t="inlineStr">
        <is>
          <t>Seller discount refund</t>
        </is>
      </c>
      <c r="E216" s="196" t="n">
        <v>35.4</v>
      </c>
      <c r="F216" s="197" t="n">
        <v>0.0036672689</v>
      </c>
      <c r="BA216" s="199" t="n">
        <v>35.4</v>
      </c>
      <c r="BC216" s="200" t="inlineStr">
        <is>
          <t>Dec</t>
        </is>
      </c>
      <c r="BD216" s="199" t="n">
        <v>2025</v>
      </c>
      <c r="BE216" s="199" t="n">
        <v>2025</v>
      </c>
    </row>
    <row r="217" ht="15" customHeight="1" s="104">
      <c r="A217" s="194" t="n">
        <v>46022</v>
      </c>
      <c r="B217" s="195" t="inlineStr">
        <is>
          <t>Walmart</t>
        </is>
      </c>
      <c r="C217" s="195" t="inlineStr">
        <is>
          <t>Sales</t>
        </is>
      </c>
      <c r="D217" s="195" t="inlineStr">
        <is>
          <t>Gross sales</t>
        </is>
      </c>
      <c r="E217" s="196" t="n">
        <v>3801.93</v>
      </c>
      <c r="F217" s="196" t="n">
        <v>1.181417043</v>
      </c>
      <c r="G217" s="196" t="n">
        <v>108</v>
      </c>
      <c r="J217" s="198" t="n">
        <v>0</v>
      </c>
      <c r="K217" s="196" t="n">
        <v>1376.7</v>
      </c>
      <c r="M217" s="197" t="n">
        <v>0.07389667879</v>
      </c>
      <c r="N217" s="197" t="n">
        <v>0.1661603449</v>
      </c>
      <c r="P217" s="197" t="n">
        <v>0.1771723154</v>
      </c>
      <c r="AQ217" s="196" t="n">
        <v>-280.95</v>
      </c>
      <c r="AR217" s="196" t="n">
        <v>-717.98</v>
      </c>
      <c r="AU217" s="196" t="n">
        <v>-576.88</v>
      </c>
      <c r="AV217" s="196" t="n">
        <v>-55.22</v>
      </c>
      <c r="AW217" s="196" t="n">
        <v>72.28</v>
      </c>
      <c r="AX217" s="196" t="n">
        <v>-1089.2</v>
      </c>
      <c r="AY217" s="196" t="n">
        <v>570.16</v>
      </c>
      <c r="AZ217" s="199" t="n">
        <v>3218.11</v>
      </c>
      <c r="BA217" s="199" t="n">
        <v>3693.93</v>
      </c>
      <c r="BC217" s="200" t="inlineStr">
        <is>
          <t>Dec</t>
        </is>
      </c>
      <c r="BD217" s="199" t="n">
        <v>2025</v>
      </c>
      <c r="BE217" s="199" t="n">
        <v>2025</v>
      </c>
    </row>
    <row r="218" ht="15" customHeight="1" s="104">
      <c r="A218" s="194" t="n">
        <v>46022</v>
      </c>
      <c r="B218" s="195" t="inlineStr">
        <is>
          <t>Walmart</t>
        </is>
      </c>
      <c r="C218" s="195" t="inlineStr">
        <is>
          <t>Sales</t>
        </is>
      </c>
      <c r="D218" s="195" t="inlineStr">
        <is>
          <t>Gross sales refund</t>
        </is>
      </c>
      <c r="E218" s="196" t="n">
        <v>-631.73</v>
      </c>
      <c r="F218" s="197" t="n">
        <v>-0.1963046633</v>
      </c>
      <c r="BA218" s="199" t="n">
        <v>-631.73</v>
      </c>
      <c r="BC218" s="200" t="inlineStr">
        <is>
          <t>Dec</t>
        </is>
      </c>
      <c r="BD218" s="199" t="n">
        <v>2025</v>
      </c>
      <c r="BE218" s="199" t="n">
        <v>2025</v>
      </c>
    </row>
    <row r="219" ht="15" customHeight="1" s="104">
      <c r="A219" s="194" t="n">
        <v>46022</v>
      </c>
      <c r="B219" s="195" t="inlineStr">
        <is>
          <t>Walmart</t>
        </is>
      </c>
      <c r="C219" s="195" t="inlineStr">
        <is>
          <t>Sales</t>
        </is>
      </c>
      <c r="D219" s="195" t="inlineStr">
        <is>
          <t>Shipping</t>
        </is>
      </c>
      <c r="E219" s="196" t="n">
        <v>62.91</v>
      </c>
      <c r="F219" s="197" t="n">
        <v>0.01954874134</v>
      </c>
      <c r="BA219" s="199" t="n">
        <v>62.91</v>
      </c>
      <c r="BC219" s="200" t="inlineStr">
        <is>
          <t>Dec</t>
        </is>
      </c>
      <c r="BD219" s="199" t="n">
        <v>2025</v>
      </c>
      <c r="BE219" s="199" t="n">
        <v>2025</v>
      </c>
    </row>
    <row r="220" ht="15" customHeight="1" s="104">
      <c r="A220" s="194" t="n">
        <v>46022</v>
      </c>
      <c r="B220" s="195" t="inlineStr">
        <is>
          <t>Walmart</t>
        </is>
      </c>
      <c r="C220" s="195" t="inlineStr">
        <is>
          <t>Sales</t>
        </is>
      </c>
      <c r="D220" s="195" t="inlineStr">
        <is>
          <t>Promotion</t>
        </is>
      </c>
      <c r="E220" s="196" t="n">
        <v>-15</v>
      </c>
      <c r="F220" s="197" t="n">
        <v>-0.004661120969</v>
      </c>
      <c r="BA220" s="199" t="n">
        <v>-15</v>
      </c>
      <c r="BC220" s="200" t="inlineStr">
        <is>
          <t>Dec</t>
        </is>
      </c>
      <c r="BD220" s="199" t="n">
        <v>2025</v>
      </c>
      <c r="BE220" s="199" t="n">
        <v>2025</v>
      </c>
    </row>
    <row r="221" ht="15" customHeight="1" s="104">
      <c r="A221" s="194" t="n">
        <v>46022</v>
      </c>
      <c r="B221" s="195" t="inlineStr">
        <is>
          <t>Shopify</t>
        </is>
      </c>
      <c r="C221" s="195" t="inlineStr">
        <is>
          <t>Sales</t>
        </is>
      </c>
      <c r="D221" s="195" t="inlineStr">
        <is>
          <t>Gross sales</t>
        </is>
      </c>
      <c r="E221" s="196" t="n">
        <v>772.77</v>
      </c>
      <c r="F221" s="196" t="n">
        <v>1.152768662</v>
      </c>
      <c r="G221" s="196" t="n">
        <v>23</v>
      </c>
      <c r="J221" s="196" t="n">
        <v>-18.9</v>
      </c>
      <c r="M221" s="197" t="n">
        <v>0.3513982168</v>
      </c>
      <c r="N221" s="197" t="n">
        <v>0.1313197976</v>
      </c>
      <c r="AD221" s="196" t="n">
        <v>-271.55</v>
      </c>
      <c r="AE221" s="196" t="n">
        <v>-17.97</v>
      </c>
      <c r="AF221" s="196" t="n">
        <v>-246.68</v>
      </c>
      <c r="AH221" s="196" t="n">
        <v>-18.27</v>
      </c>
      <c r="AI221" s="196" t="n">
        <v>-238.3</v>
      </c>
      <c r="AJ221" s="196" t="n">
        <v>-18.9</v>
      </c>
      <c r="AK221" s="196" t="n">
        <v>670.36</v>
      </c>
      <c r="AL221" s="196" t="n">
        <v>-141.31</v>
      </c>
      <c r="AN221" s="197" t="n">
        <v>0.1313197976</v>
      </c>
      <c r="AO221" s="197" t="n">
        <v>-0.2107971836</v>
      </c>
      <c r="BA221" s="199" t="n">
        <v>749.77</v>
      </c>
      <c r="BC221" s="200" t="inlineStr">
        <is>
          <t>Dec</t>
        </is>
      </c>
      <c r="BD221" s="199" t="n">
        <v>2025</v>
      </c>
      <c r="BE221" s="199" t="n">
        <v>2025</v>
      </c>
    </row>
    <row r="222" ht="15" customHeight="1" s="104">
      <c r="A222" s="194" t="n">
        <v>46022</v>
      </c>
      <c r="B222" s="195" t="inlineStr">
        <is>
          <t>Shopify</t>
        </is>
      </c>
      <c r="C222" s="195" t="inlineStr">
        <is>
          <t>Sales</t>
        </is>
      </c>
      <c r="D222" s="195" t="inlineStr">
        <is>
          <t>Promo</t>
        </is>
      </c>
      <c r="E222" s="198" t="n">
        <v>0</v>
      </c>
      <c r="F222" s="198" t="n">
        <v>0</v>
      </c>
      <c r="BA222" s="201" t="n">
        <v>0</v>
      </c>
      <c r="BC222" s="200" t="inlineStr">
        <is>
          <t>Dec</t>
        </is>
      </c>
      <c r="BD222" s="199" t="n">
        <v>2025</v>
      </c>
      <c r="BE222" s="199" t="n">
        <v>2025</v>
      </c>
    </row>
    <row r="223" ht="15" customHeight="1" s="104">
      <c r="A223" s="194" t="n">
        <v>46022</v>
      </c>
      <c r="B223" s="195" t="inlineStr">
        <is>
          <t>Shopify</t>
        </is>
      </c>
      <c r="C223" s="195" t="inlineStr">
        <is>
          <t>Sales</t>
        </is>
      </c>
      <c r="D223" s="195" t="inlineStr">
        <is>
          <t>Shipping</t>
        </is>
      </c>
      <c r="E223" s="196" t="n">
        <v>17.97</v>
      </c>
      <c r="F223" s="197" t="n">
        <v>0.02680649203</v>
      </c>
      <c r="BA223" s="199" t="n">
        <v>17.97</v>
      </c>
      <c r="BC223" s="200" t="inlineStr">
        <is>
          <t>Dec</t>
        </is>
      </c>
      <c r="BD223" s="199" t="n">
        <v>2025</v>
      </c>
      <c r="BE223" s="199" t="n">
        <v>2025</v>
      </c>
    </row>
    <row r="224" ht="15" customHeight="1" s="104">
      <c r="A224" s="194" t="n">
        <v>46022</v>
      </c>
      <c r="B224" s="195" t="inlineStr">
        <is>
          <t>Shopify</t>
        </is>
      </c>
      <c r="C224" s="195" t="inlineStr">
        <is>
          <t>Sales</t>
        </is>
      </c>
      <c r="D224" s="195" t="inlineStr">
        <is>
          <t>Sales tax</t>
        </is>
      </c>
      <c r="E224" s="196" t="n">
        <v>-18.9</v>
      </c>
      <c r="F224" s="197" t="n">
        <v>-0.02819380631</v>
      </c>
      <c r="BA224" s="199" t="n">
        <v>-18.9</v>
      </c>
      <c r="BC224" s="200" t="inlineStr">
        <is>
          <t>Dec</t>
        </is>
      </c>
      <c r="BD224" s="199" t="n">
        <v>2025</v>
      </c>
      <c r="BE224" s="199" t="n">
        <v>2025</v>
      </c>
    </row>
    <row r="225" ht="15" customHeight="1" s="104">
      <c r="A225" s="194" t="n">
        <v>46022</v>
      </c>
      <c r="B225" s="195" t="inlineStr">
        <is>
          <t>Shopify</t>
        </is>
      </c>
      <c r="C225" s="195" t="inlineStr">
        <is>
          <t>Sales</t>
        </is>
      </c>
      <c r="D225" s="195" t="inlineStr">
        <is>
          <t>Refunded amount</t>
        </is>
      </c>
      <c r="E225" s="196" t="n">
        <v>-101.48</v>
      </c>
      <c r="F225" s="197" t="n">
        <v>-0.1513813473</v>
      </c>
      <c r="BA225" s="199" t="n">
        <v>-101.48</v>
      </c>
      <c r="BC225" s="200" t="inlineStr">
        <is>
          <t>Dec</t>
        </is>
      </c>
      <c r="BD225" s="199" t="n">
        <v>2025</v>
      </c>
      <c r="BE225" s="199" t="n">
        <v>2025</v>
      </c>
    </row>
    <row r="226" ht="15" customHeight="1" s="104">
      <c r="A226" s="194" t="n">
        <v>46022</v>
      </c>
      <c r="B226" s="195" t="inlineStr">
        <is>
          <t>Shopify</t>
        </is>
      </c>
      <c r="C226" s="195" t="inlineStr">
        <is>
          <t>Sales</t>
        </is>
      </c>
      <c r="D226" s="195" t="inlineStr">
        <is>
          <t>Refunded shipping</t>
        </is>
      </c>
      <c r="E226" s="198" t="n">
        <v>0</v>
      </c>
      <c r="F226" s="198" t="n">
        <v>0</v>
      </c>
      <c r="BA226" s="201" t="n">
        <v>0</v>
      </c>
      <c r="BC226" s="200" t="inlineStr">
        <is>
          <t>Dec</t>
        </is>
      </c>
      <c r="BD226" s="199" t="n">
        <v>2025</v>
      </c>
      <c r="BE226" s="199" t="n">
        <v>2025</v>
      </c>
    </row>
    <row r="227" ht="15" customHeight="1" s="104">
      <c r="A227" s="194" t="n">
        <v>46053</v>
      </c>
      <c r="B227" s="195" t="inlineStr">
        <is>
          <t>Amazon US</t>
        </is>
      </c>
      <c r="C227" s="195" t="inlineStr">
        <is>
          <t>Sales</t>
        </is>
      </c>
      <c r="D227" s="195" t="inlineStr">
        <is>
          <t>Organic</t>
        </is>
      </c>
      <c r="E227" s="196" t="n">
        <v>59337.27</v>
      </c>
      <c r="F227" s="197" t="n">
        <v>0.7722218224</v>
      </c>
      <c r="G227" s="196" t="n">
        <v>1922</v>
      </c>
      <c r="J227" s="198" t="n">
        <v>0</v>
      </c>
      <c r="K227" s="196" t="n">
        <v>79.01000000000001</v>
      </c>
      <c r="L227" s="196" t="n">
        <v>79.01000000000001</v>
      </c>
      <c r="M227" s="197" t="n">
        <v>0.1125</v>
      </c>
      <c r="N227" s="197" t="n">
        <v>0.2138</v>
      </c>
      <c r="O227" s="197" t="n">
        <v>0.6081</v>
      </c>
      <c r="P227" s="197" t="n">
        <v>0.001</v>
      </c>
      <c r="Q227" s="197" t="n">
        <v>0.0036</v>
      </c>
      <c r="BA227" s="199" t="n">
        <v>57415.27</v>
      </c>
      <c r="BC227" s="200" t="inlineStr">
        <is>
          <t>Jan</t>
        </is>
      </c>
      <c r="BD227" s="199" t="n">
        <v>2026</v>
      </c>
      <c r="BE227" s="199" t="n">
        <v>2026</v>
      </c>
    </row>
    <row r="228" ht="15" customHeight="1" s="104">
      <c r="A228" s="194" t="n">
        <v>46053</v>
      </c>
      <c r="B228" s="195" t="inlineStr">
        <is>
          <t>Amazon US</t>
        </is>
      </c>
      <c r="C228" s="195" t="inlineStr">
        <is>
          <t>Sales</t>
        </is>
      </c>
      <c r="D228" s="195" t="inlineStr">
        <is>
          <t>Sponsored Products (same day)</t>
        </is>
      </c>
      <c r="E228" s="196" t="n">
        <v>17502.4</v>
      </c>
      <c r="F228" s="197" t="n">
        <v>0.2277781776</v>
      </c>
      <c r="BA228" s="199" t="n">
        <v>17502.4</v>
      </c>
      <c r="BC228" s="200" t="inlineStr">
        <is>
          <t>Jan</t>
        </is>
      </c>
      <c r="BD228" s="199" t="n">
        <v>2026</v>
      </c>
      <c r="BE228" s="199" t="n">
        <v>2026</v>
      </c>
    </row>
    <row r="229" ht="15" customHeight="1" s="104">
      <c r="A229" s="194" t="n">
        <v>46053</v>
      </c>
      <c r="B229" s="195" t="inlineStr">
        <is>
          <t>Amazon US</t>
        </is>
      </c>
      <c r="C229" s="195" t="inlineStr">
        <is>
          <t>Sales</t>
        </is>
      </c>
      <c r="D229" s="195" t="inlineStr">
        <is>
          <t>Sponsored Display (same day)</t>
        </is>
      </c>
      <c r="E229" s="198" t="n">
        <v>0</v>
      </c>
      <c r="F229" s="198" t="n">
        <v>0</v>
      </c>
      <c r="BA229" s="201" t="n">
        <v>0</v>
      </c>
      <c r="BC229" s="200" t="inlineStr">
        <is>
          <t>Jan</t>
        </is>
      </c>
      <c r="BD229" s="199" t="n">
        <v>2026</v>
      </c>
      <c r="BE229" s="199" t="n">
        <v>2026</v>
      </c>
    </row>
    <row r="230" ht="15" customHeight="1" s="104">
      <c r="A230" s="194" t="n">
        <v>46053</v>
      </c>
      <c r="B230" s="195" t="inlineStr">
        <is>
          <t>Amazon CA</t>
        </is>
      </c>
      <c r="C230" s="195" t="inlineStr">
        <is>
          <t>Sales</t>
        </is>
      </c>
      <c r="D230" s="195" t="inlineStr">
        <is>
          <t>Organic</t>
        </is>
      </c>
      <c r="E230" s="196" t="n">
        <v>4861.92</v>
      </c>
      <c r="F230" s="197" t="n">
        <v>0.6546224213</v>
      </c>
      <c r="G230" s="196" t="n">
        <v>173</v>
      </c>
      <c r="J230" s="198" t="n">
        <v>0</v>
      </c>
      <c r="K230" s="196" t="n">
        <v>-176.95</v>
      </c>
      <c r="L230" s="196" t="n">
        <v>-176.95</v>
      </c>
      <c r="M230" s="197" t="n">
        <v>0.1213</v>
      </c>
      <c r="N230" s="197" t="n">
        <v>0.2254</v>
      </c>
      <c r="O230" s="197" t="n">
        <v>0.3878</v>
      </c>
      <c r="P230" s="197" t="n">
        <v>-0.0238</v>
      </c>
      <c r="Q230" s="197" t="n">
        <v>-0.08</v>
      </c>
      <c r="BA230" s="199" t="n">
        <v>4688.92</v>
      </c>
      <c r="BC230" s="200" t="inlineStr">
        <is>
          <t>Jan</t>
        </is>
      </c>
      <c r="BD230" s="199" t="n">
        <v>2026</v>
      </c>
      <c r="BE230" s="199" t="n">
        <v>2026</v>
      </c>
    </row>
    <row r="231" ht="15" customHeight="1" s="104">
      <c r="A231" s="194" t="n">
        <v>46053</v>
      </c>
      <c r="B231" s="195" t="inlineStr">
        <is>
          <t>Amazon CA</t>
        </is>
      </c>
      <c r="C231" s="195" t="inlineStr">
        <is>
          <t>Sales</t>
        </is>
      </c>
      <c r="D231" s="195" t="inlineStr">
        <is>
          <t>Sponsored Products (same day)</t>
        </is>
      </c>
      <c r="E231" s="196" t="n">
        <v>2565.14</v>
      </c>
      <c r="F231" s="197" t="n">
        <v>0.3453775787</v>
      </c>
      <c r="BA231" s="199" t="n">
        <v>2565.14</v>
      </c>
      <c r="BC231" s="200" t="inlineStr">
        <is>
          <t>Jan</t>
        </is>
      </c>
      <c r="BD231" s="199" t="n">
        <v>2026</v>
      </c>
      <c r="BE231" s="199" t="n">
        <v>2026</v>
      </c>
    </row>
    <row r="232" ht="15" customHeight="1" s="104">
      <c r="A232" s="194" t="n">
        <v>46053</v>
      </c>
      <c r="B232" s="195" t="inlineStr">
        <is>
          <t>Amazon CA</t>
        </is>
      </c>
      <c r="C232" s="195" t="inlineStr">
        <is>
          <t>Sales</t>
        </is>
      </c>
      <c r="D232" s="195" t="inlineStr">
        <is>
          <t>Sponsored Display (same day)</t>
        </is>
      </c>
      <c r="E232" s="198" t="n">
        <v>0</v>
      </c>
      <c r="F232" s="198" t="n">
        <v>0</v>
      </c>
      <c r="BA232" s="201" t="n">
        <v>0</v>
      </c>
      <c r="BC232" s="200" t="inlineStr">
        <is>
          <t>Jan</t>
        </is>
      </c>
      <c r="BD232" s="199" t="n">
        <v>2026</v>
      </c>
      <c r="BE232" s="199" t="n">
        <v>2026</v>
      </c>
    </row>
    <row r="233" ht="15" customHeight="1" s="104">
      <c r="A233" s="194" t="n">
        <v>46053</v>
      </c>
      <c r="B233" s="195" t="inlineStr">
        <is>
          <t>Shopify</t>
        </is>
      </c>
      <c r="C233" s="195" t="inlineStr">
        <is>
          <t>Sales</t>
        </is>
      </c>
      <c r="D233" s="195" t="inlineStr">
        <is>
          <t>Gross sales</t>
        </is>
      </c>
      <c r="E233" s="196" t="n">
        <v>8002.71</v>
      </c>
      <c r="F233" s="197" t="n">
        <v>0.9476157772</v>
      </c>
      <c r="G233" s="196" t="n">
        <v>229</v>
      </c>
      <c r="J233" s="196" t="n">
        <v>-118.26</v>
      </c>
      <c r="M233" s="197" t="n">
        <v>0.4095162764</v>
      </c>
      <c r="N233" s="197" t="n">
        <v>0.008744537788</v>
      </c>
      <c r="AD233" s="196" t="n">
        <v>-3277.24</v>
      </c>
      <c r="AE233" s="198" t="n">
        <v>0</v>
      </c>
      <c r="AF233" s="196" t="n">
        <v>-1772.32</v>
      </c>
      <c r="AH233" s="196" t="n">
        <v>-278.48</v>
      </c>
      <c r="AI233" s="196" t="n">
        <v>-2427.32</v>
      </c>
      <c r="AJ233" s="196" t="n">
        <v>-118.26</v>
      </c>
      <c r="AK233" s="196" t="n">
        <v>8445.1</v>
      </c>
      <c r="AL233" s="196" t="n">
        <v>571.48</v>
      </c>
      <c r="AN233" s="197" t="n">
        <v>0.008744537788</v>
      </c>
      <c r="AO233" s="197" t="n">
        <v>0.06767000983</v>
      </c>
      <c r="BA233" s="199" t="n">
        <v>7773.71</v>
      </c>
      <c r="BC233" s="200" t="inlineStr">
        <is>
          <t>Jan</t>
        </is>
      </c>
      <c r="BD233" s="199" t="n">
        <v>2026</v>
      </c>
      <c r="BE233" s="199" t="n">
        <v>2026</v>
      </c>
    </row>
    <row r="234" ht="15" customHeight="1" s="104">
      <c r="A234" s="194" t="n">
        <v>46053</v>
      </c>
      <c r="B234" s="195" t="inlineStr">
        <is>
          <t>Shopify</t>
        </is>
      </c>
      <c r="C234" s="195" t="inlineStr">
        <is>
          <t>Sales</t>
        </is>
      </c>
      <c r="D234" s="195" t="inlineStr">
        <is>
          <t>Promo</t>
        </is>
      </c>
      <c r="E234" s="196" t="n">
        <v>-393.04</v>
      </c>
      <c r="F234" s="197" t="n">
        <v>-0.04654059751</v>
      </c>
      <c r="BA234" s="199" t="n">
        <v>-393.04</v>
      </c>
      <c r="BC234" s="200" t="inlineStr">
        <is>
          <t>Jan</t>
        </is>
      </c>
      <c r="BD234" s="199" t="n">
        <v>2026</v>
      </c>
      <c r="BE234" s="199" t="n">
        <v>2026</v>
      </c>
    </row>
    <row r="235" ht="15" customHeight="1" s="104">
      <c r="A235" s="194" t="n">
        <v>46053</v>
      </c>
      <c r="B235" s="195" t="inlineStr">
        <is>
          <t>Shopify</t>
        </is>
      </c>
      <c r="C235" s="195" t="inlineStr">
        <is>
          <t>Sales</t>
        </is>
      </c>
      <c r="D235" s="195" t="inlineStr">
        <is>
          <t>Shipping</t>
        </is>
      </c>
      <c r="E235" s="196" t="n">
        <v>787.15</v>
      </c>
      <c r="F235" s="197" t="n">
        <v>0.0932078957</v>
      </c>
      <c r="BA235" s="199" t="n">
        <v>787.15</v>
      </c>
      <c r="BC235" s="200" t="inlineStr">
        <is>
          <t>Jan</t>
        </is>
      </c>
      <c r="BD235" s="199" t="n">
        <v>2026</v>
      </c>
      <c r="BE235" s="199" t="n">
        <v>2026</v>
      </c>
    </row>
    <row r="236" ht="15" customHeight="1" s="104">
      <c r="A236" s="194" t="n">
        <v>46053</v>
      </c>
      <c r="B236" s="195" t="inlineStr">
        <is>
          <t>Shopify</t>
        </is>
      </c>
      <c r="C236" s="195" t="inlineStr">
        <is>
          <t>Sales</t>
        </is>
      </c>
      <c r="D236" s="195" t="inlineStr">
        <is>
          <t>Sales tax</t>
        </is>
      </c>
      <c r="E236" s="196" t="n">
        <v>118.26</v>
      </c>
      <c r="F236" s="197" t="n">
        <v>0.01400338658</v>
      </c>
      <c r="BA236" s="199" t="n">
        <v>118.26</v>
      </c>
      <c r="BC236" s="200" t="inlineStr">
        <is>
          <t>Jan</t>
        </is>
      </c>
      <c r="BD236" s="199" t="n">
        <v>2026</v>
      </c>
      <c r="BE236" s="199" t="n">
        <v>2026</v>
      </c>
    </row>
    <row r="237" ht="15" customHeight="1" s="104">
      <c r="A237" s="194" t="n">
        <v>46053</v>
      </c>
      <c r="B237" s="195" t="inlineStr">
        <is>
          <t>Shopify</t>
        </is>
      </c>
      <c r="C237" s="195" t="inlineStr">
        <is>
          <t>Sales</t>
        </is>
      </c>
      <c r="D237" s="195" t="inlineStr">
        <is>
          <t>Refunded amount</t>
        </is>
      </c>
      <c r="E237" s="196" t="n">
        <v>-69.98</v>
      </c>
      <c r="F237" s="197" t="n">
        <v>-0.008286461972</v>
      </c>
      <c r="BA237" s="199" t="n">
        <v>-69.98</v>
      </c>
      <c r="BC237" s="200" t="inlineStr">
        <is>
          <t>Jan</t>
        </is>
      </c>
      <c r="BD237" s="199" t="n">
        <v>2026</v>
      </c>
      <c r="BE237" s="199" t="n">
        <v>2026</v>
      </c>
    </row>
    <row r="238" ht="15" customHeight="1" s="104">
      <c r="A238" s="194" t="n">
        <v>46053</v>
      </c>
      <c r="B238" s="195" t="inlineStr">
        <is>
          <t>Shopify</t>
        </is>
      </c>
      <c r="C238" s="195" t="inlineStr">
        <is>
          <t>Sales</t>
        </is>
      </c>
      <c r="D238" s="195" t="inlineStr">
        <is>
          <t>Refunded shipping</t>
        </is>
      </c>
      <c r="E238" s="198" t="n">
        <v>0</v>
      </c>
      <c r="F238" s="198" t="n">
        <v>0</v>
      </c>
      <c r="G238" s="202" t="inlineStr">
        <is>
          <t xml:space="preserve"> </t>
        </is>
      </c>
      <c r="BA238" s="200">
        <f>#VALUE!</f>
        <v/>
      </c>
      <c r="BC238" s="200" t="inlineStr">
        <is>
          <t>Jan</t>
        </is>
      </c>
      <c r="BD238" s="199" t="n">
        <v>2026</v>
      </c>
      <c r="BE238" s="199" t="n">
        <v>2026</v>
      </c>
    </row>
    <row r="239" ht="15" customHeight="1" s="104">
      <c r="A239" s="194" t="n">
        <v>46053</v>
      </c>
      <c r="B239" s="195" t="inlineStr">
        <is>
          <t>Walmart</t>
        </is>
      </c>
      <c r="C239" s="195" t="inlineStr">
        <is>
          <t>Sales</t>
        </is>
      </c>
      <c r="D239" s="195" t="inlineStr">
        <is>
          <t>Gross sales</t>
        </is>
      </c>
      <c r="E239" s="196" t="n">
        <v>3565.86</v>
      </c>
      <c r="F239" s="196" t="n">
        <v>1.190962226</v>
      </c>
      <c r="G239" s="196" t="n">
        <v>79</v>
      </c>
      <c r="J239" s="198" t="n">
        <v>0</v>
      </c>
      <c r="K239" s="196" t="n">
        <v>1422.36</v>
      </c>
      <c r="M239" s="197" t="n">
        <v>0.03616238439</v>
      </c>
      <c r="N239" s="197" t="n">
        <v>0.1642633194</v>
      </c>
      <c r="P239" s="197" t="n">
        <v>0.1834574664</v>
      </c>
      <c r="AQ239" s="196" t="n">
        <v>-128.95</v>
      </c>
      <c r="AR239" s="196" t="n">
        <v>-927.29</v>
      </c>
      <c r="AU239" s="196" t="n">
        <v>-466</v>
      </c>
      <c r="AV239" s="196" t="n">
        <v>-40.57</v>
      </c>
      <c r="AW239" s="196" t="n">
        <v>-43.18</v>
      </c>
      <c r="AX239" s="196" t="n">
        <v>-838.8200000000001</v>
      </c>
      <c r="AY239" s="196" t="n">
        <v>549.29</v>
      </c>
      <c r="AZ239" s="199" t="n">
        <v>2994.1</v>
      </c>
      <c r="BA239" s="199" t="n">
        <v>3486.86</v>
      </c>
      <c r="BC239" s="200" t="inlineStr">
        <is>
          <t>Jan</t>
        </is>
      </c>
      <c r="BD239" s="199" t="n">
        <v>2026</v>
      </c>
      <c r="BE239" s="199" t="n">
        <v>2026</v>
      </c>
    </row>
    <row r="240" ht="15" customHeight="1" s="104">
      <c r="A240" s="194" t="n">
        <v>46053</v>
      </c>
      <c r="B240" s="195" t="inlineStr">
        <is>
          <t>Walmart</t>
        </is>
      </c>
      <c r="C240" s="195" t="inlineStr">
        <is>
          <t>Sales</t>
        </is>
      </c>
      <c r="D240" s="195" t="inlineStr">
        <is>
          <t>Gross sales refund</t>
        </is>
      </c>
      <c r="E240" s="196" t="n">
        <v>-585.74</v>
      </c>
      <c r="F240" s="197" t="n">
        <v>-0.1956314084</v>
      </c>
      <c r="BA240" s="199" t="n">
        <v>-585.74</v>
      </c>
      <c r="BC240" s="200" t="inlineStr">
        <is>
          <t>Jan</t>
        </is>
      </c>
      <c r="BD240" s="199" t="n">
        <v>2026</v>
      </c>
      <c r="BE240" s="199" t="n">
        <v>2026</v>
      </c>
    </row>
    <row r="241" ht="15" customHeight="1" s="104">
      <c r="A241" s="194" t="n">
        <v>46053</v>
      </c>
      <c r="B241" s="195" t="inlineStr">
        <is>
          <t>Walmart</t>
        </is>
      </c>
      <c r="C241" s="195" t="inlineStr">
        <is>
          <t>Sales</t>
        </is>
      </c>
      <c r="D241" s="195" t="inlineStr">
        <is>
          <t>Shipping</t>
        </is>
      </c>
      <c r="E241" s="196" t="n">
        <v>13.98</v>
      </c>
      <c r="F241" s="197" t="n">
        <v>0.004669182726</v>
      </c>
      <c r="BA241" s="199" t="n">
        <v>13.98</v>
      </c>
      <c r="BC241" s="200" t="inlineStr">
        <is>
          <t>Jan</t>
        </is>
      </c>
      <c r="BD241" s="199" t="n">
        <v>2026</v>
      </c>
      <c r="BE241" s="199" t="n">
        <v>2026</v>
      </c>
    </row>
    <row r="242" ht="15" customHeight="1" s="104">
      <c r="A242" s="194" t="n">
        <v>46053</v>
      </c>
      <c r="B242" s="195" t="inlineStr">
        <is>
          <t>Walmart</t>
        </is>
      </c>
      <c r="C242" s="195" t="inlineStr">
        <is>
          <t>Sales</t>
        </is>
      </c>
      <c r="D242" s="195" t="inlineStr">
        <is>
          <t>Promotion</t>
        </is>
      </c>
      <c r="E242" s="198" t="n">
        <v>0</v>
      </c>
      <c r="F242" s="198" t="n">
        <v>0</v>
      </c>
      <c r="BA242" s="201" t="n">
        <v>0</v>
      </c>
      <c r="BC242" s="200" t="inlineStr">
        <is>
          <t>Jan</t>
        </is>
      </c>
      <c r="BD242" s="199" t="n">
        <v>2026</v>
      </c>
      <c r="BE242" s="199" t="n">
        <v>2026</v>
      </c>
    </row>
    <row r="243" ht="15" customHeight="1" s="104">
      <c r="A243" s="194" t="n">
        <v>46053</v>
      </c>
      <c r="B243" s="195" t="inlineStr">
        <is>
          <t>Tiktok</t>
        </is>
      </c>
      <c r="C243" s="195" t="inlineStr">
        <is>
          <t>Net Sales</t>
        </is>
      </c>
      <c r="D243" s="195" t="inlineStr">
        <is>
          <t>Gross sales</t>
        </is>
      </c>
      <c r="E243" s="196" t="n">
        <v>10260.43</v>
      </c>
      <c r="F243" s="196" t="n">
        <v>1.060494215</v>
      </c>
      <c r="G243" s="196" t="n">
        <v>286</v>
      </c>
      <c r="J243" s="198" t="n">
        <v>0</v>
      </c>
      <c r="K243" s="196" t="n">
        <v>10260.43</v>
      </c>
      <c r="M243" s="197" t="n">
        <v>0.1976291442</v>
      </c>
      <c r="N243" s="197" t="n">
        <v>0.04365216662</v>
      </c>
      <c r="R243" s="196" t="n">
        <v>9675.139999999999</v>
      </c>
      <c r="S243" s="196" t="n">
        <v>-2204.36</v>
      </c>
      <c r="U243" s="196" t="n">
        <v>-360.09</v>
      </c>
      <c r="V243" s="196" t="n">
        <v>-97.54000000000001</v>
      </c>
      <c r="W243" s="196" t="n">
        <v>-580.74</v>
      </c>
      <c r="X243" s="196" t="n">
        <v>-414.15</v>
      </c>
      <c r="Y243" s="196" t="n">
        <v>-4.24</v>
      </c>
      <c r="Z243" s="196" t="n">
        <v>-3425.65</v>
      </c>
      <c r="AA243" s="196" t="n">
        <v>-2027.76</v>
      </c>
      <c r="AB243" s="196" t="n">
        <v>560.61</v>
      </c>
      <c r="AC243" s="197" t="n">
        <v>0.05794334759</v>
      </c>
      <c r="BA243" s="199" t="n">
        <v>9974.43</v>
      </c>
      <c r="BC243" s="200" t="inlineStr">
        <is>
          <t>Jan</t>
        </is>
      </c>
      <c r="BD243" s="199" t="n">
        <v>2026</v>
      </c>
      <c r="BE243" s="199" t="n">
        <v>2026</v>
      </c>
    </row>
    <row r="244" ht="15" customHeight="1" s="104">
      <c r="A244" s="194" t="n">
        <v>46053</v>
      </c>
      <c r="B244" s="195" t="inlineStr">
        <is>
          <t>Tiktok</t>
        </is>
      </c>
      <c r="C244" s="195" t="inlineStr">
        <is>
          <t>Net Sales</t>
        </is>
      </c>
      <c r="D244" s="195" t="inlineStr">
        <is>
          <t>Gross sales refund</t>
        </is>
      </c>
      <c r="E244" s="196" t="n">
        <v>-447.89</v>
      </c>
      <c r="F244" s="197" t="n">
        <v>-0.04629287018</v>
      </c>
      <c r="BA244" s="199" t="n">
        <v>-447.89</v>
      </c>
      <c r="BC244" s="200" t="inlineStr">
        <is>
          <t>Jan</t>
        </is>
      </c>
      <c r="BD244" s="199" t="n">
        <v>2026</v>
      </c>
      <c r="BE244" s="199" t="n">
        <v>2026</v>
      </c>
    </row>
    <row r="245" ht="15" customHeight="1" s="104">
      <c r="A245" s="194" t="n">
        <v>46053</v>
      </c>
      <c r="B245" s="195" t="inlineStr">
        <is>
          <t>Tiktok</t>
        </is>
      </c>
      <c r="C245" s="195" t="inlineStr">
        <is>
          <t>Net Sales</t>
        </is>
      </c>
      <c r="D245" s="195" t="inlineStr">
        <is>
          <t>Seller discount</t>
        </is>
      </c>
      <c r="E245" s="196" t="n">
        <v>-141.6</v>
      </c>
      <c r="F245" s="197" t="n">
        <v>-0.01463544714</v>
      </c>
      <c r="BA245" s="199" t="n">
        <v>-141.6</v>
      </c>
      <c r="BC245" s="200" t="inlineStr">
        <is>
          <t>Jan</t>
        </is>
      </c>
      <c r="BD245" s="199" t="n">
        <v>2026</v>
      </c>
      <c r="BE245" s="199" t="n">
        <v>2026</v>
      </c>
    </row>
    <row r="246" ht="15" customHeight="1" s="104">
      <c r="A246" s="194" t="n">
        <v>46053</v>
      </c>
      <c r="B246" s="195" t="inlineStr">
        <is>
          <t>Tiktok</t>
        </is>
      </c>
      <c r="C246" s="195" t="inlineStr">
        <is>
          <t>Net Sales</t>
        </is>
      </c>
      <c r="D246" s="195" t="inlineStr">
        <is>
          <t>Seller discount refund</t>
        </is>
      </c>
      <c r="E246" s="196" t="n">
        <v>4.2</v>
      </c>
      <c r="F246" s="197" t="n">
        <v>0.0004341022455</v>
      </c>
      <c r="BA246" s="199" t="n">
        <v>4.2</v>
      </c>
      <c r="BC246" s="200" t="inlineStr">
        <is>
          <t>Jan</t>
        </is>
      </c>
      <c r="BD246" s="199" t="n">
        <v>2026</v>
      </c>
      <c r="BE246" s="199" t="n">
        <v>2026</v>
      </c>
    </row>
    <row r="247" ht="15" customHeight="1" s="104">
      <c r="A247" s="194" t="n">
        <v>46081</v>
      </c>
      <c r="B247" s="195" t="inlineStr">
        <is>
          <t>Amazon US</t>
        </is>
      </c>
      <c r="C247" s="195" t="inlineStr">
        <is>
          <t>Sales</t>
        </is>
      </c>
      <c r="D247" s="195" t="inlineStr">
        <is>
          <t>Organic</t>
        </is>
      </c>
      <c r="E247" s="196" t="n">
        <v>59969.89</v>
      </c>
      <c r="F247" s="197" t="n">
        <v>0.6901605164</v>
      </c>
      <c r="G247" s="196" t="n">
        <v>2222</v>
      </c>
      <c r="J247" s="198" t="n">
        <v>0</v>
      </c>
      <c r="K247" s="196" t="n">
        <v>13080.11</v>
      </c>
      <c r="L247" s="196" t="n">
        <v>13080.11</v>
      </c>
      <c r="M247" s="197" t="n">
        <v>0.1258</v>
      </c>
      <c r="N247" s="197" t="n">
        <v>0.095</v>
      </c>
      <c r="O247" s="197" t="n">
        <v>0.5565</v>
      </c>
      <c r="P247" s="197" t="n">
        <v>0.1505</v>
      </c>
      <c r="Q247" s="197" t="n">
        <v>0.519</v>
      </c>
      <c r="BA247" s="199" t="n">
        <v>57747.89</v>
      </c>
      <c r="BC247" s="200" t="inlineStr">
        <is>
          <t>Feb</t>
        </is>
      </c>
      <c r="BD247" s="199" t="n">
        <v>2026</v>
      </c>
      <c r="BE247" s="199" t="n">
        <v>2026</v>
      </c>
    </row>
    <row r="248" ht="15" customHeight="1" s="104">
      <c r="A248" s="194" t="n">
        <v>46081</v>
      </c>
      <c r="B248" s="195" t="inlineStr">
        <is>
          <t>Amazon US</t>
        </is>
      </c>
      <c r="C248" s="195" t="inlineStr">
        <is>
          <t>Sales</t>
        </is>
      </c>
      <c r="D248" s="195" t="inlineStr">
        <is>
          <t>Sponsored Products (same day)</t>
        </is>
      </c>
      <c r="E248" s="196" t="n">
        <v>26922.78</v>
      </c>
      <c r="F248" s="197" t="n">
        <v>0.3098394836</v>
      </c>
      <c r="BA248" s="199" t="n">
        <v>26922.78</v>
      </c>
      <c r="BC248" s="200" t="inlineStr">
        <is>
          <t>Feb</t>
        </is>
      </c>
      <c r="BD248" s="199" t="n">
        <v>2026</v>
      </c>
      <c r="BE248" s="199" t="n">
        <v>2026</v>
      </c>
    </row>
    <row r="249" ht="15" customHeight="1" s="104">
      <c r="A249" s="194" t="n">
        <v>46081</v>
      </c>
      <c r="B249" s="195" t="inlineStr">
        <is>
          <t>Amazon US</t>
        </is>
      </c>
      <c r="C249" s="195" t="inlineStr">
        <is>
          <t>Sales</t>
        </is>
      </c>
      <c r="D249" s="195" t="inlineStr">
        <is>
          <t>Sponsored Display (same day)</t>
        </is>
      </c>
      <c r="E249" s="198" t="n">
        <v>0</v>
      </c>
      <c r="F249" s="198" t="n">
        <v>0</v>
      </c>
      <c r="BA249" s="201" t="n">
        <v>0</v>
      </c>
      <c r="BC249" s="200" t="inlineStr">
        <is>
          <t>Feb</t>
        </is>
      </c>
      <c r="BD249" s="199" t="n">
        <v>2026</v>
      </c>
      <c r="BE249" s="199" t="n">
        <v>2026</v>
      </c>
    </row>
    <row r="250" ht="15" customHeight="1" s="104">
      <c r="A250" s="194" t="n">
        <v>46081</v>
      </c>
      <c r="B250" s="195" t="inlineStr">
        <is>
          <t>Amazon CA</t>
        </is>
      </c>
      <c r="C250" s="195" t="inlineStr">
        <is>
          <t>Sales</t>
        </is>
      </c>
      <c r="D250" s="195" t="inlineStr">
        <is>
          <t>Organic</t>
        </is>
      </c>
      <c r="E250" s="196" t="n">
        <v>1880.62</v>
      </c>
      <c r="F250" s="197" t="n">
        <v>0.6049616233</v>
      </c>
      <c r="G250" s="196" t="n">
        <v>57</v>
      </c>
      <c r="J250" s="198" t="n">
        <v>0</v>
      </c>
      <c r="K250" s="196" t="n">
        <v>-781.85</v>
      </c>
      <c r="L250" s="196" t="n">
        <v>-781.85</v>
      </c>
      <c r="M250" s="197" t="n">
        <v>0.2128</v>
      </c>
      <c r="N250" s="197" t="n">
        <v>0.4211</v>
      </c>
      <c r="O250" s="197" t="n">
        <v>0.5938</v>
      </c>
      <c r="P250" s="197" t="n">
        <v>-0.2515</v>
      </c>
      <c r="Q250" s="197" t="n">
        <v>-0.7919</v>
      </c>
      <c r="BA250" s="199" t="n">
        <v>1823.62</v>
      </c>
      <c r="BC250" s="200" t="inlineStr">
        <is>
          <t>Feb</t>
        </is>
      </c>
      <c r="BD250" s="199" t="n">
        <v>2026</v>
      </c>
      <c r="BE250" s="199" t="n">
        <v>2026</v>
      </c>
    </row>
    <row r="251" ht="15" customHeight="1" s="104">
      <c r="A251" s="194" t="n">
        <v>46081</v>
      </c>
      <c r="B251" s="195" t="inlineStr">
        <is>
          <t>Amazon CA</t>
        </is>
      </c>
      <c r="C251" s="195" t="inlineStr">
        <is>
          <t>Sales</t>
        </is>
      </c>
      <c r="D251" s="195" t="inlineStr">
        <is>
          <t>Sponsored Products (same day)</t>
        </is>
      </c>
      <c r="E251" s="196" t="n">
        <v>1228.04</v>
      </c>
      <c r="F251" s="197" t="n">
        <v>0.3950383767</v>
      </c>
      <c r="BA251" s="199" t="n">
        <v>1228.04</v>
      </c>
      <c r="BC251" s="200" t="inlineStr">
        <is>
          <t>Feb</t>
        </is>
      </c>
      <c r="BD251" s="199" t="n">
        <v>2026</v>
      </c>
      <c r="BE251" s="199" t="n">
        <v>2026</v>
      </c>
    </row>
    <row r="252" ht="15" customHeight="1" s="104">
      <c r="A252" s="194" t="n">
        <v>46081</v>
      </c>
      <c r="B252" s="195" t="inlineStr">
        <is>
          <t>Amazon CA</t>
        </is>
      </c>
      <c r="C252" s="195" t="inlineStr">
        <is>
          <t>Sales</t>
        </is>
      </c>
      <c r="D252" s="195" t="inlineStr">
        <is>
          <t>Sponsored Display (same day)</t>
        </is>
      </c>
      <c r="E252" s="198" t="n">
        <v>0</v>
      </c>
      <c r="F252" s="198" t="n">
        <v>0</v>
      </c>
      <c r="BA252" s="201" t="n">
        <v>0</v>
      </c>
      <c r="BC252" s="200" t="inlineStr">
        <is>
          <t>Feb</t>
        </is>
      </c>
      <c r="BD252" s="199" t="n">
        <v>2026</v>
      </c>
      <c r="BE252" s="199" t="n">
        <v>2026</v>
      </c>
    </row>
    <row r="253" ht="15" customHeight="1" s="104">
      <c r="A253" s="194" t="n">
        <v>46081</v>
      </c>
      <c r="B253" s="195" t="inlineStr">
        <is>
          <t>Walmart</t>
        </is>
      </c>
      <c r="C253" s="195" t="inlineStr">
        <is>
          <t>Sales</t>
        </is>
      </c>
      <c r="D253" s="195" t="inlineStr">
        <is>
          <t>Gross sales</t>
        </is>
      </c>
      <c r="E253" s="196" t="n">
        <v>2148.33</v>
      </c>
      <c r="F253" s="196" t="n">
        <v>1.156595566</v>
      </c>
      <c r="G253" s="196" t="n">
        <v>58</v>
      </c>
      <c r="J253" s="198" t="n">
        <v>0</v>
      </c>
      <c r="K253" s="196" t="n">
        <v>1055.72</v>
      </c>
      <c r="M253" s="197" t="n">
        <v>0.09633994777</v>
      </c>
      <c r="N253" s="197" t="n">
        <v>0.1382050244</v>
      </c>
      <c r="P253" s="197" t="n">
        <v>0.1102257922</v>
      </c>
      <c r="AQ253" s="196" t="n">
        <v>-206.97</v>
      </c>
      <c r="AR253" s="196" t="n">
        <v>-40.39</v>
      </c>
      <c r="AS253" s="196" t="n">
        <v>-261.4</v>
      </c>
      <c r="AT253" s="196" t="n">
        <v>-240.17</v>
      </c>
      <c r="AU253" s="196" t="n">
        <v>-317.08</v>
      </c>
      <c r="AV253" s="196" t="n">
        <v>-27.27</v>
      </c>
      <c r="AW253" s="196" t="n">
        <v>6</v>
      </c>
      <c r="AX253" s="196" t="n">
        <v>-565.4400000000001</v>
      </c>
      <c r="AY253" s="196" t="n">
        <v>204.74</v>
      </c>
      <c r="AZ253" s="199" t="n">
        <v>1857.46</v>
      </c>
      <c r="BA253" s="199" t="n">
        <v>2090.33</v>
      </c>
      <c r="BC253" s="200" t="inlineStr">
        <is>
          <t>Feb</t>
        </is>
      </c>
      <c r="BD253" s="199" t="n">
        <v>2026</v>
      </c>
      <c r="BE253" s="199" t="n">
        <v>2026</v>
      </c>
    </row>
    <row r="254" ht="15" customHeight="1" s="104">
      <c r="A254" s="194" t="n">
        <v>46081</v>
      </c>
      <c r="B254" s="195" t="inlineStr">
        <is>
          <t>Walmart</t>
        </is>
      </c>
      <c r="C254" s="195" t="inlineStr">
        <is>
          <t>Sales</t>
        </is>
      </c>
      <c r="D254" s="195" t="inlineStr">
        <is>
          <t>Gross sales refund</t>
        </is>
      </c>
      <c r="E254" s="196" t="n">
        <v>-296.91</v>
      </c>
      <c r="F254" s="197" t="n">
        <v>-0.1598473184</v>
      </c>
      <c r="BA254" s="199" t="n">
        <v>-296.91</v>
      </c>
      <c r="BC254" s="200" t="inlineStr">
        <is>
          <t>Feb</t>
        </is>
      </c>
      <c r="BD254" s="199" t="n">
        <v>2026</v>
      </c>
      <c r="BE254" s="199" t="n">
        <v>2026</v>
      </c>
    </row>
    <row r="255" ht="15" customHeight="1" s="104">
      <c r="A255" s="194" t="n">
        <v>46081</v>
      </c>
      <c r="B255" s="195" t="inlineStr">
        <is>
          <t>Walmart</t>
        </is>
      </c>
      <c r="C255" s="195" t="inlineStr">
        <is>
          <t>Sales</t>
        </is>
      </c>
      <c r="D255" s="195" t="inlineStr">
        <is>
          <t>Shipping</t>
        </is>
      </c>
      <c r="E255" s="196" t="n">
        <v>6.04</v>
      </c>
      <c r="F255" s="197" t="n">
        <v>0.003251752393</v>
      </c>
      <c r="BA255" s="199" t="n">
        <v>6.04</v>
      </c>
      <c r="BC255" s="200" t="inlineStr">
        <is>
          <t>Feb</t>
        </is>
      </c>
      <c r="BD255" s="199" t="n">
        <v>2026</v>
      </c>
      <c r="BE255" s="199" t="n">
        <v>2026</v>
      </c>
    </row>
    <row r="256" ht="15" customHeight="1" s="104">
      <c r="A256" s="194" t="n">
        <v>46081</v>
      </c>
      <c r="B256" s="195" t="inlineStr">
        <is>
          <t>Walmart</t>
        </is>
      </c>
      <c r="C256" s="195" t="inlineStr">
        <is>
          <t>Sales</t>
        </is>
      </c>
      <c r="D256" s="195" t="inlineStr">
        <is>
          <t>Promotion</t>
        </is>
      </c>
      <c r="E256" s="198" t="n">
        <v>0</v>
      </c>
      <c r="F256" s="198" t="n">
        <v>0</v>
      </c>
      <c r="BA256" s="201" t="n">
        <v>0</v>
      </c>
      <c r="BC256" s="200" t="inlineStr">
        <is>
          <t>Feb</t>
        </is>
      </c>
      <c r="BD256" s="199" t="n">
        <v>2026</v>
      </c>
      <c r="BE256" s="199" t="n">
        <v>2026</v>
      </c>
    </row>
    <row r="257" ht="15" customHeight="1" s="104">
      <c r="A257" s="194" t="n">
        <v>46081</v>
      </c>
      <c r="B257" s="195" t="inlineStr">
        <is>
          <t>Tiktok</t>
        </is>
      </c>
      <c r="C257" s="195" t="inlineStr">
        <is>
          <t>Net Sales</t>
        </is>
      </c>
      <c r="D257" s="195" t="inlineStr">
        <is>
          <t>Gross sales</t>
        </is>
      </c>
      <c r="E257" s="196" t="n">
        <v>6869.25</v>
      </c>
      <c r="F257" s="196" t="n">
        <v>1.113027571</v>
      </c>
      <c r="G257" s="196" t="n">
        <v>171</v>
      </c>
      <c r="J257" s="198" t="n">
        <v>0</v>
      </c>
      <c r="K257" s="196" t="n">
        <v>6869.25</v>
      </c>
      <c r="M257" s="197" t="n">
        <v>0.3307216945</v>
      </c>
      <c r="N257" s="197" t="n">
        <v>0.100712596</v>
      </c>
      <c r="R257" s="196" t="n">
        <v>6171.68</v>
      </c>
      <c r="S257" s="198" t="n">
        <v>0</v>
      </c>
      <c r="T257" s="196" t="n">
        <v>-1347.76</v>
      </c>
      <c r="U257" s="196" t="n">
        <v>-200.79</v>
      </c>
      <c r="V257" s="196" t="n">
        <v>-93.38</v>
      </c>
      <c r="W257" s="196" t="n">
        <v>-370.39</v>
      </c>
      <c r="X257" s="196" t="n">
        <v>-284.6</v>
      </c>
      <c r="Y257" s="196" t="n">
        <v>65.98</v>
      </c>
      <c r="Z257" s="196" t="n">
        <v>-2194.68</v>
      </c>
      <c r="AA257" s="196" t="n">
        <v>-2271.81</v>
      </c>
      <c r="AB257" s="196" t="n">
        <v>-525.75</v>
      </c>
      <c r="AC257" s="197" t="n">
        <v>-0.07653673982</v>
      </c>
      <c r="BA257" s="199" t="n">
        <v>6698.25</v>
      </c>
      <c r="BC257" s="200" t="inlineStr">
        <is>
          <t>Feb</t>
        </is>
      </c>
      <c r="BD257" s="199" t="n">
        <v>2026</v>
      </c>
      <c r="BE257" s="199" t="n">
        <v>2026</v>
      </c>
    </row>
    <row r="258" ht="15" customHeight="1" s="104">
      <c r="A258" s="194" t="n">
        <v>46081</v>
      </c>
      <c r="B258" s="195" t="inlineStr">
        <is>
          <t>Tiktok</t>
        </is>
      </c>
      <c r="C258" s="195" t="inlineStr">
        <is>
          <t>Net Sales</t>
        </is>
      </c>
      <c r="D258" s="195" t="inlineStr">
        <is>
          <t>Gross sales refund</t>
        </is>
      </c>
      <c r="E258" s="196" t="n">
        <v>-691.8200000000001</v>
      </c>
      <c r="F258" s="197" t="n">
        <v>-0.1120958961</v>
      </c>
      <c r="BA258" s="199" t="n">
        <v>-691.8200000000001</v>
      </c>
      <c r="BC258" s="200" t="inlineStr">
        <is>
          <t>Feb</t>
        </is>
      </c>
      <c r="BD258" s="199" t="n">
        <v>2026</v>
      </c>
      <c r="BE258" s="199" t="n">
        <v>2026</v>
      </c>
    </row>
    <row r="259" ht="15" customHeight="1" s="104">
      <c r="A259" s="194" t="n">
        <v>46081</v>
      </c>
      <c r="B259" s="195" t="inlineStr">
        <is>
          <t>Tiktok</t>
        </is>
      </c>
      <c r="C259" s="195" t="inlineStr">
        <is>
          <t>Net Sales</t>
        </is>
      </c>
      <c r="D259" s="195" t="inlineStr">
        <is>
          <t>Seller discount</t>
        </is>
      </c>
      <c r="E259" s="196" t="n">
        <v>-5.75</v>
      </c>
      <c r="F259" s="197" t="n">
        <v>-0.0009316750058</v>
      </c>
      <c r="BA259" s="199" t="n">
        <v>-5.75</v>
      </c>
      <c r="BC259" s="200" t="inlineStr">
        <is>
          <t>Feb</t>
        </is>
      </c>
      <c r="BD259" s="199" t="n">
        <v>2026</v>
      </c>
      <c r="BE259" s="199" t="n">
        <v>2026</v>
      </c>
    </row>
    <row r="260" ht="15" customHeight="1" s="104">
      <c r="A260" s="194" t="n">
        <v>46081</v>
      </c>
      <c r="B260" s="195" t="inlineStr">
        <is>
          <t>Tiktok</t>
        </is>
      </c>
      <c r="C260" s="195" t="inlineStr">
        <is>
          <t>Net Sales</t>
        </is>
      </c>
      <c r="D260" s="195" t="inlineStr">
        <is>
          <t>Seller discount refund</t>
        </is>
      </c>
      <c r="E260" s="198" t="n">
        <v>0</v>
      </c>
      <c r="F260" s="198" t="n">
        <v>0</v>
      </c>
      <c r="BA260" s="201" t="n">
        <v>0</v>
      </c>
      <c r="BC260" s="200" t="inlineStr">
        <is>
          <t>Feb</t>
        </is>
      </c>
      <c r="BD260" s="199" t="n">
        <v>2026</v>
      </c>
      <c r="BE260" s="199" t="n">
        <v>2026</v>
      </c>
    </row>
    <row r="261" ht="15" customHeight="1" s="104">
      <c r="A261" s="194" t="n">
        <v>46081</v>
      </c>
      <c r="B261" s="195" t="inlineStr">
        <is>
          <t>Shopify</t>
        </is>
      </c>
      <c r="C261" s="195" t="inlineStr">
        <is>
          <t>Sales</t>
        </is>
      </c>
      <c r="D261" s="195" t="inlineStr">
        <is>
          <t>Gross sales</t>
        </is>
      </c>
      <c r="E261" s="196" t="n">
        <v>6946.22</v>
      </c>
      <c r="F261" s="197" t="n">
        <v>0.9333795574</v>
      </c>
      <c r="G261" s="196" t="n">
        <v>178</v>
      </c>
      <c r="J261" s="196" t="n">
        <v>-76.97</v>
      </c>
      <c r="M261" s="197" t="n">
        <v>0.4003933074</v>
      </c>
      <c r="N261" s="198" t="n">
        <v>0</v>
      </c>
      <c r="AD261" s="196" t="n">
        <v>-2781.22</v>
      </c>
      <c r="AF261" s="196" t="n">
        <v>-72.79000000000001</v>
      </c>
      <c r="AG261" s="196" t="n">
        <v>-1013.83</v>
      </c>
      <c r="AH261" s="196" t="n">
        <v>-269.08</v>
      </c>
      <c r="AI261" s="196" t="n">
        <v>-2292.17</v>
      </c>
      <c r="AJ261" s="196" t="n">
        <v>-76.97</v>
      </c>
      <c r="AK261" s="196" t="n">
        <v>7442.01</v>
      </c>
      <c r="AL261" s="196" t="n">
        <v>935.95</v>
      </c>
      <c r="AN261" s="198" t="n">
        <v>0</v>
      </c>
      <c r="AO261" s="197" t="n">
        <v>0.1257657541</v>
      </c>
      <c r="BA261" s="199" t="n">
        <v>6768.22</v>
      </c>
      <c r="BC261" s="200" t="inlineStr">
        <is>
          <t>Feb</t>
        </is>
      </c>
      <c r="BD261" s="199" t="n">
        <v>2026</v>
      </c>
      <c r="BE261" s="199" t="n">
        <v>2026</v>
      </c>
    </row>
    <row r="262" ht="15" customHeight="1" s="104">
      <c r="A262" s="194" t="n">
        <v>46081</v>
      </c>
      <c r="B262" s="195" t="inlineStr">
        <is>
          <t>Shopify</t>
        </is>
      </c>
      <c r="C262" s="195" t="inlineStr">
        <is>
          <t>Sales</t>
        </is>
      </c>
      <c r="D262" s="195" t="inlineStr">
        <is>
          <t>Promo</t>
        </is>
      </c>
      <c r="E262" s="196" t="n">
        <v>-126.24</v>
      </c>
      <c r="F262" s="197" t="n">
        <v>-0.01696315915</v>
      </c>
      <c r="BA262" s="199" t="n">
        <v>-126.24</v>
      </c>
      <c r="BC262" s="200" t="inlineStr">
        <is>
          <t>Feb</t>
        </is>
      </c>
      <c r="BD262" s="199" t="n">
        <v>2026</v>
      </c>
      <c r="BE262" s="199" t="n">
        <v>2026</v>
      </c>
    </row>
    <row r="263" ht="15" customHeight="1" s="104">
      <c r="A263" s="194" t="n">
        <v>46081</v>
      </c>
      <c r="B263" s="195" t="inlineStr">
        <is>
          <t>Shopify</t>
        </is>
      </c>
      <c r="C263" s="195" t="inlineStr">
        <is>
          <t>Sales</t>
        </is>
      </c>
      <c r="D263" s="195" t="inlineStr">
        <is>
          <t>Shipping</t>
        </is>
      </c>
      <c r="E263" s="196" t="n">
        <v>545.0599999999999</v>
      </c>
      <c r="F263" s="197" t="n">
        <v>0.07324096581</v>
      </c>
      <c r="BA263" s="199" t="n">
        <v>545.0599999999999</v>
      </c>
      <c r="BC263" s="200" t="inlineStr">
        <is>
          <t>Feb</t>
        </is>
      </c>
      <c r="BD263" s="199" t="n">
        <v>2026</v>
      </c>
      <c r="BE263" s="199" t="n">
        <v>2026</v>
      </c>
    </row>
    <row r="264" ht="15" customHeight="1" s="104">
      <c r="A264" s="194" t="n">
        <v>46081</v>
      </c>
      <c r="B264" s="195" t="inlineStr">
        <is>
          <t>Shopify</t>
        </is>
      </c>
      <c r="C264" s="195" t="inlineStr">
        <is>
          <t>Sales</t>
        </is>
      </c>
      <c r="D264" s="195" t="inlineStr">
        <is>
          <t>Sales tax</t>
        </is>
      </c>
      <c r="E264" s="196" t="n">
        <v>76.97</v>
      </c>
      <c r="F264" s="197" t="n">
        <v>0.01034263593</v>
      </c>
      <c r="BA264" s="199" t="n">
        <v>76.97</v>
      </c>
      <c r="BC264" s="200" t="inlineStr">
        <is>
          <t>Feb</t>
        </is>
      </c>
      <c r="BD264" s="199" t="n">
        <v>2026</v>
      </c>
      <c r="BE264" s="199" t="n">
        <v>2026</v>
      </c>
    </row>
    <row r="265" ht="15" customHeight="1" s="104">
      <c r="A265" s="194" t="n">
        <v>46081</v>
      </c>
      <c r="B265" s="195" t="inlineStr">
        <is>
          <t>Shopify</t>
        </is>
      </c>
      <c r="C265" s="195" t="inlineStr">
        <is>
          <t>Sales</t>
        </is>
      </c>
      <c r="D265" s="195" t="inlineStr">
        <is>
          <t>Refunded amount</t>
        </is>
      </c>
      <c r="E265" s="198" t="n">
        <v>0</v>
      </c>
      <c r="F265" s="198" t="n">
        <v>0</v>
      </c>
      <c r="BA265" s="201" t="n">
        <v>0</v>
      </c>
      <c r="BC265" s="200" t="inlineStr">
        <is>
          <t>Feb</t>
        </is>
      </c>
      <c r="BD265" s="199" t="n">
        <v>2026</v>
      </c>
      <c r="BE265" s="199" t="n">
        <v>2026</v>
      </c>
    </row>
    <row r="266" ht="15" customHeight="1" s="104">
      <c r="A266" s="194" t="n">
        <v>46081</v>
      </c>
      <c r="B266" s="195" t="inlineStr">
        <is>
          <t>Shopify</t>
        </is>
      </c>
      <c r="C266" s="195" t="inlineStr">
        <is>
          <t>Sales</t>
        </is>
      </c>
      <c r="D266" s="195" t="inlineStr">
        <is>
          <t>Refunded shipping</t>
        </is>
      </c>
      <c r="E266" s="198" t="n">
        <v>0</v>
      </c>
      <c r="F266" s="198" t="n">
        <v>0</v>
      </c>
      <c r="BA266" s="201" t="n">
        <v>0</v>
      </c>
      <c r="BC266" s="200" t="inlineStr">
        <is>
          <t>Feb</t>
        </is>
      </c>
      <c r="BD266" s="199" t="n">
        <v>2026</v>
      </c>
      <c r="BE266" s="199" t="n">
        <v>2026</v>
      </c>
    </row>
    <row r="267" ht="15" customHeight="1" s="104">
      <c r="A267" s="194" t="n">
        <v>46112</v>
      </c>
      <c r="B267" s="195" t="inlineStr">
        <is>
          <t>Amazon US</t>
        </is>
      </c>
      <c r="C267" s="195" t="inlineStr">
        <is>
          <t>Sales</t>
        </is>
      </c>
      <c r="D267" s="195" t="inlineStr">
        <is>
          <t>Organic</t>
        </is>
      </c>
      <c r="E267" s="196" t="n">
        <v>51987.14</v>
      </c>
      <c r="F267" s="197" t="n">
        <v>0.7280874448</v>
      </c>
      <c r="G267" s="196" t="n">
        <v>1787</v>
      </c>
      <c r="J267" s="198" t="n">
        <v>0</v>
      </c>
      <c r="K267" s="196" t="n">
        <v>5305.53</v>
      </c>
      <c r="L267" s="196" t="n">
        <v>5305.53</v>
      </c>
      <c r="M267" s="197" t="n">
        <v>0.1381</v>
      </c>
      <c r="N267" s="197" t="n">
        <v>0.1349</v>
      </c>
      <c r="O267" s="197" t="n">
        <v>0.5148</v>
      </c>
      <c r="P267" s="197" t="n">
        <v>0.0743</v>
      </c>
      <c r="Q267" s="197" t="n">
        <v>0.2572</v>
      </c>
      <c r="BA267" s="199" t="n">
        <v>50200.14</v>
      </c>
      <c r="BC267" s="200" t="inlineStr">
        <is>
          <t>Mar</t>
        </is>
      </c>
      <c r="BD267" s="199" t="n">
        <v>2026</v>
      </c>
      <c r="BE267" s="199" t="n">
        <v>2026</v>
      </c>
    </row>
    <row r="268" ht="15" customHeight="1" s="104">
      <c r="A268" s="194" t="n">
        <v>46112</v>
      </c>
      <c r="B268" s="195" t="inlineStr">
        <is>
          <t>Amazon US</t>
        </is>
      </c>
      <c r="C268" s="195" t="inlineStr">
        <is>
          <t>Sales</t>
        </is>
      </c>
      <c r="D268" s="195" t="inlineStr">
        <is>
          <t>Sponsored Products (same day)</t>
        </is>
      </c>
      <c r="E268" s="196" t="n">
        <v>19415.19</v>
      </c>
      <c r="F268" s="197" t="n">
        <v>0.2719125552</v>
      </c>
      <c r="BA268" s="199" t="n">
        <v>19415.19</v>
      </c>
      <c r="BC268" s="200" t="inlineStr">
        <is>
          <t>Mar</t>
        </is>
      </c>
      <c r="BD268" s="199" t="n">
        <v>2026</v>
      </c>
      <c r="BE268" s="199" t="n">
        <v>2026</v>
      </c>
    </row>
    <row r="269" ht="15" customHeight="1" s="104">
      <c r="A269" s="194" t="n">
        <v>46112</v>
      </c>
      <c r="B269" s="195" t="inlineStr">
        <is>
          <t>Amazon US</t>
        </is>
      </c>
      <c r="C269" s="195" t="inlineStr">
        <is>
          <t>Sales</t>
        </is>
      </c>
      <c r="D269" s="195" t="inlineStr">
        <is>
          <t>Sponsored Display (same day)</t>
        </is>
      </c>
      <c r="E269" s="198" t="n">
        <v>0</v>
      </c>
      <c r="F269" s="198" t="n">
        <v>0</v>
      </c>
      <c r="BA269" s="201" t="n">
        <v>0</v>
      </c>
      <c r="BC269" s="200" t="inlineStr">
        <is>
          <t>Mar</t>
        </is>
      </c>
      <c r="BD269" s="199" t="n">
        <v>2026</v>
      </c>
      <c r="BE269" s="199" t="n">
        <v>2026</v>
      </c>
    </row>
    <row r="270" ht="15" customHeight="1" s="104">
      <c r="A270" s="194" t="n">
        <v>46112</v>
      </c>
      <c r="B270" s="195" t="inlineStr">
        <is>
          <t>Amazon CA</t>
        </is>
      </c>
      <c r="C270" s="195" t="inlineStr">
        <is>
          <t>Sales</t>
        </is>
      </c>
      <c r="D270" s="195" t="inlineStr">
        <is>
          <t>Organic</t>
        </is>
      </c>
      <c r="E270" s="196" t="n">
        <v>3805.22</v>
      </c>
      <c r="F270" s="197" t="n">
        <v>0.6930035275999999</v>
      </c>
      <c r="G270" s="196" t="n">
        <v>150</v>
      </c>
      <c r="J270" s="198" t="n">
        <v>0</v>
      </c>
      <c r="K270" s="196" t="n">
        <v>-403.15</v>
      </c>
      <c r="L270" s="196" t="n">
        <v>-403.15</v>
      </c>
      <c r="M270" s="197" t="n">
        <v>0.1536</v>
      </c>
      <c r="N270" s="197" t="n">
        <v>0.0467</v>
      </c>
      <c r="O270" s="197" t="n">
        <v>0.3333</v>
      </c>
      <c r="P270" s="197" t="n">
        <v>-0.07340000000000001</v>
      </c>
      <c r="Q270" s="197" t="n">
        <v>-0.2004</v>
      </c>
      <c r="BA270" s="199" t="n">
        <v>3655.22</v>
      </c>
      <c r="BC270" s="200" t="inlineStr">
        <is>
          <t>Mar</t>
        </is>
      </c>
      <c r="BD270" s="199" t="n">
        <v>2026</v>
      </c>
      <c r="BE270" s="199" t="n">
        <v>2026</v>
      </c>
    </row>
    <row r="271" ht="15" customHeight="1" s="104">
      <c r="A271" s="194" t="n">
        <v>46112</v>
      </c>
      <c r="B271" s="195" t="inlineStr">
        <is>
          <t>Amazon CA</t>
        </is>
      </c>
      <c r="C271" s="195" t="inlineStr">
        <is>
          <t>Sales</t>
        </is>
      </c>
      <c r="D271" s="195" t="inlineStr">
        <is>
          <t>Sponsored Products (same day)</t>
        </is>
      </c>
      <c r="E271" s="196" t="n">
        <v>1685.69</v>
      </c>
      <c r="F271" s="197" t="n">
        <v>0.3069964724</v>
      </c>
      <c r="BA271" s="199" t="n">
        <v>1685.69</v>
      </c>
      <c r="BC271" s="200" t="inlineStr">
        <is>
          <t>Mar</t>
        </is>
      </c>
      <c r="BD271" s="199" t="n">
        <v>2026</v>
      </c>
      <c r="BE271" s="199" t="n">
        <v>2026</v>
      </c>
    </row>
    <row r="272" ht="15" customHeight="1" s="104">
      <c r="A272" s="194" t="n">
        <v>46112</v>
      </c>
      <c r="B272" s="195" t="inlineStr">
        <is>
          <t>Amazon CA</t>
        </is>
      </c>
      <c r="C272" s="195" t="inlineStr">
        <is>
          <t>Sales</t>
        </is>
      </c>
      <c r="D272" s="195" t="inlineStr">
        <is>
          <t>Sponsored Display (same day)</t>
        </is>
      </c>
      <c r="E272" s="198" t="n">
        <v>0</v>
      </c>
      <c r="F272" s="198" t="n">
        <v>0</v>
      </c>
      <c r="BA272" s="201" t="n">
        <v>0</v>
      </c>
      <c r="BC272" s="200" t="inlineStr">
        <is>
          <t>Mar</t>
        </is>
      </c>
      <c r="BD272" s="199" t="n">
        <v>2026</v>
      </c>
      <c r="BE272" s="199" t="n">
        <v>2026</v>
      </c>
    </row>
    <row r="273" ht="15" customHeight="1" s="104">
      <c r="A273" s="194" t="n">
        <v>46112</v>
      </c>
      <c r="B273" s="195" t="inlineStr">
        <is>
          <t>Walmart</t>
        </is>
      </c>
      <c r="C273" s="195" t="inlineStr">
        <is>
          <t>Sales</t>
        </is>
      </c>
      <c r="D273" s="195" t="inlineStr">
        <is>
          <t>Gross sales</t>
        </is>
      </c>
      <c r="E273" s="196" t="n">
        <v>3771.86</v>
      </c>
      <c r="F273" s="196" t="n">
        <v>1.030875484</v>
      </c>
      <c r="G273" s="196" t="n">
        <v>90</v>
      </c>
      <c r="J273" s="198" t="n">
        <v>0</v>
      </c>
      <c r="K273" s="196" t="n">
        <v>1588.85</v>
      </c>
      <c r="M273" s="197" t="n">
        <v>0.2147640687</v>
      </c>
      <c r="N273" s="197" t="n">
        <v>0.03180393758</v>
      </c>
      <c r="P273" s="197" t="n">
        <v>-0.01393318739</v>
      </c>
      <c r="AQ273" s="196" t="n">
        <v>-810.0599999999999</v>
      </c>
      <c r="AR273" s="196" t="n">
        <v>-34.39</v>
      </c>
      <c r="AS273" s="196" t="n">
        <v>-264.73</v>
      </c>
      <c r="AT273" s="196" t="n">
        <v>-565.04</v>
      </c>
      <c r="AU273" s="196" t="n">
        <v>-560.48</v>
      </c>
      <c r="AV273" s="196" t="n">
        <v>-18.68</v>
      </c>
      <c r="AW273" s="196" t="n">
        <v>-49.16</v>
      </c>
      <c r="AX273" s="196" t="n">
        <v>-1407.33</v>
      </c>
      <c r="AY273" s="196" t="n">
        <v>-50.98</v>
      </c>
      <c r="AZ273" s="199" t="n">
        <v>3658.89</v>
      </c>
      <c r="BA273" s="199" t="n">
        <v>3681.86</v>
      </c>
      <c r="BC273" s="200" t="inlineStr">
        <is>
          <t>Mar</t>
        </is>
      </c>
      <c r="BD273" s="199" t="n">
        <v>2026</v>
      </c>
      <c r="BE273" s="199" t="n">
        <v>2026</v>
      </c>
    </row>
    <row r="274" ht="15" customHeight="1" s="104">
      <c r="A274" s="194" t="n">
        <v>46112</v>
      </c>
      <c r="B274" s="195" t="inlineStr">
        <is>
          <t>Walmart</t>
        </is>
      </c>
      <c r="C274" s="195" t="inlineStr">
        <is>
          <t>Sales</t>
        </is>
      </c>
      <c r="D274" s="195" t="inlineStr">
        <is>
          <t>Gross sales refund</t>
        </is>
      </c>
      <c r="E274" s="196" t="n">
        <v>-119.96</v>
      </c>
      <c r="F274" s="197" t="n">
        <v>-0.03278589955</v>
      </c>
      <c r="BA274" s="199" t="n">
        <v>-119.96</v>
      </c>
      <c r="BC274" s="200" t="inlineStr">
        <is>
          <t>Mar</t>
        </is>
      </c>
      <c r="BD274" s="199" t="n">
        <v>2026</v>
      </c>
      <c r="BE274" s="199" t="n">
        <v>2026</v>
      </c>
    </row>
    <row r="275" ht="15" customHeight="1" s="104">
      <c r="A275" s="194" t="n">
        <v>46112</v>
      </c>
      <c r="B275" s="195" t="inlineStr">
        <is>
          <t>Walmart</t>
        </is>
      </c>
      <c r="C275" s="195" t="inlineStr">
        <is>
          <t>Sales</t>
        </is>
      </c>
      <c r="D275" s="195" t="inlineStr">
        <is>
          <t>Shipping</t>
        </is>
      </c>
      <c r="E275" s="196" t="n">
        <v>6.99</v>
      </c>
      <c r="F275" s="197" t="n">
        <v>0.001910415454</v>
      </c>
      <c r="BA275" s="199" t="n">
        <v>6.99</v>
      </c>
      <c r="BC275" s="200" t="inlineStr">
        <is>
          <t>Mar</t>
        </is>
      </c>
      <c r="BD275" s="199" t="n">
        <v>2026</v>
      </c>
      <c r="BE275" s="199" t="n">
        <v>2026</v>
      </c>
    </row>
    <row r="276" ht="15" customHeight="1" s="104">
      <c r="A276" s="194" t="n">
        <v>46112</v>
      </c>
      <c r="B276" s="195" t="inlineStr">
        <is>
          <t>Walmart</t>
        </is>
      </c>
      <c r="C276" s="195" t="inlineStr">
        <is>
          <t>Sales</t>
        </is>
      </c>
      <c r="D276" s="195" t="inlineStr">
        <is>
          <t>Promotion</t>
        </is>
      </c>
      <c r="E276" s="198" t="n">
        <v>0</v>
      </c>
      <c r="F276" s="198" t="n">
        <v>0</v>
      </c>
      <c r="BA276" s="201" t="n">
        <v>0</v>
      </c>
      <c r="BC276" s="200" t="inlineStr">
        <is>
          <t>Mar</t>
        </is>
      </c>
      <c r="BD276" s="199" t="n">
        <v>2026</v>
      </c>
      <c r="BE276" s="199" t="n">
        <v>2026</v>
      </c>
    </row>
    <row r="277" ht="15" customHeight="1" s="104">
      <c r="A277" s="194" t="n">
        <v>46112</v>
      </c>
      <c r="B277" s="195" t="inlineStr">
        <is>
          <t>Shopify</t>
        </is>
      </c>
      <c r="C277" s="195" t="inlineStr">
        <is>
          <t>Sales</t>
        </is>
      </c>
      <c r="D277" s="195" t="inlineStr">
        <is>
          <t>Gross sales</t>
        </is>
      </c>
      <c r="E277" s="196" t="n">
        <v>6993.22</v>
      </c>
      <c r="F277" s="197" t="n">
        <v>0.9825263888</v>
      </c>
      <c r="G277" s="196" t="n">
        <v>178</v>
      </c>
      <c r="J277" s="196" t="n">
        <v>-46.49</v>
      </c>
      <c r="M277" s="197" t="n">
        <v>0.4287352607</v>
      </c>
      <c r="N277" s="198" t="n">
        <v>0</v>
      </c>
      <c r="AD277" s="196" t="n">
        <v>-2998.24</v>
      </c>
      <c r="AF277" s="196" t="n">
        <v>-382.59</v>
      </c>
      <c r="AG277" s="196" t="n">
        <v>-1042.362143</v>
      </c>
      <c r="AH277" s="196" t="n">
        <v>-206.07</v>
      </c>
      <c r="AI277" s="196" t="n">
        <v>-2446.23</v>
      </c>
      <c r="AJ277" s="196" t="n">
        <v>-46.49</v>
      </c>
      <c r="AK277" s="196" t="n">
        <v>7117.59</v>
      </c>
      <c r="AL277" s="196" t="n">
        <v>-4.392143</v>
      </c>
      <c r="AN277" s="198" t="n">
        <v>0</v>
      </c>
      <c r="AO277" s="197" t="n">
        <v>-0.0006170828890000001</v>
      </c>
      <c r="BA277" s="199" t="n">
        <v>6815.22</v>
      </c>
      <c r="BC277" s="200" t="inlineStr">
        <is>
          <t>Mar</t>
        </is>
      </c>
      <c r="BD277" s="199" t="n">
        <v>2026</v>
      </c>
      <c r="BE277" s="199" t="n">
        <v>2026</v>
      </c>
    </row>
    <row r="278" ht="15" customHeight="1" s="104">
      <c r="A278" s="194" t="n">
        <v>46112</v>
      </c>
      <c r="B278" s="195" t="inlineStr">
        <is>
          <t>Shopify</t>
        </is>
      </c>
      <c r="C278" s="195" t="inlineStr">
        <is>
          <t>Sales</t>
        </is>
      </c>
      <c r="D278" s="195" t="inlineStr">
        <is>
          <t>Promo</t>
        </is>
      </c>
      <c r="E278" s="196" t="n">
        <v>-186.97</v>
      </c>
      <c r="F278" s="197" t="n">
        <v>-0.02626872298</v>
      </c>
      <c r="BA278" s="199" t="n">
        <v>-186.97</v>
      </c>
      <c r="BC278" s="200" t="inlineStr">
        <is>
          <t>Mar</t>
        </is>
      </c>
      <c r="BD278" s="199" t="n">
        <v>2026</v>
      </c>
      <c r="BE278" s="199" t="n">
        <v>2026</v>
      </c>
    </row>
    <row r="279" ht="15" customHeight="1" s="104">
      <c r="A279" s="194" t="n">
        <v>46112</v>
      </c>
      <c r="B279" s="195" t="inlineStr">
        <is>
          <t>Shopify</t>
        </is>
      </c>
      <c r="C279" s="195" t="inlineStr">
        <is>
          <t>Sales</t>
        </is>
      </c>
      <c r="D279" s="195" t="inlineStr">
        <is>
          <t>Shipping</t>
        </is>
      </c>
      <c r="E279" s="196" t="n">
        <v>264.85</v>
      </c>
      <c r="F279" s="197" t="n">
        <v>0.03721062888</v>
      </c>
      <c r="BA279" s="199" t="n">
        <v>264.85</v>
      </c>
      <c r="BC279" s="200" t="inlineStr">
        <is>
          <t>Mar</t>
        </is>
      </c>
      <c r="BD279" s="199" t="n">
        <v>2026</v>
      </c>
      <c r="BE279" s="199" t="n">
        <v>2026</v>
      </c>
    </row>
    <row r="280" ht="15" customHeight="1" s="104">
      <c r="A280" s="194" t="n">
        <v>46112</v>
      </c>
      <c r="B280" s="195" t="inlineStr">
        <is>
          <t>Shopify</t>
        </is>
      </c>
      <c r="C280" s="195" t="inlineStr">
        <is>
          <t>Sales</t>
        </is>
      </c>
      <c r="D280" s="195" t="inlineStr">
        <is>
          <t>Sales tax</t>
        </is>
      </c>
      <c r="E280" s="196" t="n">
        <v>46.49</v>
      </c>
      <c r="F280" s="197" t="n">
        <v>0.006531705254</v>
      </c>
      <c r="BA280" s="199" t="n">
        <v>46.49</v>
      </c>
      <c r="BC280" s="200" t="inlineStr">
        <is>
          <t>Mar</t>
        </is>
      </c>
      <c r="BD280" s="199" t="n">
        <v>2026</v>
      </c>
      <c r="BE280" s="199" t="n">
        <v>2026</v>
      </c>
    </row>
    <row r="281" ht="15" customHeight="1" s="104">
      <c r="A281" s="194" t="n">
        <v>46112</v>
      </c>
      <c r="B281" s="195" t="inlineStr">
        <is>
          <t>Shopify</t>
        </is>
      </c>
      <c r="C281" s="195" t="inlineStr">
        <is>
          <t>Sales</t>
        </is>
      </c>
      <c r="D281" s="195" t="inlineStr">
        <is>
          <t>Refunded amount</t>
        </is>
      </c>
      <c r="E281" s="198" t="n">
        <v>0</v>
      </c>
      <c r="F281" s="198" t="n">
        <v>0</v>
      </c>
      <c r="BA281" s="201" t="n">
        <v>0</v>
      </c>
      <c r="BC281" s="200" t="inlineStr">
        <is>
          <t>Mar</t>
        </is>
      </c>
      <c r="BD281" s="199" t="n">
        <v>2026</v>
      </c>
      <c r="BE281" s="199" t="n">
        <v>2026</v>
      </c>
    </row>
    <row r="282" ht="15" customHeight="1" s="104">
      <c r="A282" s="194" t="n">
        <v>46112</v>
      </c>
      <c r="B282" s="195" t="inlineStr">
        <is>
          <t>Shopify</t>
        </is>
      </c>
      <c r="C282" s="195" t="inlineStr">
        <is>
          <t>Sales</t>
        </is>
      </c>
      <c r="D282" s="195" t="inlineStr">
        <is>
          <t>Refunded shipping</t>
        </is>
      </c>
      <c r="E282" s="198" t="n">
        <v>0</v>
      </c>
      <c r="F282" s="198" t="n">
        <v>0</v>
      </c>
      <c r="BA282" s="201" t="n">
        <v>0</v>
      </c>
      <c r="BC282" s="200" t="inlineStr">
        <is>
          <t>Mar</t>
        </is>
      </c>
      <c r="BD282" s="199" t="n">
        <v>2026</v>
      </c>
      <c r="BE282" s="199" t="n">
        <v>2026</v>
      </c>
    </row>
    <row r="283" ht="15" customHeight="1" s="104">
      <c r="A283" s="194" t="n">
        <v>46112</v>
      </c>
      <c r="B283" s="195" t="inlineStr">
        <is>
          <t>Tiktok</t>
        </is>
      </c>
      <c r="C283" s="195" t="inlineStr">
        <is>
          <t>Net Sales</t>
        </is>
      </c>
      <c r="D283" s="195" t="inlineStr">
        <is>
          <t>Gross sales</t>
        </is>
      </c>
      <c r="E283" s="196" t="n">
        <v>10212.5</v>
      </c>
      <c r="F283" s="196" t="n">
        <v>1.167387008</v>
      </c>
      <c r="G283" s="196" t="n">
        <v>267</v>
      </c>
      <c r="J283" s="198" t="n">
        <v>0</v>
      </c>
      <c r="M283" s="197" t="n">
        <v>0.1891583843</v>
      </c>
      <c r="N283" s="197" t="n">
        <v>0.08321077111</v>
      </c>
      <c r="R283" s="196" t="n">
        <v>8748.17</v>
      </c>
      <c r="S283" s="196" t="n">
        <v>-118.95</v>
      </c>
      <c r="T283" s="196" t="n">
        <v>-2231.21</v>
      </c>
      <c r="U283" s="196" t="n">
        <v>-235.4</v>
      </c>
      <c r="V283" s="196" t="n">
        <v>-189.01</v>
      </c>
      <c r="W283" s="196" t="n">
        <v>-524.9400000000001</v>
      </c>
      <c r="X283" s="196" t="n">
        <v>-429.17</v>
      </c>
      <c r="Y283" s="196" t="n">
        <v>-1.6</v>
      </c>
      <c r="Z283" s="196" t="n">
        <v>-3641.85</v>
      </c>
      <c r="AA283" s="196" t="n">
        <v>-1931.78</v>
      </c>
      <c r="AB283" s="196" t="n">
        <v>-555.74</v>
      </c>
      <c r="AC283" s="197" t="n">
        <v>-0.05441762546</v>
      </c>
      <c r="BA283" s="199" t="n">
        <v>9945.5</v>
      </c>
      <c r="BC283" s="200" t="inlineStr">
        <is>
          <t>Mar</t>
        </is>
      </c>
      <c r="BD283" s="199" t="n">
        <v>2026</v>
      </c>
      <c r="BE283" s="199" t="n">
        <v>2026</v>
      </c>
    </row>
    <row r="284" ht="15" customHeight="1" s="104">
      <c r="A284" s="194" t="n">
        <v>46112</v>
      </c>
      <c r="B284" s="195" t="inlineStr">
        <is>
          <t>Tiktok</t>
        </is>
      </c>
      <c r="C284" s="195" t="inlineStr">
        <is>
          <t>Net Sales</t>
        </is>
      </c>
      <c r="D284" s="195" t="inlineStr">
        <is>
          <t>Gross sales refund</t>
        </is>
      </c>
      <c r="E284" s="196" t="n">
        <v>-849.79</v>
      </c>
      <c r="F284" s="197" t="n">
        <v>-0.09713917311</v>
      </c>
      <c r="BA284" s="199" t="n">
        <v>-849.79</v>
      </c>
      <c r="BC284" s="200" t="inlineStr">
        <is>
          <t>Mar</t>
        </is>
      </c>
      <c r="BD284" s="199" t="n">
        <v>2026</v>
      </c>
      <c r="BE284" s="199" t="n">
        <v>2026</v>
      </c>
    </row>
    <row r="285" ht="15" customHeight="1" s="104">
      <c r="A285" s="194" t="n">
        <v>46112</v>
      </c>
      <c r="B285" s="195" t="inlineStr">
        <is>
          <t>Tiktok</t>
        </is>
      </c>
      <c r="C285" s="195" t="inlineStr">
        <is>
          <t>Net Sales</t>
        </is>
      </c>
      <c r="D285" s="195" t="inlineStr">
        <is>
          <t>Seller discount</t>
        </is>
      </c>
      <c r="E285" s="196" t="n">
        <v>-673.17</v>
      </c>
      <c r="F285" s="197" t="n">
        <v>-0.07694980779</v>
      </c>
      <c r="BA285" s="199" t="n">
        <v>-673.17</v>
      </c>
      <c r="BC285" s="200" t="inlineStr">
        <is>
          <t>Mar</t>
        </is>
      </c>
      <c r="BD285" s="199" t="n">
        <v>2026</v>
      </c>
      <c r="BE285" s="199" t="n">
        <v>2026</v>
      </c>
    </row>
    <row r="286" ht="15" customHeight="1" s="104">
      <c r="A286" s="194" t="n">
        <v>46112</v>
      </c>
      <c r="B286" s="195" t="inlineStr">
        <is>
          <t>Tiktok</t>
        </is>
      </c>
      <c r="C286" s="195" t="inlineStr">
        <is>
          <t>Net Sales</t>
        </is>
      </c>
      <c r="D286" s="195" t="inlineStr">
        <is>
          <t>Seller discount refund</t>
        </is>
      </c>
      <c r="E286" s="196" t="n">
        <v>58.63</v>
      </c>
      <c r="F286" s="197" t="n">
        <v>0.006701973098</v>
      </c>
      <c r="BA286" s="199" t="n">
        <v>58.63</v>
      </c>
      <c r="BC286" s="200" t="inlineStr">
        <is>
          <t>Mar</t>
        </is>
      </c>
      <c r="BD286" s="199" t="n">
        <v>2026</v>
      </c>
      <c r="BE286" s="199" t="n">
        <v>2026</v>
      </c>
    </row>
    <row r="287" ht="15" customHeight="1" s="104">
      <c r="BA287" s="201" t="n">
        <v>0</v>
      </c>
    </row>
    <row r="288" ht="15" customHeight="1" s="104">
      <c r="BA288" s="201" t="n">
        <v>0</v>
      </c>
    </row>
    <row r="289" ht="15" customHeight="1" s="104">
      <c r="BA289" s="201" t="n">
        <v>0</v>
      </c>
    </row>
    <row r="290" ht="15" customHeight="1" s="104">
      <c r="BA290" s="201" t="n">
        <v>0</v>
      </c>
    </row>
    <row r="291" ht="15" customHeight="1" s="104">
      <c r="BA291" s="201" t="n">
        <v>0</v>
      </c>
    </row>
    <row r="292" ht="15" customHeight="1" s="104">
      <c r="BA292" s="201" t="n">
        <v>0</v>
      </c>
    </row>
    <row r="293" ht="15" customHeight="1" s="104">
      <c r="BA293" s="201" t="n">
        <v>0</v>
      </c>
    </row>
    <row r="294" ht="15" customHeight="1" s="104">
      <c r="BA294" s="201" t="n">
        <v>0</v>
      </c>
    </row>
    <row r="295" ht="15" customHeight="1" s="104">
      <c r="BA295" s="201" t="n">
        <v>0</v>
      </c>
    </row>
    <row r="296" ht="15" customHeight="1" s="104">
      <c r="BA296" s="201" t="n">
        <v>0</v>
      </c>
    </row>
    <row r="297" ht="15" customHeight="1" s="104">
      <c r="BA297" s="201" t="n">
        <v>0</v>
      </c>
    </row>
    <row r="298" ht="15" customHeight="1" s="104">
      <c r="BA298" s="201" t="n">
        <v>0</v>
      </c>
    </row>
    <row r="299" ht="15" customHeight="1" s="104">
      <c r="BA299" s="201" t="n">
        <v>0</v>
      </c>
    </row>
    <row r="300" ht="15" customHeight="1" s="104">
      <c r="BA300" s="201" t="n">
        <v>0</v>
      </c>
    </row>
    <row r="301" ht="15" customHeight="1" s="104">
      <c r="BA301" s="201" t="n">
        <v>0</v>
      </c>
    </row>
    <row r="302" ht="15" customHeight="1" s="104">
      <c r="BA302" s="201" t="n">
        <v>0</v>
      </c>
    </row>
    <row r="303" ht="15" customHeight="1" s="104">
      <c r="BA303" s="201" t="n">
        <v>0</v>
      </c>
    </row>
    <row r="304" ht="15" customHeight="1" s="104">
      <c r="BA304" s="201" t="n">
        <v>0</v>
      </c>
    </row>
    <row r="305" ht="15" customHeight="1" s="104">
      <c r="BA305" s="201" t="n">
        <v>0</v>
      </c>
    </row>
    <row r="306" ht="15" customHeight="1" s="104">
      <c r="BA306" s="201" t="n">
        <v>0</v>
      </c>
    </row>
    <row r="307" ht="15" customHeight="1" s="104">
      <c r="BA307" s="201" t="n">
        <v>0</v>
      </c>
    </row>
    <row r="308" ht="15" customHeight="1" s="104">
      <c r="BA308" s="201" t="n">
        <v>0</v>
      </c>
    </row>
    <row r="309" ht="15" customHeight="1" s="104">
      <c r="BA309" s="201" t="n">
        <v>0</v>
      </c>
    </row>
    <row r="310" ht="15" customHeight="1" s="104">
      <c r="BA310" s="201" t="n">
        <v>0</v>
      </c>
    </row>
    <row r="311" ht="15" customHeight="1" s="104">
      <c r="BA311" s="201" t="n">
        <v>0</v>
      </c>
    </row>
    <row r="312" ht="15" customHeight="1" s="104">
      <c r="BA312" s="201" t="n">
        <v>0</v>
      </c>
    </row>
    <row r="313" ht="15" customHeight="1" s="104">
      <c r="BA313" s="201" t="n">
        <v>0</v>
      </c>
    </row>
    <row r="314" ht="15" customHeight="1" s="104">
      <c r="BA314" s="201" t="n">
        <v>0</v>
      </c>
    </row>
    <row r="315" ht="15" customHeight="1" s="104">
      <c r="BA315" s="201" t="n">
        <v>0</v>
      </c>
    </row>
    <row r="316" ht="15" customHeight="1" s="104">
      <c r="BA316" s="201" t="n">
        <v>0</v>
      </c>
    </row>
    <row r="317" ht="15" customHeight="1" s="104">
      <c r="BA317" s="201" t="n">
        <v>0</v>
      </c>
    </row>
    <row r="318" ht="15" customHeight="1" s="104">
      <c r="BA318" s="201" t="n">
        <v>0</v>
      </c>
    </row>
    <row r="319" ht="15" customHeight="1" s="104">
      <c r="BA319" s="201" t="n">
        <v>0</v>
      </c>
    </row>
    <row r="320" ht="15" customHeight="1" s="104">
      <c r="BA320" s="201" t="n">
        <v>0</v>
      </c>
    </row>
    <row r="321" ht="15" customHeight="1" s="104">
      <c r="BA321" s="201" t="n">
        <v>0</v>
      </c>
    </row>
    <row r="322" ht="15" customHeight="1" s="104">
      <c r="BA322" s="201" t="n">
        <v>0</v>
      </c>
    </row>
    <row r="323" ht="15" customHeight="1" s="104">
      <c r="BA323" s="201" t="n">
        <v>0</v>
      </c>
    </row>
    <row r="324" ht="15" customHeight="1" s="104">
      <c r="BA324" s="201" t="n">
        <v>0</v>
      </c>
    </row>
    <row r="325" ht="15" customHeight="1" s="104">
      <c r="BA325" s="201" t="n">
        <v>0</v>
      </c>
    </row>
    <row r="326" ht="15" customHeight="1" s="104">
      <c r="BA326" s="201" t="n">
        <v>0</v>
      </c>
    </row>
    <row r="327" ht="15" customHeight="1" s="104">
      <c r="BA327" s="201" t="n">
        <v>0</v>
      </c>
    </row>
    <row r="328" ht="15" customHeight="1" s="104">
      <c r="BA328" s="201" t="n">
        <v>0</v>
      </c>
    </row>
    <row r="329" ht="15" customHeight="1" s="104">
      <c r="BA329" s="201" t="n">
        <v>0</v>
      </c>
    </row>
    <row r="330" ht="15" customHeight="1" s="104">
      <c r="BA330" s="201" t="n">
        <v>0</v>
      </c>
    </row>
    <row r="331" ht="15" customHeight="1" s="104">
      <c r="BA331" s="201" t="n">
        <v>0</v>
      </c>
    </row>
    <row r="332" ht="15" customHeight="1" s="104">
      <c r="BA332" s="201" t="n">
        <v>0</v>
      </c>
    </row>
    <row r="333" ht="15" customHeight="1" s="104">
      <c r="BA333" s="201" t="n">
        <v>0</v>
      </c>
    </row>
    <row r="334" ht="15" customHeight="1" s="104">
      <c r="BA334" s="201" t="n">
        <v>0</v>
      </c>
    </row>
    <row r="335" ht="15" customHeight="1" s="104">
      <c r="BA335" s="201" t="n">
        <v>0</v>
      </c>
    </row>
    <row r="336" ht="15" customHeight="1" s="104">
      <c r="BA336" s="201" t="n">
        <v>0</v>
      </c>
    </row>
    <row r="337" ht="15" customHeight="1" s="104">
      <c r="BA337" s="201" t="n">
        <v>0</v>
      </c>
    </row>
    <row r="338" ht="15" customHeight="1" s="104">
      <c r="BA338" s="201" t="n">
        <v>0</v>
      </c>
    </row>
    <row r="339" ht="15" customHeight="1" s="104">
      <c r="BA339" s="201" t="n">
        <v>0</v>
      </c>
    </row>
    <row r="340" ht="15" customHeight="1" s="104">
      <c r="BA340" s="201" t="n">
        <v>0</v>
      </c>
    </row>
    <row r="341" ht="15" customHeight="1" s="104">
      <c r="BA341" s="201" t="n">
        <v>0</v>
      </c>
    </row>
    <row r="342" ht="15" customHeight="1" s="104">
      <c r="BA342" s="201" t="n">
        <v>0</v>
      </c>
    </row>
    <row r="343" ht="15" customHeight="1" s="104">
      <c r="BA343" s="201" t="n">
        <v>0</v>
      </c>
    </row>
    <row r="344" ht="15" customHeight="1" s="104">
      <c r="BA344" s="201" t="n">
        <v>0</v>
      </c>
    </row>
    <row r="345" ht="15" customHeight="1" s="104">
      <c r="BA345" s="201" t="n">
        <v>0</v>
      </c>
    </row>
    <row r="346" ht="15" customHeight="1" s="104">
      <c r="BA346" s="201" t="n">
        <v>0</v>
      </c>
    </row>
    <row r="347" ht="15" customHeight="1" s="104">
      <c r="BA347" s="201" t="n">
        <v>0</v>
      </c>
    </row>
    <row r="348" ht="15" customHeight="1" s="104">
      <c r="BA348" s="201" t="n">
        <v>0</v>
      </c>
    </row>
    <row r="349" ht="15" customHeight="1" s="104">
      <c r="BA349" s="201" t="n">
        <v>0</v>
      </c>
    </row>
    <row r="350" ht="15" customHeight="1" s="104">
      <c r="BA350" s="201" t="n">
        <v>0</v>
      </c>
    </row>
    <row r="351" ht="15" customHeight="1" s="104">
      <c r="BA351" s="201" t="n">
        <v>0</v>
      </c>
    </row>
    <row r="352" ht="15" customHeight="1" s="104">
      <c r="BA352" s="201" t="n">
        <v>0</v>
      </c>
    </row>
    <row r="353" ht="15" customHeight="1" s="104">
      <c r="BA353" s="201" t="n">
        <v>0</v>
      </c>
    </row>
    <row r="354" ht="15" customHeight="1" s="104">
      <c r="BA354" s="201" t="n">
        <v>0</v>
      </c>
    </row>
    <row r="355" ht="15" customHeight="1" s="104">
      <c r="BA355" s="201" t="n">
        <v>0</v>
      </c>
    </row>
    <row r="356" ht="15" customHeight="1" s="104">
      <c r="BA356" s="201" t="n">
        <v>0</v>
      </c>
    </row>
    <row r="357" ht="15" customHeight="1" s="104">
      <c r="BA357" s="201" t="n">
        <v>0</v>
      </c>
    </row>
    <row r="358" ht="15" customHeight="1" s="104">
      <c r="BA358" s="201" t="n">
        <v>0</v>
      </c>
    </row>
    <row r="359" ht="15" customHeight="1" s="104">
      <c r="BA359" s="201" t="n">
        <v>0</v>
      </c>
    </row>
    <row r="360" ht="15" customHeight="1" s="104">
      <c r="BA360" s="201" t="n">
        <v>0</v>
      </c>
    </row>
    <row r="361" ht="15" customHeight="1" s="104">
      <c r="BA361" s="201" t="n">
        <v>0</v>
      </c>
    </row>
    <row r="362" ht="15" customHeight="1" s="104">
      <c r="BA362" s="201" t="n">
        <v>0</v>
      </c>
    </row>
    <row r="363" ht="15" customHeight="1" s="104">
      <c r="BA363" s="201" t="n">
        <v>0</v>
      </c>
    </row>
    <row r="364" ht="15" customHeight="1" s="104">
      <c r="BA364" s="201" t="n">
        <v>0</v>
      </c>
    </row>
    <row r="365" ht="15" customHeight="1" s="104">
      <c r="BA365" s="201" t="n">
        <v>0</v>
      </c>
    </row>
    <row r="366" ht="15" customHeight="1" s="104">
      <c r="BA366" s="201" t="n">
        <v>0</v>
      </c>
    </row>
    <row r="367" ht="15" customHeight="1" s="104">
      <c r="BA367" s="201" t="n">
        <v>0</v>
      </c>
    </row>
    <row r="368" ht="15" customHeight="1" s="104">
      <c r="BA368" s="201" t="n">
        <v>0</v>
      </c>
    </row>
    <row r="369" ht="15" customHeight="1" s="104">
      <c r="BA369" s="201" t="n">
        <v>0</v>
      </c>
    </row>
    <row r="370" ht="15" customHeight="1" s="104">
      <c r="BA370" s="201" t="n">
        <v>0</v>
      </c>
    </row>
    <row r="371" ht="15" customHeight="1" s="104">
      <c r="BA371" s="201" t="n">
        <v>0</v>
      </c>
    </row>
    <row r="372" ht="15" customHeight="1" s="104">
      <c r="BA372" s="201" t="n">
        <v>0</v>
      </c>
    </row>
    <row r="373" ht="15" customHeight="1" s="104">
      <c r="BA373" s="201" t="n">
        <v>0</v>
      </c>
    </row>
    <row r="374" ht="15" customHeight="1" s="104">
      <c r="BA374" s="201" t="n">
        <v>0</v>
      </c>
    </row>
    <row r="375" ht="15" customHeight="1" s="104">
      <c r="BA375" s="201" t="n">
        <v>0</v>
      </c>
    </row>
    <row r="376" ht="15" customHeight="1" s="104">
      <c r="BA376" s="201" t="n">
        <v>0</v>
      </c>
    </row>
    <row r="377" ht="15" customHeight="1" s="104">
      <c r="BA377" s="201" t="n">
        <v>0</v>
      </c>
    </row>
    <row r="378" ht="15" customHeight="1" s="104">
      <c r="BA378" s="201" t="n">
        <v>0</v>
      </c>
    </row>
    <row r="379" ht="15" customHeight="1" s="104">
      <c r="BA379" s="201" t="n">
        <v>0</v>
      </c>
    </row>
    <row r="380" ht="15" customHeight="1" s="104">
      <c r="BA380" s="201" t="n">
        <v>0</v>
      </c>
    </row>
    <row r="381" ht="15" customHeight="1" s="104">
      <c r="BA381" s="201" t="n">
        <v>0</v>
      </c>
    </row>
    <row r="382" ht="15" customHeight="1" s="104">
      <c r="BA382" s="201" t="n">
        <v>0</v>
      </c>
    </row>
    <row r="383" ht="15" customHeight="1" s="104">
      <c r="BA383" s="201" t="n">
        <v>0</v>
      </c>
    </row>
    <row r="384" ht="15" customHeight="1" s="104">
      <c r="BA384" s="201" t="n">
        <v>0</v>
      </c>
    </row>
    <row r="385" ht="15" customHeight="1" s="104">
      <c r="BA385" s="201" t="n">
        <v>0</v>
      </c>
    </row>
    <row r="386" ht="15" customHeight="1" s="104">
      <c r="BA386" s="201" t="n">
        <v>0</v>
      </c>
    </row>
    <row r="387" ht="15" customHeight="1" s="104">
      <c r="BA387" s="201" t="n">
        <v>0</v>
      </c>
    </row>
    <row r="388" ht="15" customHeight="1" s="104">
      <c r="BA388" s="201" t="n">
        <v>0</v>
      </c>
    </row>
    <row r="389" ht="15" customHeight="1" s="104">
      <c r="BA389" s="201" t="n">
        <v>0</v>
      </c>
    </row>
    <row r="390" ht="15" customHeight="1" s="104">
      <c r="BA390" s="201" t="n">
        <v>0</v>
      </c>
    </row>
    <row r="391" ht="15" customHeight="1" s="104">
      <c r="BA391" s="201" t="n">
        <v>0</v>
      </c>
    </row>
    <row r="392" ht="15" customHeight="1" s="104">
      <c r="BA392" s="201" t="n">
        <v>0</v>
      </c>
    </row>
    <row r="393" ht="15" customHeight="1" s="104">
      <c r="BA393" s="201" t="n">
        <v>0</v>
      </c>
    </row>
    <row r="394" ht="15" customHeight="1" s="104">
      <c r="BA394" s="201" t="n">
        <v>0</v>
      </c>
    </row>
    <row r="395" ht="15" customHeight="1" s="104">
      <c r="BA395" s="201" t="n">
        <v>0</v>
      </c>
    </row>
    <row r="396" ht="15" customHeight="1" s="104">
      <c r="BA396" s="201" t="n">
        <v>0</v>
      </c>
    </row>
    <row r="397" ht="15" customHeight="1" s="104">
      <c r="BA397" s="201" t="n">
        <v>0</v>
      </c>
    </row>
    <row r="398" ht="15" customHeight="1" s="104">
      <c r="BA398" s="201" t="n">
        <v>0</v>
      </c>
    </row>
    <row r="399" ht="15" customHeight="1" s="104">
      <c r="BA399" s="201" t="n">
        <v>0</v>
      </c>
    </row>
    <row r="400" ht="15" customHeight="1" s="104">
      <c r="BA400" s="201" t="n">
        <v>0</v>
      </c>
    </row>
    <row r="401" ht="15" customHeight="1" s="104">
      <c r="BA401" s="201" t="n">
        <v>0</v>
      </c>
    </row>
    <row r="402" ht="15" customHeight="1" s="104">
      <c r="BA402" s="201" t="n">
        <v>0</v>
      </c>
    </row>
    <row r="403" ht="15" customHeight="1" s="104">
      <c r="BA403" s="201" t="n">
        <v>0</v>
      </c>
    </row>
    <row r="404" ht="15" customHeight="1" s="104">
      <c r="BA404" s="201" t="n">
        <v>0</v>
      </c>
    </row>
    <row r="405" ht="15" customHeight="1" s="104">
      <c r="BA405" s="201" t="n">
        <v>0</v>
      </c>
    </row>
    <row r="406" ht="15" customHeight="1" s="104">
      <c r="BA406" s="201" t="n">
        <v>0</v>
      </c>
    </row>
    <row r="407" ht="15" customHeight="1" s="104">
      <c r="BA407" s="201" t="n">
        <v>0</v>
      </c>
    </row>
    <row r="408" ht="15" customHeight="1" s="104">
      <c r="BA408" s="201" t="n">
        <v>0</v>
      </c>
    </row>
    <row r="409" ht="15" customHeight="1" s="104">
      <c r="BA409" s="201" t="n">
        <v>0</v>
      </c>
    </row>
    <row r="410" ht="15" customHeight="1" s="104">
      <c r="BA410" s="201" t="n">
        <v>0</v>
      </c>
    </row>
    <row r="411" ht="15" customHeight="1" s="104">
      <c r="BA411" s="201" t="n">
        <v>0</v>
      </c>
    </row>
    <row r="412" ht="15" customHeight="1" s="104">
      <c r="BA412" s="201" t="n">
        <v>0</v>
      </c>
    </row>
    <row r="413" ht="15" customHeight="1" s="104">
      <c r="BA413" s="201" t="n">
        <v>0</v>
      </c>
    </row>
    <row r="414" ht="15" customHeight="1" s="104">
      <c r="BA414" s="201" t="n">
        <v>0</v>
      </c>
    </row>
    <row r="415" ht="15" customHeight="1" s="104">
      <c r="BA415" s="201" t="n">
        <v>0</v>
      </c>
    </row>
    <row r="416" ht="15" customHeight="1" s="104">
      <c r="BA416" s="201" t="n">
        <v>0</v>
      </c>
    </row>
    <row r="417" ht="15" customHeight="1" s="104">
      <c r="BA417" s="201" t="n">
        <v>0</v>
      </c>
    </row>
    <row r="418" ht="15" customHeight="1" s="104">
      <c r="BA418" s="201" t="n">
        <v>0</v>
      </c>
    </row>
    <row r="419" ht="15" customHeight="1" s="104">
      <c r="BA419" s="201" t="n">
        <v>0</v>
      </c>
    </row>
    <row r="420" ht="15" customHeight="1" s="104">
      <c r="BA420" s="201" t="n">
        <v>0</v>
      </c>
    </row>
    <row r="421" ht="15" customHeight="1" s="104">
      <c r="BA421" s="201" t="n">
        <v>0</v>
      </c>
    </row>
    <row r="422" ht="15" customHeight="1" s="104">
      <c r="BA422" s="201" t="n">
        <v>0</v>
      </c>
    </row>
    <row r="423" ht="15" customHeight="1" s="104">
      <c r="BA423" s="201" t="n">
        <v>0</v>
      </c>
    </row>
    <row r="424" ht="15" customHeight="1" s="104">
      <c r="BA424" s="201" t="n">
        <v>0</v>
      </c>
    </row>
    <row r="425" ht="15" customHeight="1" s="104">
      <c r="BA425" s="201" t="n">
        <v>0</v>
      </c>
    </row>
    <row r="426" ht="15" customHeight="1" s="104">
      <c r="BA426" s="201" t="n">
        <v>0</v>
      </c>
    </row>
    <row r="427" ht="15" customHeight="1" s="104">
      <c r="BA427" s="201" t="n">
        <v>0</v>
      </c>
    </row>
    <row r="428" ht="15" customHeight="1" s="104">
      <c r="BA428" s="201" t="n">
        <v>0</v>
      </c>
    </row>
    <row r="429" ht="15" customHeight="1" s="104">
      <c r="BA429" s="201" t="n">
        <v>0</v>
      </c>
    </row>
    <row r="430" ht="15" customHeight="1" s="104">
      <c r="BA430" s="201" t="n">
        <v>0</v>
      </c>
    </row>
    <row r="431" ht="15" customHeight="1" s="104">
      <c r="BA431" s="201" t="n">
        <v>0</v>
      </c>
    </row>
    <row r="432" ht="15" customHeight="1" s="104">
      <c r="BA432" s="201" t="n">
        <v>0</v>
      </c>
    </row>
    <row r="433" ht="15" customHeight="1" s="104">
      <c r="BA433" s="201" t="n">
        <v>0</v>
      </c>
    </row>
    <row r="434" ht="15" customHeight="1" s="104">
      <c r="BA434" s="201" t="n">
        <v>0</v>
      </c>
    </row>
    <row r="435" ht="15" customHeight="1" s="104">
      <c r="BA435" s="201" t="n">
        <v>0</v>
      </c>
    </row>
    <row r="436" ht="15" customHeight="1" s="104">
      <c r="BA436" s="201" t="n">
        <v>0</v>
      </c>
    </row>
    <row r="437" ht="15" customHeight="1" s="104">
      <c r="BA437" s="201" t="n">
        <v>0</v>
      </c>
    </row>
    <row r="438" ht="15" customHeight="1" s="104">
      <c r="BA438" s="201" t="n">
        <v>0</v>
      </c>
    </row>
    <row r="439" ht="15" customHeight="1" s="104">
      <c r="BA439" s="201" t="n">
        <v>0</v>
      </c>
    </row>
    <row r="440" ht="15" customHeight="1" s="104">
      <c r="BA440" s="201" t="n">
        <v>0</v>
      </c>
    </row>
    <row r="441" ht="15" customHeight="1" s="104">
      <c r="BA441" s="201" t="n">
        <v>0</v>
      </c>
    </row>
    <row r="442" ht="15" customHeight="1" s="104">
      <c r="BA442" s="201" t="n">
        <v>0</v>
      </c>
    </row>
    <row r="443" ht="15" customHeight="1" s="104">
      <c r="BA443" s="201" t="n">
        <v>0</v>
      </c>
    </row>
    <row r="444" ht="15" customHeight="1" s="104">
      <c r="BA444" s="201" t="n">
        <v>0</v>
      </c>
    </row>
    <row r="445" ht="15" customHeight="1" s="104">
      <c r="BA445" s="201" t="n">
        <v>0</v>
      </c>
    </row>
    <row r="446" ht="15" customHeight="1" s="104">
      <c r="BA446" s="201" t="n">
        <v>0</v>
      </c>
    </row>
    <row r="447" ht="15" customHeight="1" s="104">
      <c r="BA447" s="201" t="n">
        <v>0</v>
      </c>
    </row>
    <row r="448" ht="15" customHeight="1" s="104">
      <c r="BA448" s="201" t="n">
        <v>0</v>
      </c>
    </row>
    <row r="449" ht="15" customHeight="1" s="104">
      <c r="BA449" s="201" t="n">
        <v>0</v>
      </c>
    </row>
    <row r="450" ht="15" customHeight="1" s="104">
      <c r="BA450" s="201" t="n">
        <v>0</v>
      </c>
    </row>
    <row r="451" ht="15" customHeight="1" s="104">
      <c r="BA451" s="201" t="n">
        <v>0</v>
      </c>
    </row>
    <row r="452" ht="15" customHeight="1" s="104">
      <c r="BA452" s="201" t="n">
        <v>0</v>
      </c>
    </row>
    <row r="453" ht="15" customHeight="1" s="104">
      <c r="BA453" s="201" t="n">
        <v>0</v>
      </c>
    </row>
    <row r="454" ht="15" customHeight="1" s="104">
      <c r="BA454" s="201" t="n">
        <v>0</v>
      </c>
    </row>
    <row r="455" ht="15" customHeight="1" s="104">
      <c r="BA455" s="201" t="n">
        <v>0</v>
      </c>
    </row>
    <row r="456" ht="15" customHeight="1" s="104">
      <c r="BA456" s="201" t="n">
        <v>0</v>
      </c>
    </row>
    <row r="457" ht="15" customHeight="1" s="104">
      <c r="BA457" s="201" t="n">
        <v>0</v>
      </c>
    </row>
    <row r="458" ht="15" customHeight="1" s="104">
      <c r="BA458" s="201" t="n">
        <v>0</v>
      </c>
    </row>
    <row r="459" ht="15" customHeight="1" s="104">
      <c r="BA459" s="201" t="n">
        <v>0</v>
      </c>
    </row>
    <row r="460" ht="15" customHeight="1" s="104">
      <c r="BA460" s="201" t="n">
        <v>0</v>
      </c>
    </row>
    <row r="461" ht="15" customHeight="1" s="104">
      <c r="BA461" s="201" t="n">
        <v>0</v>
      </c>
    </row>
    <row r="462" ht="15" customHeight="1" s="104">
      <c r="BA462" s="201" t="n">
        <v>0</v>
      </c>
    </row>
    <row r="463" ht="15" customHeight="1" s="104">
      <c r="BA463" s="201" t="n">
        <v>0</v>
      </c>
    </row>
    <row r="464" ht="15" customHeight="1" s="104">
      <c r="BA464" s="201" t="n">
        <v>0</v>
      </c>
    </row>
    <row r="465" ht="15" customHeight="1" s="104">
      <c r="BA465" s="201" t="n">
        <v>0</v>
      </c>
    </row>
    <row r="466" ht="15" customHeight="1" s="104">
      <c r="BA466" s="201" t="n">
        <v>0</v>
      </c>
    </row>
    <row r="467" ht="15" customHeight="1" s="104">
      <c r="BA467" s="201" t="n">
        <v>0</v>
      </c>
    </row>
    <row r="468" ht="15" customHeight="1" s="104">
      <c r="BA468" s="201" t="n">
        <v>0</v>
      </c>
    </row>
    <row r="469" ht="15" customHeight="1" s="104">
      <c r="BA469" s="201" t="n">
        <v>0</v>
      </c>
    </row>
    <row r="470" ht="15" customHeight="1" s="104">
      <c r="BA470" s="201" t="n">
        <v>0</v>
      </c>
    </row>
    <row r="471" ht="15" customHeight="1" s="104">
      <c r="BA471" s="201" t="n">
        <v>0</v>
      </c>
    </row>
    <row r="472" ht="15" customHeight="1" s="104">
      <c r="BA472" s="201" t="n">
        <v>0</v>
      </c>
    </row>
    <row r="473" ht="15" customHeight="1" s="104">
      <c r="BA473" s="201" t="n">
        <v>0</v>
      </c>
    </row>
    <row r="474" ht="15" customHeight="1" s="104">
      <c r="BA474" s="201" t="n">
        <v>0</v>
      </c>
    </row>
    <row r="475" ht="15" customHeight="1" s="104">
      <c r="BA475" s="201" t="n">
        <v>0</v>
      </c>
    </row>
    <row r="476" ht="15" customHeight="1" s="104">
      <c r="BA476" s="201" t="n">
        <v>0</v>
      </c>
    </row>
    <row r="477" ht="15" customHeight="1" s="104">
      <c r="BA477" s="201" t="n">
        <v>0</v>
      </c>
    </row>
    <row r="478" ht="15" customHeight="1" s="104">
      <c r="BA478" s="201" t="n">
        <v>0</v>
      </c>
    </row>
    <row r="479" ht="15" customHeight="1" s="104">
      <c r="BA479" s="201" t="n">
        <v>0</v>
      </c>
    </row>
    <row r="480" ht="15" customHeight="1" s="104">
      <c r="BA480" s="201" t="n">
        <v>0</v>
      </c>
    </row>
    <row r="481" ht="15" customHeight="1" s="104">
      <c r="BA481" s="201" t="n">
        <v>0</v>
      </c>
    </row>
    <row r="482" ht="15" customHeight="1" s="104">
      <c r="BA482" s="201" t="n">
        <v>0</v>
      </c>
    </row>
    <row r="483" ht="15" customHeight="1" s="104">
      <c r="BA483" s="201" t="n">
        <v>0</v>
      </c>
    </row>
    <row r="484" ht="15" customHeight="1" s="104">
      <c r="BA484" s="201" t="n">
        <v>0</v>
      </c>
    </row>
    <row r="485" ht="15" customHeight="1" s="104">
      <c r="BA485" s="201" t="n">
        <v>0</v>
      </c>
    </row>
    <row r="486" ht="15" customHeight="1" s="104">
      <c r="BA486" s="201" t="n">
        <v>0</v>
      </c>
    </row>
    <row r="487" ht="15" customHeight="1" s="104">
      <c r="BA487" s="201" t="n">
        <v>0</v>
      </c>
    </row>
    <row r="488" ht="15" customHeight="1" s="104">
      <c r="BA488" s="201" t="n">
        <v>0</v>
      </c>
    </row>
    <row r="489" ht="15" customHeight="1" s="104">
      <c r="BA489" s="201" t="n">
        <v>0</v>
      </c>
    </row>
    <row r="490" ht="15" customHeight="1" s="104">
      <c r="BA490" s="201" t="n">
        <v>0</v>
      </c>
    </row>
    <row r="491" ht="15" customHeight="1" s="104">
      <c r="BA491" s="201" t="n">
        <v>0</v>
      </c>
    </row>
    <row r="492" ht="15" customHeight="1" s="104">
      <c r="BA492" s="201" t="n">
        <v>0</v>
      </c>
    </row>
    <row r="493" ht="15" customHeight="1" s="104">
      <c r="BA493" s="201" t="n">
        <v>0</v>
      </c>
    </row>
    <row r="494" ht="15" customHeight="1" s="104">
      <c r="BA494" s="201" t="n">
        <v>0</v>
      </c>
    </row>
    <row r="495" ht="15" customHeight="1" s="104">
      <c r="BA495" s="201" t="n">
        <v>0</v>
      </c>
    </row>
    <row r="496" ht="15" customHeight="1" s="104">
      <c r="BA496" s="201" t="n">
        <v>0</v>
      </c>
    </row>
    <row r="497" ht="15" customHeight="1" s="104">
      <c r="BA497" s="201" t="n">
        <v>0</v>
      </c>
    </row>
    <row r="498" ht="15" customHeight="1" s="104">
      <c r="BA498" s="201" t="n">
        <v>0</v>
      </c>
    </row>
    <row r="499" ht="15" customHeight="1" s="104">
      <c r="BA499" s="201" t="n">
        <v>0</v>
      </c>
    </row>
    <row r="500" ht="15" customHeight="1" s="104">
      <c r="BA500" s="201" t="n">
        <v>0</v>
      </c>
    </row>
    <row r="501" ht="15" customHeight="1" s="104">
      <c r="BA501" s="201" t="n">
        <v>0</v>
      </c>
    </row>
    <row r="502" ht="15" customHeight="1" s="104">
      <c r="BA502" s="201" t="n">
        <v>0</v>
      </c>
    </row>
    <row r="503" ht="15" customHeight="1" s="104">
      <c r="BA503" s="201" t="n">
        <v>0</v>
      </c>
    </row>
    <row r="504" ht="15" customHeight="1" s="104">
      <c r="BA504" s="201" t="n">
        <v>0</v>
      </c>
    </row>
    <row r="505" ht="15" customHeight="1" s="104">
      <c r="BA505" s="201" t="n">
        <v>0</v>
      </c>
    </row>
    <row r="506" ht="15" customHeight="1" s="104">
      <c r="BA506" s="201" t="n">
        <v>0</v>
      </c>
    </row>
    <row r="507" ht="15" customHeight="1" s="104">
      <c r="BA507" s="201" t="n">
        <v>0</v>
      </c>
    </row>
    <row r="508" ht="15" customHeight="1" s="104">
      <c r="BA508" s="201" t="n">
        <v>0</v>
      </c>
    </row>
    <row r="509" ht="15" customHeight="1" s="104">
      <c r="BA509" s="201" t="n">
        <v>0</v>
      </c>
    </row>
    <row r="510" ht="15" customHeight="1" s="104">
      <c r="BA510" s="201" t="n">
        <v>0</v>
      </c>
    </row>
    <row r="511" ht="15" customHeight="1" s="104">
      <c r="BA511" s="201" t="n">
        <v>0</v>
      </c>
    </row>
    <row r="512" ht="15" customHeight="1" s="104">
      <c r="BA512" s="201" t="n">
        <v>0</v>
      </c>
    </row>
    <row r="513" ht="15" customHeight="1" s="104">
      <c r="BA513" s="201" t="n">
        <v>0</v>
      </c>
    </row>
    <row r="514" ht="15" customHeight="1" s="104">
      <c r="BA514" s="201" t="n">
        <v>0</v>
      </c>
    </row>
    <row r="515" ht="15" customHeight="1" s="104">
      <c r="BA515" s="201" t="n">
        <v>0</v>
      </c>
    </row>
    <row r="516" ht="15" customHeight="1" s="104">
      <c r="BA516" s="201" t="n">
        <v>0</v>
      </c>
    </row>
    <row r="517" ht="15" customHeight="1" s="104">
      <c r="BA517" s="201" t="n">
        <v>0</v>
      </c>
    </row>
    <row r="518" ht="15" customHeight="1" s="104">
      <c r="BA518" s="201" t="n">
        <v>0</v>
      </c>
    </row>
    <row r="519" ht="15" customHeight="1" s="104">
      <c r="BA519" s="201" t="n">
        <v>0</v>
      </c>
    </row>
    <row r="520" ht="15" customHeight="1" s="104">
      <c r="BA520" s="201" t="n">
        <v>0</v>
      </c>
    </row>
    <row r="521" ht="15" customHeight="1" s="104">
      <c r="BA521" s="201" t="n">
        <v>0</v>
      </c>
    </row>
    <row r="522" ht="15" customHeight="1" s="104">
      <c r="BA522" s="201" t="n">
        <v>0</v>
      </c>
    </row>
    <row r="523" ht="15" customHeight="1" s="104">
      <c r="BA523" s="201" t="n">
        <v>0</v>
      </c>
    </row>
    <row r="524" ht="15" customHeight="1" s="104">
      <c r="BA524" s="201" t="n">
        <v>0</v>
      </c>
    </row>
    <row r="525" ht="15" customHeight="1" s="104">
      <c r="BA525" s="201" t="n">
        <v>0</v>
      </c>
    </row>
    <row r="526" ht="15" customHeight="1" s="104">
      <c r="BA526" s="201" t="n">
        <v>0</v>
      </c>
    </row>
    <row r="527" ht="15" customHeight="1" s="104">
      <c r="BA527" s="201" t="n">
        <v>0</v>
      </c>
    </row>
    <row r="528" ht="15" customHeight="1" s="104">
      <c r="BA528" s="201" t="n">
        <v>0</v>
      </c>
    </row>
    <row r="529" ht="15" customHeight="1" s="104">
      <c r="BA529" s="201" t="n">
        <v>0</v>
      </c>
    </row>
    <row r="530" ht="15" customHeight="1" s="104">
      <c r="BA530" s="201" t="n">
        <v>0</v>
      </c>
    </row>
    <row r="531" ht="15" customHeight="1" s="104">
      <c r="BA531" s="201" t="n">
        <v>0</v>
      </c>
    </row>
    <row r="532" ht="15" customHeight="1" s="104">
      <c r="BA532" s="201" t="n">
        <v>0</v>
      </c>
    </row>
    <row r="533" ht="15" customHeight="1" s="104">
      <c r="BA533" s="201" t="n">
        <v>0</v>
      </c>
    </row>
    <row r="534" ht="15" customHeight="1" s="104">
      <c r="BA534" s="201" t="n">
        <v>0</v>
      </c>
    </row>
    <row r="535" ht="15" customHeight="1" s="104">
      <c r="BA535" s="201" t="n">
        <v>0</v>
      </c>
    </row>
    <row r="536" ht="15" customHeight="1" s="104">
      <c r="BA536" s="201" t="n">
        <v>0</v>
      </c>
    </row>
    <row r="537" ht="15" customHeight="1" s="104">
      <c r="BA537" s="201" t="n">
        <v>0</v>
      </c>
    </row>
    <row r="538" ht="15" customHeight="1" s="104">
      <c r="BA538" s="201" t="n">
        <v>0</v>
      </c>
    </row>
    <row r="539" ht="15" customHeight="1" s="104">
      <c r="BA539" s="201" t="n">
        <v>0</v>
      </c>
    </row>
    <row r="540" ht="15" customHeight="1" s="104">
      <c r="BA540" s="201" t="n">
        <v>0</v>
      </c>
    </row>
    <row r="541" ht="15" customHeight="1" s="104">
      <c r="BA541" s="201" t="n">
        <v>0</v>
      </c>
    </row>
    <row r="542" ht="15" customHeight="1" s="104">
      <c r="BA542" s="201" t="n">
        <v>0</v>
      </c>
    </row>
    <row r="543" ht="15" customHeight="1" s="104">
      <c r="BA543" s="201" t="n">
        <v>0</v>
      </c>
    </row>
    <row r="544" ht="15" customHeight="1" s="104">
      <c r="BA544" s="201" t="n">
        <v>0</v>
      </c>
    </row>
    <row r="545" ht="15" customHeight="1" s="104">
      <c r="BA545" s="201" t="n">
        <v>0</v>
      </c>
    </row>
    <row r="546" ht="15" customHeight="1" s="104">
      <c r="BA546" s="201" t="n">
        <v>0</v>
      </c>
    </row>
    <row r="547" ht="15" customHeight="1" s="104">
      <c r="BA547" s="201" t="n">
        <v>0</v>
      </c>
    </row>
    <row r="548" ht="15" customHeight="1" s="104">
      <c r="BA548" s="201" t="n">
        <v>0</v>
      </c>
    </row>
    <row r="549" ht="15" customHeight="1" s="104">
      <c r="BA549" s="201" t="n">
        <v>0</v>
      </c>
    </row>
    <row r="550" ht="15" customHeight="1" s="104">
      <c r="BA550" s="201" t="n">
        <v>0</v>
      </c>
    </row>
    <row r="551" ht="15" customHeight="1" s="104">
      <c r="BA551" s="201" t="n">
        <v>0</v>
      </c>
    </row>
    <row r="552" ht="15" customHeight="1" s="104">
      <c r="BA552" s="201" t="n">
        <v>0</v>
      </c>
    </row>
    <row r="553" ht="15" customHeight="1" s="104">
      <c r="BA553" s="201" t="n">
        <v>0</v>
      </c>
    </row>
    <row r="554" ht="15" customHeight="1" s="104">
      <c r="BA554" s="201" t="n">
        <v>0</v>
      </c>
    </row>
    <row r="555" ht="15" customHeight="1" s="104">
      <c r="BA555" s="201" t="n">
        <v>0</v>
      </c>
    </row>
    <row r="556" ht="15" customHeight="1" s="104">
      <c r="BA556" s="201" t="n">
        <v>0</v>
      </c>
    </row>
    <row r="557" ht="15" customHeight="1" s="104">
      <c r="BA557" s="201" t="n">
        <v>0</v>
      </c>
    </row>
    <row r="558" ht="15" customHeight="1" s="104">
      <c r="BA558" s="201" t="n">
        <v>0</v>
      </c>
    </row>
    <row r="559" ht="15" customHeight="1" s="104">
      <c r="BA559" s="201" t="n">
        <v>0</v>
      </c>
    </row>
    <row r="560" ht="15" customHeight="1" s="104">
      <c r="BA560" s="201" t="n">
        <v>0</v>
      </c>
    </row>
    <row r="561" ht="15" customHeight="1" s="104">
      <c r="BA561" s="201" t="n">
        <v>0</v>
      </c>
    </row>
    <row r="562" ht="15" customHeight="1" s="104">
      <c r="BA562" s="201" t="n">
        <v>0</v>
      </c>
    </row>
    <row r="563" ht="15" customHeight="1" s="104">
      <c r="BA563" s="201" t="n">
        <v>0</v>
      </c>
    </row>
    <row r="564" ht="15" customHeight="1" s="104">
      <c r="BA564" s="201" t="n">
        <v>0</v>
      </c>
    </row>
    <row r="565" ht="15" customHeight="1" s="104">
      <c r="BA565" s="201" t="n">
        <v>0</v>
      </c>
    </row>
    <row r="566" ht="15" customHeight="1" s="104">
      <c r="BA566" s="201" t="n">
        <v>0</v>
      </c>
    </row>
    <row r="567" ht="15" customHeight="1" s="104">
      <c r="BA567" s="201" t="n">
        <v>0</v>
      </c>
    </row>
    <row r="568" ht="15" customHeight="1" s="104">
      <c r="BA568" s="201" t="n">
        <v>0</v>
      </c>
    </row>
    <row r="569" ht="15" customHeight="1" s="104">
      <c r="BA569" s="201" t="n">
        <v>0</v>
      </c>
    </row>
    <row r="570" ht="15" customHeight="1" s="104">
      <c r="BA570" s="201" t="n">
        <v>0</v>
      </c>
    </row>
    <row r="571" ht="15" customHeight="1" s="104">
      <c r="BA571" s="201" t="n">
        <v>0</v>
      </c>
    </row>
    <row r="572" ht="15" customHeight="1" s="104">
      <c r="BA572" s="201" t="n">
        <v>0</v>
      </c>
    </row>
    <row r="573" ht="15" customHeight="1" s="104">
      <c r="BA573" s="201" t="n">
        <v>0</v>
      </c>
    </row>
    <row r="574" ht="15" customHeight="1" s="104">
      <c r="BA574" s="201" t="n">
        <v>0</v>
      </c>
    </row>
    <row r="575" ht="15" customHeight="1" s="104">
      <c r="BA575" s="201" t="n">
        <v>0</v>
      </c>
    </row>
    <row r="576" ht="15" customHeight="1" s="104">
      <c r="BA576" s="201" t="n">
        <v>0</v>
      </c>
    </row>
    <row r="577" ht="15" customHeight="1" s="104">
      <c r="BA577" s="201" t="n">
        <v>0</v>
      </c>
    </row>
    <row r="578" ht="15" customHeight="1" s="104">
      <c r="BA578" s="201" t="n">
        <v>0</v>
      </c>
    </row>
    <row r="579" ht="15" customHeight="1" s="104">
      <c r="BA579" s="201" t="n">
        <v>0</v>
      </c>
    </row>
    <row r="580" ht="15" customHeight="1" s="104">
      <c r="BA580" s="201" t="n">
        <v>0</v>
      </c>
    </row>
    <row r="581" ht="15" customHeight="1" s="104">
      <c r="BA581" s="201" t="n">
        <v>0</v>
      </c>
    </row>
    <row r="582" ht="15" customHeight="1" s="104">
      <c r="BA582" s="201" t="n">
        <v>0</v>
      </c>
    </row>
    <row r="583" ht="15" customHeight="1" s="104">
      <c r="BA583" s="201" t="n">
        <v>0</v>
      </c>
    </row>
    <row r="584" ht="15" customHeight="1" s="104">
      <c r="BA584" s="201" t="n">
        <v>0</v>
      </c>
    </row>
    <row r="585" ht="15" customHeight="1" s="104">
      <c r="BA585" s="201" t="n">
        <v>0</v>
      </c>
    </row>
    <row r="586" ht="15" customHeight="1" s="104">
      <c r="BA586" s="201" t="n">
        <v>0</v>
      </c>
    </row>
    <row r="587" ht="15" customHeight="1" s="104">
      <c r="BA587" s="201" t="n">
        <v>0</v>
      </c>
    </row>
    <row r="588" ht="15" customHeight="1" s="104">
      <c r="BA588" s="201" t="n">
        <v>0</v>
      </c>
    </row>
    <row r="589" ht="15" customHeight="1" s="104">
      <c r="BA589" s="201" t="n">
        <v>0</v>
      </c>
    </row>
    <row r="590" ht="15" customHeight="1" s="104">
      <c r="BA590" s="201" t="n">
        <v>0</v>
      </c>
    </row>
    <row r="591" ht="15" customHeight="1" s="104">
      <c r="BA591" s="201" t="n">
        <v>0</v>
      </c>
    </row>
    <row r="592" ht="15" customHeight="1" s="104">
      <c r="BA592" s="201" t="n">
        <v>0</v>
      </c>
    </row>
    <row r="593" ht="15" customHeight="1" s="104">
      <c r="BA593" s="201" t="n">
        <v>0</v>
      </c>
    </row>
    <row r="594" ht="15" customHeight="1" s="104">
      <c r="BA594" s="201" t="n">
        <v>0</v>
      </c>
    </row>
    <row r="595" ht="15" customHeight="1" s="104">
      <c r="BA595" s="201" t="n">
        <v>0</v>
      </c>
    </row>
    <row r="596" ht="15" customHeight="1" s="104">
      <c r="BA596" s="201" t="n">
        <v>0</v>
      </c>
    </row>
    <row r="597" ht="15" customHeight="1" s="104">
      <c r="BA597" s="201" t="n">
        <v>0</v>
      </c>
    </row>
    <row r="598" ht="15" customHeight="1" s="104">
      <c r="BA598" s="201" t="n">
        <v>0</v>
      </c>
    </row>
    <row r="599" ht="15" customHeight="1" s="104">
      <c r="BA599" s="201" t="n">
        <v>0</v>
      </c>
    </row>
    <row r="600" ht="15" customHeight="1" s="104">
      <c r="BA600" s="201" t="n">
        <v>0</v>
      </c>
    </row>
    <row r="601" ht="15" customHeight="1" s="104">
      <c r="BA601" s="201" t="n">
        <v>0</v>
      </c>
    </row>
    <row r="602" ht="15" customHeight="1" s="104">
      <c r="BA602" s="201" t="n">
        <v>0</v>
      </c>
    </row>
    <row r="603" ht="15" customHeight="1" s="104">
      <c r="BA603" s="201" t="n">
        <v>0</v>
      </c>
    </row>
    <row r="604" ht="15" customHeight="1" s="104">
      <c r="BA604" s="201" t="n">
        <v>0</v>
      </c>
    </row>
    <row r="605" ht="15" customHeight="1" s="104">
      <c r="BA605" s="201" t="n">
        <v>0</v>
      </c>
    </row>
    <row r="606" ht="15" customHeight="1" s="104">
      <c r="BA606" s="201" t="n">
        <v>0</v>
      </c>
    </row>
    <row r="607" ht="15" customHeight="1" s="104">
      <c r="BA607" s="201" t="n">
        <v>0</v>
      </c>
    </row>
    <row r="608" ht="15" customHeight="1" s="104">
      <c r="BA608" s="201" t="n">
        <v>0</v>
      </c>
    </row>
    <row r="609" ht="15" customHeight="1" s="104">
      <c r="BA609" s="201" t="n">
        <v>0</v>
      </c>
    </row>
    <row r="610" ht="15" customHeight="1" s="104">
      <c r="BA610" s="201" t="n">
        <v>0</v>
      </c>
    </row>
    <row r="611" ht="15" customHeight="1" s="104">
      <c r="BA611" s="201" t="n">
        <v>0</v>
      </c>
    </row>
    <row r="612" ht="15" customHeight="1" s="104">
      <c r="BA612" s="201" t="n">
        <v>0</v>
      </c>
    </row>
    <row r="613" ht="15" customHeight="1" s="104">
      <c r="BA613" s="201" t="n">
        <v>0</v>
      </c>
    </row>
    <row r="614" ht="15" customHeight="1" s="104">
      <c r="BA614" s="201" t="n">
        <v>0</v>
      </c>
    </row>
    <row r="615" ht="15" customHeight="1" s="104">
      <c r="BA615" s="201" t="n">
        <v>0</v>
      </c>
    </row>
    <row r="616" ht="15" customHeight="1" s="104">
      <c r="BA616" s="201" t="n">
        <v>0</v>
      </c>
    </row>
    <row r="617" ht="15" customHeight="1" s="104">
      <c r="BA617" s="201" t="n">
        <v>0</v>
      </c>
    </row>
    <row r="618" ht="15" customHeight="1" s="104">
      <c r="BA618" s="201" t="n">
        <v>0</v>
      </c>
    </row>
    <row r="619" ht="15" customHeight="1" s="104">
      <c r="BA619" s="201" t="n">
        <v>0</v>
      </c>
    </row>
    <row r="620" ht="15" customHeight="1" s="104">
      <c r="BA620" s="201" t="n">
        <v>0</v>
      </c>
    </row>
    <row r="621" ht="15" customHeight="1" s="104">
      <c r="BA621" s="201" t="n">
        <v>0</v>
      </c>
    </row>
    <row r="622" ht="15" customHeight="1" s="104">
      <c r="BA622" s="201" t="n">
        <v>0</v>
      </c>
    </row>
    <row r="623" ht="15" customHeight="1" s="104">
      <c r="BA623" s="201" t="n">
        <v>0</v>
      </c>
    </row>
    <row r="624" ht="15" customHeight="1" s="104">
      <c r="BA624" s="201" t="n">
        <v>0</v>
      </c>
    </row>
    <row r="625" ht="15" customHeight="1" s="104">
      <c r="BA625" s="201" t="n">
        <v>0</v>
      </c>
    </row>
    <row r="626" ht="15" customHeight="1" s="104">
      <c r="BA626" s="201" t="n">
        <v>0</v>
      </c>
    </row>
    <row r="627" ht="15" customHeight="1" s="104">
      <c r="BA627" s="201" t="n">
        <v>0</v>
      </c>
    </row>
    <row r="628" ht="15" customHeight="1" s="104">
      <c r="BA628" s="201" t="n">
        <v>0</v>
      </c>
    </row>
    <row r="629" ht="15" customHeight="1" s="104">
      <c r="BA629" s="201" t="n">
        <v>0</v>
      </c>
    </row>
    <row r="630" ht="15" customHeight="1" s="104">
      <c r="BA630" s="201" t="n">
        <v>0</v>
      </c>
    </row>
    <row r="631" ht="15" customHeight="1" s="104">
      <c r="BA631" s="201" t="n">
        <v>0</v>
      </c>
    </row>
    <row r="632" ht="15" customHeight="1" s="104">
      <c r="BA632" s="201" t="n">
        <v>0</v>
      </c>
    </row>
    <row r="633" ht="15" customHeight="1" s="104">
      <c r="BA633" s="201" t="n">
        <v>0</v>
      </c>
    </row>
    <row r="634" ht="15" customHeight="1" s="104">
      <c r="BA634" s="201" t="n">
        <v>0</v>
      </c>
    </row>
    <row r="635" ht="15" customHeight="1" s="104">
      <c r="BA635" s="201" t="n">
        <v>0</v>
      </c>
    </row>
    <row r="636" ht="15" customHeight="1" s="104">
      <c r="BA636" s="201" t="n">
        <v>0</v>
      </c>
    </row>
    <row r="637" ht="15" customHeight="1" s="104">
      <c r="BA637" s="201" t="n">
        <v>0</v>
      </c>
    </row>
    <row r="638" ht="15" customHeight="1" s="104">
      <c r="BA638" s="201" t="n">
        <v>0</v>
      </c>
    </row>
    <row r="639" ht="15" customHeight="1" s="104">
      <c r="BA639" s="201" t="n">
        <v>0</v>
      </c>
    </row>
    <row r="640" ht="15" customHeight="1" s="104">
      <c r="BA640" s="201" t="n">
        <v>0</v>
      </c>
    </row>
    <row r="641" ht="15" customHeight="1" s="104">
      <c r="BA641" s="201" t="n">
        <v>0</v>
      </c>
    </row>
    <row r="642" ht="15" customHeight="1" s="104">
      <c r="BA642" s="201" t="n">
        <v>0</v>
      </c>
    </row>
    <row r="643" ht="15" customHeight="1" s="104">
      <c r="BA643" s="201" t="n">
        <v>0</v>
      </c>
    </row>
    <row r="644" ht="15" customHeight="1" s="104">
      <c r="BA644" s="201" t="n">
        <v>0</v>
      </c>
    </row>
    <row r="645" ht="15" customHeight="1" s="104">
      <c r="BA645" s="201" t="n">
        <v>0</v>
      </c>
    </row>
    <row r="646" ht="15" customHeight="1" s="104">
      <c r="BA646" s="201" t="n">
        <v>0</v>
      </c>
    </row>
    <row r="647" ht="15" customHeight="1" s="104">
      <c r="BA647" s="201" t="n">
        <v>0</v>
      </c>
    </row>
    <row r="648" ht="15" customHeight="1" s="104">
      <c r="BA648" s="201" t="n">
        <v>0</v>
      </c>
    </row>
    <row r="649" ht="15" customHeight="1" s="104">
      <c r="BA649" s="201" t="n">
        <v>0</v>
      </c>
    </row>
    <row r="650" ht="15" customHeight="1" s="104">
      <c r="BA650" s="201" t="n">
        <v>0</v>
      </c>
    </row>
    <row r="651" ht="15" customHeight="1" s="104">
      <c r="BA651" s="201" t="n">
        <v>0</v>
      </c>
    </row>
    <row r="652" ht="15" customHeight="1" s="104">
      <c r="BA652" s="201" t="n">
        <v>0</v>
      </c>
    </row>
    <row r="653" ht="15" customHeight="1" s="104">
      <c r="BA653" s="201" t="n">
        <v>0</v>
      </c>
    </row>
    <row r="654" ht="15" customHeight="1" s="104">
      <c r="BA654" s="201" t="n">
        <v>0</v>
      </c>
    </row>
    <row r="655" ht="15" customHeight="1" s="104">
      <c r="BA655" s="201" t="n">
        <v>0</v>
      </c>
    </row>
    <row r="656" ht="15" customHeight="1" s="104">
      <c r="BA656" s="201" t="n">
        <v>0</v>
      </c>
    </row>
    <row r="657" ht="15" customHeight="1" s="104">
      <c r="BA657" s="201" t="n">
        <v>0</v>
      </c>
    </row>
    <row r="658" ht="15" customHeight="1" s="104">
      <c r="BA658" s="201" t="n">
        <v>0</v>
      </c>
    </row>
    <row r="659" ht="15" customHeight="1" s="104">
      <c r="BA659" s="201" t="n">
        <v>0</v>
      </c>
    </row>
    <row r="660" ht="15" customHeight="1" s="104">
      <c r="BA660" s="201" t="n">
        <v>0</v>
      </c>
    </row>
    <row r="661" ht="15" customHeight="1" s="104">
      <c r="BA661" s="201" t="n">
        <v>0</v>
      </c>
    </row>
    <row r="662" ht="15" customHeight="1" s="104">
      <c r="BA662" s="201" t="n">
        <v>0</v>
      </c>
    </row>
    <row r="663" ht="15" customHeight="1" s="104">
      <c r="BA663" s="201" t="n">
        <v>0</v>
      </c>
    </row>
    <row r="664" ht="15" customHeight="1" s="104">
      <c r="BA664" s="201" t="n">
        <v>0</v>
      </c>
    </row>
    <row r="665" ht="15" customHeight="1" s="104">
      <c r="BA665" s="201" t="n">
        <v>0</v>
      </c>
    </row>
    <row r="666" ht="15" customHeight="1" s="104">
      <c r="BA666" s="201" t="n">
        <v>0</v>
      </c>
    </row>
    <row r="667" ht="15" customHeight="1" s="104">
      <c r="BA667" s="201" t="n">
        <v>0</v>
      </c>
    </row>
    <row r="668" ht="15" customHeight="1" s="104">
      <c r="BA668" s="201" t="n">
        <v>0</v>
      </c>
    </row>
    <row r="669" ht="15" customHeight="1" s="104">
      <c r="BA669" s="201" t="n">
        <v>0</v>
      </c>
    </row>
    <row r="670" ht="15" customHeight="1" s="104">
      <c r="BA670" s="201" t="n">
        <v>0</v>
      </c>
    </row>
    <row r="671" ht="15" customHeight="1" s="104">
      <c r="BA671" s="201" t="n">
        <v>0</v>
      </c>
    </row>
    <row r="672" ht="15" customHeight="1" s="104">
      <c r="BA672" s="201" t="n">
        <v>0</v>
      </c>
    </row>
    <row r="673" ht="15" customHeight="1" s="104">
      <c r="BA673" s="201" t="n">
        <v>0</v>
      </c>
    </row>
    <row r="674" ht="15" customHeight="1" s="104">
      <c r="BA674" s="201" t="n">
        <v>0</v>
      </c>
    </row>
    <row r="675" ht="15" customHeight="1" s="104">
      <c r="BA675" s="201" t="n">
        <v>0</v>
      </c>
    </row>
    <row r="676" ht="15" customHeight="1" s="104">
      <c r="BA676" s="201" t="n">
        <v>0</v>
      </c>
    </row>
    <row r="677" ht="15" customHeight="1" s="104">
      <c r="BA677" s="201" t="n">
        <v>0</v>
      </c>
    </row>
    <row r="678" ht="15" customHeight="1" s="104">
      <c r="BA678" s="201" t="n">
        <v>0</v>
      </c>
    </row>
    <row r="679" ht="15" customHeight="1" s="104">
      <c r="BA679" s="201" t="n">
        <v>0</v>
      </c>
    </row>
    <row r="680" ht="15" customHeight="1" s="104">
      <c r="BA680" s="201" t="n">
        <v>0</v>
      </c>
    </row>
    <row r="681" ht="15" customHeight="1" s="104">
      <c r="BA681" s="201" t="n">
        <v>0</v>
      </c>
    </row>
    <row r="682" ht="15" customHeight="1" s="104">
      <c r="BA682" s="201" t="n">
        <v>0</v>
      </c>
    </row>
    <row r="683" ht="15" customHeight="1" s="104">
      <c r="BA683" s="201" t="n">
        <v>0</v>
      </c>
    </row>
    <row r="684" ht="15" customHeight="1" s="104">
      <c r="BA684" s="201" t="n">
        <v>0</v>
      </c>
    </row>
    <row r="685" ht="15" customHeight="1" s="104">
      <c r="BA685" s="201" t="n">
        <v>0</v>
      </c>
    </row>
    <row r="686" ht="15" customHeight="1" s="104">
      <c r="BA686" s="201" t="n">
        <v>0</v>
      </c>
    </row>
    <row r="687" ht="15" customHeight="1" s="104">
      <c r="BA687" s="201" t="n">
        <v>0</v>
      </c>
    </row>
    <row r="688" ht="15" customHeight="1" s="104">
      <c r="BA688" s="201" t="n">
        <v>0</v>
      </c>
    </row>
    <row r="689" ht="15" customHeight="1" s="104">
      <c r="BA689" s="201" t="n">
        <v>0</v>
      </c>
    </row>
    <row r="690" ht="15" customHeight="1" s="104">
      <c r="BA690" s="201" t="n">
        <v>0</v>
      </c>
    </row>
    <row r="691" ht="15" customHeight="1" s="104">
      <c r="BA691" s="201" t="n">
        <v>0</v>
      </c>
    </row>
    <row r="692" ht="15" customHeight="1" s="104">
      <c r="BA692" s="201" t="n">
        <v>0</v>
      </c>
    </row>
    <row r="693" ht="15" customHeight="1" s="104">
      <c r="BA693" s="201" t="n">
        <v>0</v>
      </c>
    </row>
    <row r="694" ht="15" customHeight="1" s="104">
      <c r="BA694" s="201" t="n">
        <v>0</v>
      </c>
    </row>
    <row r="695" ht="15" customHeight="1" s="104">
      <c r="BA695" s="201" t="n">
        <v>0</v>
      </c>
    </row>
    <row r="696" ht="15" customHeight="1" s="104">
      <c r="BA696" s="201" t="n">
        <v>0</v>
      </c>
    </row>
    <row r="697" ht="15" customHeight="1" s="104">
      <c r="BA697" s="201" t="n">
        <v>0</v>
      </c>
    </row>
    <row r="698" ht="15" customHeight="1" s="104">
      <c r="BA698" s="201" t="n">
        <v>0</v>
      </c>
    </row>
    <row r="699" ht="15" customHeight="1" s="104">
      <c r="BA699" s="201" t="n">
        <v>0</v>
      </c>
    </row>
    <row r="700" ht="15" customHeight="1" s="104">
      <c r="BA700" s="201" t="n">
        <v>0</v>
      </c>
    </row>
    <row r="701" ht="15" customHeight="1" s="104">
      <c r="BA701" s="201" t="n">
        <v>0</v>
      </c>
    </row>
    <row r="702" ht="15" customHeight="1" s="104">
      <c r="BA702" s="201" t="n">
        <v>0</v>
      </c>
    </row>
    <row r="703" ht="15" customHeight="1" s="104">
      <c r="BA703" s="201" t="n">
        <v>0</v>
      </c>
    </row>
    <row r="704" ht="15" customHeight="1" s="104">
      <c r="BA704" s="201" t="n">
        <v>0</v>
      </c>
    </row>
    <row r="705" ht="15" customHeight="1" s="104">
      <c r="BA705" s="201" t="n">
        <v>0</v>
      </c>
    </row>
    <row r="706" ht="15" customHeight="1" s="104">
      <c r="BA706" s="201" t="n">
        <v>0</v>
      </c>
    </row>
    <row r="707" ht="15" customHeight="1" s="104">
      <c r="BA707" s="201" t="n">
        <v>0</v>
      </c>
    </row>
    <row r="708" ht="15" customHeight="1" s="104">
      <c r="BA708" s="201" t="n">
        <v>0</v>
      </c>
    </row>
    <row r="709" ht="15" customHeight="1" s="104">
      <c r="BA709" s="201" t="n">
        <v>0</v>
      </c>
    </row>
    <row r="710" ht="15" customHeight="1" s="104">
      <c r="BA710" s="201" t="n">
        <v>0</v>
      </c>
    </row>
    <row r="711" ht="15" customHeight="1" s="104">
      <c r="BA711" s="201" t="n">
        <v>0</v>
      </c>
    </row>
    <row r="712" ht="15" customHeight="1" s="104">
      <c r="BA712" s="201" t="n">
        <v>0</v>
      </c>
    </row>
    <row r="713" ht="15" customHeight="1" s="104">
      <c r="BA713" s="201" t="n">
        <v>0</v>
      </c>
    </row>
    <row r="714" ht="15" customHeight="1" s="104">
      <c r="BA714" s="201" t="n">
        <v>0</v>
      </c>
    </row>
    <row r="715" ht="15" customHeight="1" s="104">
      <c r="BA715" s="201" t="n">
        <v>0</v>
      </c>
    </row>
    <row r="716" ht="15" customHeight="1" s="104">
      <c r="BA716" s="201" t="n">
        <v>0</v>
      </c>
    </row>
    <row r="717" ht="15" customHeight="1" s="104">
      <c r="BA717" s="201" t="n">
        <v>0</v>
      </c>
    </row>
    <row r="718" ht="15" customHeight="1" s="104">
      <c r="BA718" s="201" t="n">
        <v>0</v>
      </c>
    </row>
    <row r="719" ht="15" customHeight="1" s="104">
      <c r="BA719" s="201" t="n">
        <v>0</v>
      </c>
    </row>
    <row r="720" ht="15" customHeight="1" s="104">
      <c r="BA720" s="201" t="n">
        <v>0</v>
      </c>
    </row>
    <row r="721" ht="15" customHeight="1" s="104">
      <c r="BA721" s="201" t="n">
        <v>0</v>
      </c>
    </row>
    <row r="722" ht="15" customHeight="1" s="104">
      <c r="BA722" s="201" t="n">
        <v>0</v>
      </c>
    </row>
    <row r="723" ht="15" customHeight="1" s="104">
      <c r="BA723" s="201" t="n">
        <v>0</v>
      </c>
    </row>
    <row r="724" ht="15" customHeight="1" s="104">
      <c r="BA724" s="201" t="n">
        <v>0</v>
      </c>
    </row>
    <row r="725" ht="15" customHeight="1" s="104">
      <c r="BA725" s="201" t="n">
        <v>0</v>
      </c>
    </row>
    <row r="726" ht="15" customHeight="1" s="104">
      <c r="BA726" s="201" t="n">
        <v>0</v>
      </c>
    </row>
    <row r="727" ht="15" customHeight="1" s="104">
      <c r="BA727" s="201" t="n">
        <v>0</v>
      </c>
    </row>
    <row r="728" ht="15" customHeight="1" s="104">
      <c r="BA728" s="201" t="n">
        <v>0</v>
      </c>
    </row>
    <row r="729" ht="15" customHeight="1" s="104">
      <c r="BA729" s="201" t="n">
        <v>0</v>
      </c>
    </row>
    <row r="730" ht="15" customHeight="1" s="104">
      <c r="BA730" s="201" t="n">
        <v>0</v>
      </c>
    </row>
    <row r="731" ht="15" customHeight="1" s="104">
      <c r="BA731" s="201" t="n">
        <v>0</v>
      </c>
    </row>
    <row r="732" ht="15" customHeight="1" s="104">
      <c r="BA732" s="201" t="n">
        <v>0</v>
      </c>
    </row>
    <row r="733" ht="15" customHeight="1" s="104">
      <c r="BA733" s="201" t="n">
        <v>0</v>
      </c>
    </row>
    <row r="734" ht="15" customHeight="1" s="104">
      <c r="BA734" s="201" t="n">
        <v>0</v>
      </c>
    </row>
    <row r="735" ht="15" customHeight="1" s="104">
      <c r="BA735" s="201" t="n">
        <v>0</v>
      </c>
    </row>
    <row r="736" ht="15" customHeight="1" s="104">
      <c r="BA736" s="201" t="n">
        <v>0</v>
      </c>
    </row>
    <row r="737" ht="15" customHeight="1" s="104">
      <c r="BA737" s="201" t="n">
        <v>0</v>
      </c>
    </row>
    <row r="738" ht="15" customHeight="1" s="104">
      <c r="BA738" s="201" t="n">
        <v>0</v>
      </c>
    </row>
    <row r="739" ht="15" customHeight="1" s="104">
      <c r="BA739" s="201" t="n">
        <v>0</v>
      </c>
    </row>
    <row r="740" ht="15" customHeight="1" s="104">
      <c r="BA740" s="201" t="n">
        <v>0</v>
      </c>
    </row>
    <row r="741" ht="15" customHeight="1" s="104">
      <c r="BA741" s="201" t="n">
        <v>0</v>
      </c>
    </row>
    <row r="742" ht="15" customHeight="1" s="104">
      <c r="BA742" s="201" t="n">
        <v>0</v>
      </c>
    </row>
    <row r="743" ht="15" customHeight="1" s="104">
      <c r="BA743" s="201" t="n">
        <v>0</v>
      </c>
    </row>
    <row r="744" ht="15" customHeight="1" s="104">
      <c r="BA744" s="201" t="n">
        <v>0</v>
      </c>
    </row>
    <row r="745" ht="15" customHeight="1" s="104">
      <c r="BA745" s="201" t="n">
        <v>0</v>
      </c>
    </row>
    <row r="746" ht="15" customHeight="1" s="104">
      <c r="BA746" s="201" t="n">
        <v>0</v>
      </c>
    </row>
    <row r="747" ht="15" customHeight="1" s="104">
      <c r="BA747" s="201" t="n">
        <v>0</v>
      </c>
    </row>
    <row r="748" ht="15" customHeight="1" s="104">
      <c r="BA748" s="201" t="n">
        <v>0</v>
      </c>
    </row>
    <row r="749" ht="15" customHeight="1" s="104">
      <c r="BA749" s="201" t="n">
        <v>0</v>
      </c>
    </row>
    <row r="750" ht="15" customHeight="1" s="104">
      <c r="BA750" s="201" t="n">
        <v>0</v>
      </c>
    </row>
    <row r="751" ht="15" customHeight="1" s="104">
      <c r="BA751" s="201" t="n">
        <v>0</v>
      </c>
    </row>
    <row r="752" ht="15" customHeight="1" s="104">
      <c r="BA752" s="201" t="n">
        <v>0</v>
      </c>
    </row>
    <row r="753" ht="15" customHeight="1" s="104">
      <c r="BA753" s="201" t="n">
        <v>0</v>
      </c>
    </row>
    <row r="754" ht="15" customHeight="1" s="104">
      <c r="BA754" s="201" t="n">
        <v>0</v>
      </c>
    </row>
    <row r="755" ht="15" customHeight="1" s="104">
      <c r="BA755" s="201" t="n">
        <v>0</v>
      </c>
    </row>
    <row r="756" ht="15" customHeight="1" s="104">
      <c r="BA756" s="201" t="n">
        <v>0</v>
      </c>
    </row>
    <row r="757" ht="15" customHeight="1" s="104">
      <c r="BA757" s="201" t="n">
        <v>0</v>
      </c>
    </row>
    <row r="758" ht="15" customHeight="1" s="104">
      <c r="BA758" s="201" t="n">
        <v>0</v>
      </c>
    </row>
    <row r="759" ht="15" customHeight="1" s="104">
      <c r="BA759" s="201" t="n">
        <v>0</v>
      </c>
    </row>
    <row r="760" ht="15" customHeight="1" s="104">
      <c r="BA760" s="201" t="n">
        <v>0</v>
      </c>
    </row>
    <row r="761" ht="15" customHeight="1" s="104">
      <c r="BA761" s="201" t="n">
        <v>0</v>
      </c>
    </row>
    <row r="762" ht="15" customHeight="1" s="104">
      <c r="BA762" s="201" t="n">
        <v>0</v>
      </c>
    </row>
    <row r="763" ht="15" customHeight="1" s="104">
      <c r="BA763" s="201" t="n">
        <v>0</v>
      </c>
    </row>
    <row r="764" ht="15" customHeight="1" s="104">
      <c r="BA764" s="201" t="n">
        <v>0</v>
      </c>
    </row>
    <row r="765" ht="15" customHeight="1" s="104">
      <c r="BA765" s="201" t="n">
        <v>0</v>
      </c>
    </row>
    <row r="766" ht="15" customHeight="1" s="104">
      <c r="BA766" s="201" t="n">
        <v>0</v>
      </c>
    </row>
    <row r="767" ht="15" customHeight="1" s="104">
      <c r="BA767" s="201" t="n">
        <v>0</v>
      </c>
    </row>
    <row r="768" ht="15" customHeight="1" s="104">
      <c r="BA768" s="201" t="n">
        <v>0</v>
      </c>
    </row>
    <row r="769" ht="15" customHeight="1" s="104">
      <c r="BA769" s="201" t="n">
        <v>0</v>
      </c>
    </row>
    <row r="770" ht="15" customHeight="1" s="104">
      <c r="BA770" s="201" t="n">
        <v>0</v>
      </c>
    </row>
    <row r="771" ht="15" customHeight="1" s="104">
      <c r="BA771" s="201" t="n">
        <v>0</v>
      </c>
    </row>
    <row r="772" ht="15" customHeight="1" s="104">
      <c r="BA772" s="201" t="n">
        <v>0</v>
      </c>
    </row>
    <row r="773" ht="15" customHeight="1" s="104">
      <c r="BA773" s="201" t="n">
        <v>0</v>
      </c>
    </row>
    <row r="774" ht="15" customHeight="1" s="104">
      <c r="BA774" s="201" t="n">
        <v>0</v>
      </c>
    </row>
    <row r="775" ht="15" customHeight="1" s="104">
      <c r="BA775" s="201" t="n">
        <v>0</v>
      </c>
    </row>
    <row r="776" ht="15" customHeight="1" s="104">
      <c r="BA776" s="201" t="n">
        <v>0</v>
      </c>
    </row>
    <row r="777" ht="15" customHeight="1" s="104">
      <c r="BA777" s="201" t="n">
        <v>0</v>
      </c>
    </row>
    <row r="778" ht="15" customHeight="1" s="104">
      <c r="BA778" s="201" t="n">
        <v>0</v>
      </c>
    </row>
    <row r="779" ht="15" customHeight="1" s="104">
      <c r="BA779" s="201" t="n">
        <v>0</v>
      </c>
    </row>
    <row r="780" ht="15" customHeight="1" s="104">
      <c r="BA780" s="201" t="n">
        <v>0</v>
      </c>
    </row>
    <row r="781" ht="15" customHeight="1" s="104">
      <c r="BA781" s="201" t="n">
        <v>0</v>
      </c>
    </row>
    <row r="782" ht="15" customHeight="1" s="104">
      <c r="BA782" s="201" t="n">
        <v>0</v>
      </c>
    </row>
    <row r="783" ht="15" customHeight="1" s="104">
      <c r="BA783" s="201" t="n">
        <v>0</v>
      </c>
    </row>
    <row r="784" ht="15" customHeight="1" s="104">
      <c r="BA784" s="201" t="n">
        <v>0</v>
      </c>
    </row>
    <row r="785" ht="15" customHeight="1" s="104">
      <c r="BA785" s="201" t="n">
        <v>0</v>
      </c>
    </row>
    <row r="786" ht="15" customHeight="1" s="104">
      <c r="BA786" s="201" t="n">
        <v>0</v>
      </c>
    </row>
    <row r="787" ht="15" customHeight="1" s="104">
      <c r="BA787" s="201" t="n">
        <v>0</v>
      </c>
    </row>
    <row r="788" ht="15" customHeight="1" s="104">
      <c r="BA788" s="201" t="n">
        <v>0</v>
      </c>
    </row>
    <row r="789" ht="15" customHeight="1" s="104">
      <c r="BA789" s="201" t="n">
        <v>0</v>
      </c>
    </row>
    <row r="790" ht="15" customHeight="1" s="104">
      <c r="BA790" s="201" t="n">
        <v>0</v>
      </c>
    </row>
    <row r="791" ht="15" customHeight="1" s="104">
      <c r="BA791" s="201" t="n">
        <v>0</v>
      </c>
    </row>
    <row r="792" ht="15" customHeight="1" s="104">
      <c r="BA792" s="201" t="n">
        <v>0</v>
      </c>
    </row>
    <row r="793" ht="15" customHeight="1" s="104">
      <c r="BA793" s="201" t="n">
        <v>0</v>
      </c>
    </row>
    <row r="794" ht="15" customHeight="1" s="104">
      <c r="BA794" s="201" t="n">
        <v>0</v>
      </c>
    </row>
    <row r="795" ht="15" customHeight="1" s="104">
      <c r="BA795" s="201" t="n">
        <v>0</v>
      </c>
    </row>
    <row r="796" ht="15" customHeight="1" s="104">
      <c r="BA796" s="201" t="n">
        <v>0</v>
      </c>
    </row>
    <row r="797" ht="15" customHeight="1" s="104">
      <c r="BA797" s="201" t="n">
        <v>0</v>
      </c>
    </row>
    <row r="798" ht="15" customHeight="1" s="104">
      <c r="BA798" s="201" t="n">
        <v>0</v>
      </c>
    </row>
    <row r="799" ht="15" customHeight="1" s="104">
      <c r="BA799" s="201" t="n">
        <v>0</v>
      </c>
    </row>
    <row r="800" ht="15" customHeight="1" s="104">
      <c r="BA800" s="201" t="n">
        <v>0</v>
      </c>
    </row>
    <row r="801" ht="15" customHeight="1" s="104">
      <c r="BA801" s="201" t="n">
        <v>0</v>
      </c>
    </row>
    <row r="802" ht="15" customHeight="1" s="104">
      <c r="BA802" s="201" t="n">
        <v>0</v>
      </c>
    </row>
    <row r="803" ht="15" customHeight="1" s="104">
      <c r="BA803" s="201" t="n">
        <v>0</v>
      </c>
    </row>
    <row r="804" ht="15" customHeight="1" s="104">
      <c r="BA804" s="201" t="n">
        <v>0</v>
      </c>
    </row>
    <row r="805" ht="15" customHeight="1" s="104">
      <c r="BA805" s="201" t="n">
        <v>0</v>
      </c>
    </row>
    <row r="806" ht="15" customHeight="1" s="104">
      <c r="BA806" s="201" t="n">
        <v>0</v>
      </c>
    </row>
    <row r="807" ht="15" customHeight="1" s="104">
      <c r="BA807" s="201" t="n">
        <v>0</v>
      </c>
    </row>
    <row r="808" ht="15" customHeight="1" s="104">
      <c r="BA808" s="201" t="n">
        <v>0</v>
      </c>
    </row>
    <row r="809" ht="15" customHeight="1" s="104">
      <c r="BA809" s="201" t="n">
        <v>0</v>
      </c>
    </row>
    <row r="810" ht="15" customHeight="1" s="104">
      <c r="BA810" s="201" t="n">
        <v>0</v>
      </c>
    </row>
    <row r="811" ht="15" customHeight="1" s="104">
      <c r="BA811" s="201" t="n">
        <v>0</v>
      </c>
    </row>
    <row r="812" ht="15" customHeight="1" s="104">
      <c r="BA812" s="201" t="n">
        <v>0</v>
      </c>
    </row>
    <row r="813" ht="15" customHeight="1" s="104">
      <c r="BA813" s="201" t="n">
        <v>0</v>
      </c>
    </row>
    <row r="814" ht="15" customHeight="1" s="104">
      <c r="BA814" s="201" t="n">
        <v>0</v>
      </c>
    </row>
    <row r="815" ht="15" customHeight="1" s="104">
      <c r="BA815" s="201" t="n">
        <v>0</v>
      </c>
    </row>
    <row r="816" ht="15" customHeight="1" s="104">
      <c r="BA816" s="201" t="n">
        <v>0</v>
      </c>
    </row>
    <row r="817" ht="15" customHeight="1" s="104">
      <c r="BA817" s="201" t="n">
        <v>0</v>
      </c>
    </row>
    <row r="818" ht="15" customHeight="1" s="104">
      <c r="BA818" s="201" t="n">
        <v>0</v>
      </c>
    </row>
    <row r="819" ht="15" customHeight="1" s="104">
      <c r="BA819" s="201" t="n">
        <v>0</v>
      </c>
    </row>
    <row r="820" ht="15" customHeight="1" s="104">
      <c r="BA820" s="201" t="n">
        <v>0</v>
      </c>
    </row>
    <row r="821" ht="15" customHeight="1" s="104">
      <c r="BA821" s="201" t="n">
        <v>0</v>
      </c>
    </row>
    <row r="822" ht="15" customHeight="1" s="104">
      <c r="BA822" s="201" t="n">
        <v>0</v>
      </c>
    </row>
    <row r="823" ht="15" customHeight="1" s="104">
      <c r="BA823" s="201" t="n">
        <v>0</v>
      </c>
    </row>
    <row r="824" ht="15" customHeight="1" s="104">
      <c r="BA824" s="201" t="n">
        <v>0</v>
      </c>
    </row>
    <row r="825" ht="15" customHeight="1" s="104">
      <c r="BA825" s="201" t="n">
        <v>0</v>
      </c>
    </row>
    <row r="826" ht="15" customHeight="1" s="104">
      <c r="BA826" s="201" t="n">
        <v>0</v>
      </c>
    </row>
    <row r="827" ht="15" customHeight="1" s="104">
      <c r="BA827" s="201" t="n">
        <v>0</v>
      </c>
    </row>
    <row r="828" ht="15" customHeight="1" s="104">
      <c r="BA828" s="201" t="n">
        <v>0</v>
      </c>
    </row>
    <row r="829" ht="15" customHeight="1" s="104">
      <c r="BA829" s="201" t="n">
        <v>0</v>
      </c>
    </row>
    <row r="830" ht="15" customHeight="1" s="104">
      <c r="BA830" s="201" t="n">
        <v>0</v>
      </c>
    </row>
    <row r="831" ht="15" customHeight="1" s="104">
      <c r="BA831" s="201" t="n">
        <v>0</v>
      </c>
    </row>
    <row r="832" ht="15" customHeight="1" s="104">
      <c r="BA832" s="201" t="n">
        <v>0</v>
      </c>
    </row>
    <row r="833" ht="15" customHeight="1" s="104">
      <c r="BA833" s="201" t="n">
        <v>0</v>
      </c>
    </row>
    <row r="834" ht="15" customHeight="1" s="104">
      <c r="BA834" s="201" t="n">
        <v>0</v>
      </c>
    </row>
    <row r="835" ht="15" customHeight="1" s="104">
      <c r="BA835" s="201" t="n">
        <v>0</v>
      </c>
    </row>
    <row r="836" ht="15" customHeight="1" s="104">
      <c r="BA836" s="201" t="n">
        <v>0</v>
      </c>
    </row>
    <row r="837" ht="15" customHeight="1" s="104">
      <c r="BA837" s="201" t="n">
        <v>0</v>
      </c>
    </row>
    <row r="838" ht="15" customHeight="1" s="104">
      <c r="BA838" s="201" t="n">
        <v>0</v>
      </c>
    </row>
    <row r="839" ht="15" customHeight="1" s="104">
      <c r="BA839" s="201" t="n">
        <v>0</v>
      </c>
    </row>
    <row r="840" ht="15" customHeight="1" s="104">
      <c r="BA840" s="201" t="n">
        <v>0</v>
      </c>
    </row>
    <row r="841" ht="15" customHeight="1" s="104">
      <c r="BA841" s="201" t="n">
        <v>0</v>
      </c>
    </row>
    <row r="842" ht="15" customHeight="1" s="104">
      <c r="BA842" s="201" t="n">
        <v>0</v>
      </c>
    </row>
    <row r="843" ht="15" customHeight="1" s="104">
      <c r="BA843" s="201" t="n">
        <v>0</v>
      </c>
    </row>
    <row r="844" ht="15" customHeight="1" s="104">
      <c r="BA844" s="201" t="n">
        <v>0</v>
      </c>
    </row>
    <row r="845" ht="15" customHeight="1" s="104">
      <c r="BA845" s="201" t="n">
        <v>0</v>
      </c>
    </row>
    <row r="846" ht="15" customHeight="1" s="104">
      <c r="BA846" s="201" t="n">
        <v>0</v>
      </c>
    </row>
    <row r="847" ht="15" customHeight="1" s="104">
      <c r="BA847" s="201" t="n">
        <v>0</v>
      </c>
    </row>
    <row r="848" ht="15" customHeight="1" s="104">
      <c r="BA848" s="201" t="n">
        <v>0</v>
      </c>
    </row>
    <row r="849" ht="15" customHeight="1" s="104">
      <c r="BA849" s="201" t="n">
        <v>0</v>
      </c>
    </row>
    <row r="850" ht="15" customHeight="1" s="104">
      <c r="BA850" s="201" t="n">
        <v>0</v>
      </c>
    </row>
    <row r="851" ht="15" customHeight="1" s="104">
      <c r="BA851" s="201" t="n">
        <v>0</v>
      </c>
    </row>
    <row r="852" ht="15" customHeight="1" s="104">
      <c r="BA852" s="201" t="n">
        <v>0</v>
      </c>
    </row>
    <row r="853" ht="15" customHeight="1" s="104">
      <c r="BA853" s="201" t="n">
        <v>0</v>
      </c>
    </row>
    <row r="854" ht="15" customHeight="1" s="104">
      <c r="BA854" s="201" t="n">
        <v>0</v>
      </c>
    </row>
    <row r="855" ht="15" customHeight="1" s="104">
      <c r="BA855" s="201" t="n">
        <v>0</v>
      </c>
    </row>
    <row r="856" ht="15" customHeight="1" s="104">
      <c r="BA856" s="201" t="n">
        <v>0</v>
      </c>
    </row>
    <row r="857" ht="15" customHeight="1" s="104">
      <c r="BA857" s="201" t="n">
        <v>0</v>
      </c>
    </row>
    <row r="858" ht="15" customHeight="1" s="104">
      <c r="BA858" s="201" t="n">
        <v>0</v>
      </c>
    </row>
    <row r="859" ht="15" customHeight="1" s="104">
      <c r="BA859" s="201" t="n">
        <v>0</v>
      </c>
    </row>
    <row r="860" ht="15" customHeight="1" s="104">
      <c r="BA860" s="201" t="n">
        <v>0</v>
      </c>
    </row>
    <row r="861" ht="15" customHeight="1" s="104">
      <c r="BA861" s="201" t="n">
        <v>0</v>
      </c>
    </row>
    <row r="862" ht="15" customHeight="1" s="104">
      <c r="BA862" s="201" t="n">
        <v>0</v>
      </c>
    </row>
    <row r="863" ht="15" customHeight="1" s="104">
      <c r="BA863" s="201" t="n">
        <v>0</v>
      </c>
    </row>
    <row r="864" ht="15" customHeight="1" s="104">
      <c r="BA864" s="201" t="n">
        <v>0</v>
      </c>
    </row>
    <row r="865" ht="15" customHeight="1" s="104">
      <c r="BA865" s="201" t="n">
        <v>0</v>
      </c>
    </row>
    <row r="866" ht="15" customHeight="1" s="104">
      <c r="BA866" s="201" t="n">
        <v>0</v>
      </c>
    </row>
    <row r="867" ht="15" customHeight="1" s="104">
      <c r="BA867" s="201" t="n">
        <v>0</v>
      </c>
    </row>
    <row r="868" ht="15" customHeight="1" s="104">
      <c r="BA868" s="201" t="n">
        <v>0</v>
      </c>
    </row>
    <row r="869" ht="15" customHeight="1" s="104">
      <c r="BA869" s="201" t="n">
        <v>0</v>
      </c>
    </row>
    <row r="870" ht="15" customHeight="1" s="104">
      <c r="BA870" s="201" t="n">
        <v>0</v>
      </c>
    </row>
    <row r="871" ht="15" customHeight="1" s="104">
      <c r="BA871" s="201" t="n">
        <v>0</v>
      </c>
    </row>
    <row r="872" ht="15" customHeight="1" s="104">
      <c r="BA872" s="201" t="n">
        <v>0</v>
      </c>
    </row>
    <row r="873" ht="15" customHeight="1" s="104">
      <c r="BA873" s="201" t="n">
        <v>0</v>
      </c>
    </row>
    <row r="874" ht="15" customHeight="1" s="104">
      <c r="BA874" s="201" t="n">
        <v>0</v>
      </c>
    </row>
    <row r="875" ht="15" customHeight="1" s="104">
      <c r="BA875" s="201" t="n">
        <v>0</v>
      </c>
    </row>
    <row r="876" ht="15" customHeight="1" s="104">
      <c r="BA876" s="201" t="n">
        <v>0</v>
      </c>
    </row>
    <row r="877" ht="15" customHeight="1" s="104">
      <c r="BA877" s="201" t="n">
        <v>0</v>
      </c>
    </row>
    <row r="878" ht="15" customHeight="1" s="104">
      <c r="BA878" s="201" t="n">
        <v>0</v>
      </c>
    </row>
    <row r="879" ht="15" customHeight="1" s="104">
      <c r="BA879" s="201" t="n">
        <v>0</v>
      </c>
    </row>
    <row r="880" ht="15" customHeight="1" s="104">
      <c r="BA880" s="201" t="n">
        <v>0</v>
      </c>
    </row>
    <row r="881" ht="15" customHeight="1" s="104">
      <c r="BA881" s="201" t="n">
        <v>0</v>
      </c>
    </row>
    <row r="882" ht="15" customHeight="1" s="104">
      <c r="BA882" s="201" t="n">
        <v>0</v>
      </c>
    </row>
    <row r="883" ht="15" customHeight="1" s="104">
      <c r="BA883" s="201" t="n">
        <v>0</v>
      </c>
    </row>
    <row r="884" ht="15" customHeight="1" s="104">
      <c r="BA884" s="201" t="n">
        <v>0</v>
      </c>
    </row>
    <row r="885" ht="15" customHeight="1" s="104">
      <c r="BA885" s="201" t="n">
        <v>0</v>
      </c>
    </row>
    <row r="886" ht="15" customHeight="1" s="104">
      <c r="BA886" s="201" t="n">
        <v>0</v>
      </c>
    </row>
    <row r="887" ht="15" customHeight="1" s="104">
      <c r="BA887" s="201" t="n">
        <v>0</v>
      </c>
    </row>
    <row r="888" ht="15" customHeight="1" s="104">
      <c r="BA888" s="201" t="n">
        <v>0</v>
      </c>
    </row>
    <row r="889" ht="15" customHeight="1" s="104">
      <c r="BA889" s="201" t="n">
        <v>0</v>
      </c>
    </row>
    <row r="890" ht="15" customHeight="1" s="104">
      <c r="BA890" s="201" t="n">
        <v>0</v>
      </c>
    </row>
    <row r="891" ht="15" customHeight="1" s="104">
      <c r="BA891" s="201" t="n">
        <v>0</v>
      </c>
    </row>
    <row r="892" ht="15" customHeight="1" s="104">
      <c r="BA892" s="201" t="n">
        <v>0</v>
      </c>
    </row>
    <row r="893" ht="15" customHeight="1" s="104">
      <c r="BA893" s="201" t="n">
        <v>0</v>
      </c>
    </row>
    <row r="894" ht="15" customHeight="1" s="104">
      <c r="BA894" s="201" t="n">
        <v>0</v>
      </c>
    </row>
    <row r="895" ht="15" customHeight="1" s="104">
      <c r="BA895" s="201" t="n">
        <v>0</v>
      </c>
    </row>
    <row r="896" ht="15" customHeight="1" s="104">
      <c r="BA896" s="201" t="n">
        <v>0</v>
      </c>
    </row>
    <row r="897" ht="15" customHeight="1" s="104">
      <c r="BA897" s="201" t="n">
        <v>0</v>
      </c>
    </row>
    <row r="898" ht="15" customHeight="1" s="104">
      <c r="BA898" s="201" t="n">
        <v>0</v>
      </c>
    </row>
    <row r="899" ht="15" customHeight="1" s="104">
      <c r="BA899" s="201" t="n">
        <v>0</v>
      </c>
    </row>
    <row r="900" ht="15" customHeight="1" s="104">
      <c r="BA900" s="201" t="n">
        <v>0</v>
      </c>
    </row>
    <row r="901" ht="15" customHeight="1" s="104">
      <c r="BA901" s="201" t="n">
        <v>0</v>
      </c>
    </row>
    <row r="902" ht="15" customHeight="1" s="104">
      <c r="BA902" s="201" t="n">
        <v>0</v>
      </c>
    </row>
    <row r="903" ht="15" customHeight="1" s="104">
      <c r="BA903" s="201" t="n">
        <v>0</v>
      </c>
    </row>
    <row r="904" ht="15" customHeight="1" s="104">
      <c r="BA904" s="201" t="n">
        <v>0</v>
      </c>
    </row>
    <row r="905" ht="15" customHeight="1" s="104">
      <c r="BA905" s="201" t="n">
        <v>0</v>
      </c>
    </row>
    <row r="906" ht="15" customHeight="1" s="104">
      <c r="BA906" s="201" t="n">
        <v>0</v>
      </c>
    </row>
    <row r="907" ht="15" customHeight="1" s="104">
      <c r="BA907" s="201" t="n">
        <v>0</v>
      </c>
    </row>
    <row r="908" ht="15" customHeight="1" s="104">
      <c r="BA908" s="201" t="n">
        <v>0</v>
      </c>
    </row>
    <row r="909" ht="15" customHeight="1" s="104">
      <c r="BA909" s="201" t="n">
        <v>0</v>
      </c>
    </row>
    <row r="910" ht="15" customHeight="1" s="104">
      <c r="BA910" s="201" t="n">
        <v>0</v>
      </c>
    </row>
    <row r="911" ht="15" customHeight="1" s="104">
      <c r="BA911" s="201" t="n">
        <v>0</v>
      </c>
    </row>
    <row r="912" ht="15" customHeight="1" s="104">
      <c r="BA912" s="201" t="n">
        <v>0</v>
      </c>
    </row>
    <row r="913" ht="15" customHeight="1" s="104">
      <c r="BA913" s="201" t="n">
        <v>0</v>
      </c>
    </row>
    <row r="914" ht="15" customHeight="1" s="104">
      <c r="BA914" s="201" t="n">
        <v>0</v>
      </c>
    </row>
    <row r="915" ht="15" customHeight="1" s="104">
      <c r="BA915" s="201" t="n">
        <v>0</v>
      </c>
    </row>
    <row r="916" ht="15" customHeight="1" s="104">
      <c r="BA916" s="201" t="n">
        <v>0</v>
      </c>
    </row>
    <row r="917" ht="15" customHeight="1" s="104">
      <c r="BA917" s="201" t="n">
        <v>0</v>
      </c>
    </row>
    <row r="918" ht="15" customHeight="1" s="104">
      <c r="BA918" s="201" t="n">
        <v>0</v>
      </c>
    </row>
    <row r="919" ht="15" customHeight="1" s="104">
      <c r="BA919" s="201" t="n">
        <v>0</v>
      </c>
    </row>
    <row r="920" ht="15" customHeight="1" s="104">
      <c r="BA920" s="201" t="n">
        <v>0</v>
      </c>
    </row>
    <row r="921" ht="15" customHeight="1" s="104">
      <c r="BA921" s="201" t="n">
        <v>0</v>
      </c>
    </row>
    <row r="922" ht="15" customHeight="1" s="104">
      <c r="BA922" s="201" t="n">
        <v>0</v>
      </c>
    </row>
    <row r="923" ht="15" customHeight="1" s="104">
      <c r="BA923" s="201" t="n">
        <v>0</v>
      </c>
    </row>
    <row r="924" ht="15" customHeight="1" s="104">
      <c r="BA924" s="201" t="n">
        <v>0</v>
      </c>
    </row>
    <row r="925" ht="15" customHeight="1" s="104">
      <c r="BA925" s="201" t="n">
        <v>0</v>
      </c>
    </row>
    <row r="926" ht="15" customHeight="1" s="104">
      <c r="BA926" s="201" t="n">
        <v>0</v>
      </c>
    </row>
    <row r="927" ht="15" customHeight="1" s="104">
      <c r="BA927" s="201" t="n">
        <v>0</v>
      </c>
    </row>
    <row r="928" ht="15" customHeight="1" s="104">
      <c r="BA928" s="201" t="n">
        <v>0</v>
      </c>
    </row>
    <row r="929" ht="15" customHeight="1" s="104">
      <c r="BA929" s="201" t="n">
        <v>0</v>
      </c>
    </row>
    <row r="930" ht="15" customHeight="1" s="104">
      <c r="BA930" s="201" t="n">
        <v>0</v>
      </c>
    </row>
    <row r="931" ht="15" customHeight="1" s="104">
      <c r="BA931" s="201" t="n">
        <v>0</v>
      </c>
    </row>
    <row r="932" ht="15" customHeight="1" s="104">
      <c r="BA932" s="201" t="n">
        <v>0</v>
      </c>
    </row>
    <row r="933" ht="15" customHeight="1" s="104">
      <c r="BA933" s="201" t="n">
        <v>0</v>
      </c>
    </row>
    <row r="934" ht="15" customHeight="1" s="104">
      <c r="BA934" s="201" t="n">
        <v>0</v>
      </c>
    </row>
    <row r="935" ht="15" customHeight="1" s="104">
      <c r="BA935" s="201" t="n">
        <v>0</v>
      </c>
    </row>
    <row r="936" ht="15" customHeight="1" s="104">
      <c r="BA936" s="201" t="n">
        <v>0</v>
      </c>
    </row>
    <row r="937" ht="15" customHeight="1" s="104">
      <c r="BA937" s="201" t="n">
        <v>0</v>
      </c>
    </row>
    <row r="938" ht="15" customHeight="1" s="104">
      <c r="BA938" s="201" t="n">
        <v>0</v>
      </c>
    </row>
    <row r="939" ht="15" customHeight="1" s="104">
      <c r="BA939" s="201" t="n">
        <v>0</v>
      </c>
    </row>
    <row r="940" ht="15" customHeight="1" s="104">
      <c r="BA940" s="201" t="n">
        <v>0</v>
      </c>
    </row>
    <row r="941" ht="15" customHeight="1" s="104">
      <c r="BA941" s="201" t="n">
        <v>0</v>
      </c>
    </row>
    <row r="942" ht="15" customHeight="1" s="104">
      <c r="BA942" s="201" t="n">
        <v>0</v>
      </c>
    </row>
    <row r="943" ht="15" customHeight="1" s="104">
      <c r="BA943" s="201" t="n">
        <v>0</v>
      </c>
    </row>
    <row r="944" ht="15" customHeight="1" s="104">
      <c r="BA944" s="201" t="n">
        <v>0</v>
      </c>
    </row>
    <row r="945" ht="15" customHeight="1" s="104">
      <c r="BA945" s="201" t="n">
        <v>0</v>
      </c>
    </row>
    <row r="946" ht="15" customHeight="1" s="104">
      <c r="BA946" s="201" t="n">
        <v>0</v>
      </c>
    </row>
    <row r="947" ht="15" customHeight="1" s="104">
      <c r="BA947" s="201" t="n">
        <v>0</v>
      </c>
    </row>
    <row r="948" ht="15" customHeight="1" s="104">
      <c r="BA948" s="201" t="n">
        <v>0</v>
      </c>
    </row>
    <row r="949" ht="15" customHeight="1" s="104">
      <c r="BA949" s="201" t="n">
        <v>0</v>
      </c>
    </row>
    <row r="950" ht="15" customHeight="1" s="104">
      <c r="BA950" s="201" t="n">
        <v>0</v>
      </c>
    </row>
    <row r="951" ht="15" customHeight="1" s="104">
      <c r="BA951" s="201" t="n">
        <v>0</v>
      </c>
    </row>
    <row r="952" ht="15" customHeight="1" s="104">
      <c r="BA952" s="201" t="n">
        <v>0</v>
      </c>
    </row>
    <row r="953" ht="15" customHeight="1" s="104">
      <c r="BA953" s="201" t="n">
        <v>0</v>
      </c>
    </row>
    <row r="954" ht="15" customHeight="1" s="104">
      <c r="BA954" s="201" t="n">
        <v>0</v>
      </c>
    </row>
    <row r="955" ht="15" customHeight="1" s="104">
      <c r="BA955" s="201" t="n">
        <v>0</v>
      </c>
    </row>
    <row r="956" ht="15" customHeight="1" s="104">
      <c r="BA956" s="201" t="n">
        <v>0</v>
      </c>
    </row>
    <row r="957" ht="15" customHeight="1" s="104">
      <c r="BA957" s="201" t="n">
        <v>0</v>
      </c>
    </row>
    <row r="958" ht="15" customHeight="1" s="104">
      <c r="BA958" s="201" t="n">
        <v>0</v>
      </c>
    </row>
    <row r="959" ht="15" customHeight="1" s="104">
      <c r="BA959" s="201" t="n">
        <v>0</v>
      </c>
    </row>
    <row r="960" ht="15" customHeight="1" s="104">
      <c r="BA960" s="201" t="n">
        <v>0</v>
      </c>
    </row>
    <row r="961" ht="15" customHeight="1" s="104">
      <c r="BA961" s="201" t="n">
        <v>0</v>
      </c>
    </row>
    <row r="962" ht="15" customHeight="1" s="104">
      <c r="BA962" s="201" t="n">
        <v>0</v>
      </c>
    </row>
    <row r="963" ht="15" customHeight="1" s="104">
      <c r="BA963" s="201" t="n">
        <v>0</v>
      </c>
    </row>
    <row r="964" ht="15" customHeight="1" s="104">
      <c r="BA964" s="201" t="n">
        <v>0</v>
      </c>
    </row>
    <row r="965" ht="15" customHeight="1" s="104">
      <c r="BA965" s="201" t="n">
        <v>0</v>
      </c>
    </row>
    <row r="966" ht="15" customHeight="1" s="104">
      <c r="BA966" s="201" t="n">
        <v>0</v>
      </c>
    </row>
    <row r="967" ht="15" customHeight="1" s="104">
      <c r="BA967" s="201" t="n">
        <v>0</v>
      </c>
    </row>
    <row r="968" ht="15" customHeight="1" s="104">
      <c r="BA968" s="201" t="n">
        <v>0</v>
      </c>
    </row>
    <row r="969" ht="15" customHeight="1" s="104">
      <c r="BA969" s="201" t="n">
        <v>0</v>
      </c>
    </row>
    <row r="970" ht="15" customHeight="1" s="104">
      <c r="BA970" s="201" t="n">
        <v>0</v>
      </c>
    </row>
    <row r="971" ht="15" customHeight="1" s="104">
      <c r="BA971" s="201" t="n">
        <v>0</v>
      </c>
    </row>
    <row r="972" ht="15" customHeight="1" s="104">
      <c r="BA972" s="201" t="n">
        <v>0</v>
      </c>
    </row>
    <row r="973" ht="15" customHeight="1" s="104">
      <c r="BA973" s="201" t="n">
        <v>0</v>
      </c>
    </row>
    <row r="974" ht="15" customHeight="1" s="104">
      <c r="BA974" s="201" t="n">
        <v>0</v>
      </c>
    </row>
    <row r="975" ht="15" customHeight="1" s="104">
      <c r="BA975" s="201" t="n">
        <v>0</v>
      </c>
    </row>
    <row r="976" ht="15" customHeight="1" s="104">
      <c r="BA976" s="201" t="n">
        <v>0</v>
      </c>
    </row>
    <row r="977" ht="15" customHeight="1" s="104">
      <c r="BA977" s="201" t="n">
        <v>0</v>
      </c>
    </row>
    <row r="978" ht="15" customHeight="1" s="104">
      <c r="BA978" s="201" t="n">
        <v>0</v>
      </c>
    </row>
    <row r="979" ht="15" customHeight="1" s="104">
      <c r="BA979" s="201" t="n">
        <v>0</v>
      </c>
    </row>
    <row r="980" ht="15" customHeight="1" s="104">
      <c r="BA980" s="201" t="n">
        <v>0</v>
      </c>
    </row>
    <row r="981" ht="15" customHeight="1" s="104">
      <c r="BA981" s="201" t="n">
        <v>0</v>
      </c>
    </row>
    <row r="982" ht="15" customHeight="1" s="104">
      <c r="BA982" s="201" t="n">
        <v>0</v>
      </c>
    </row>
    <row r="983" ht="15" customHeight="1" s="104">
      <c r="BA983" s="201" t="n">
        <v>0</v>
      </c>
    </row>
    <row r="984" ht="15" customHeight="1" s="104">
      <c r="BA984" s="201" t="n">
        <v>0</v>
      </c>
    </row>
    <row r="985" ht="15" customHeight="1" s="104">
      <c r="BA985" s="201" t="n">
        <v>0</v>
      </c>
    </row>
    <row r="986" ht="15" customHeight="1" s="104">
      <c r="BA986" s="201" t="n">
        <v>0</v>
      </c>
    </row>
    <row r="987" ht="15" customHeight="1" s="104">
      <c r="BA987" s="201" t="n">
        <v>0</v>
      </c>
    </row>
    <row r="988" ht="15" customHeight="1" s="104">
      <c r="BA988" s="201" t="n">
        <v>0</v>
      </c>
    </row>
    <row r="989" ht="15" customHeight="1" s="104">
      <c r="BA989" s="201" t="n">
        <v>0</v>
      </c>
    </row>
    <row r="990" ht="15" customHeight="1" s="104">
      <c r="BA990" s="201" t="n">
        <v>0</v>
      </c>
    </row>
    <row r="991" ht="15" customHeight="1" s="104">
      <c r="BA991" s="201" t="n">
        <v>0</v>
      </c>
    </row>
    <row r="992" ht="15" customHeight="1" s="104">
      <c r="BA992" s="201" t="n">
        <v>0</v>
      </c>
    </row>
    <row r="993" ht="15" customHeight="1" s="104">
      <c r="BA993" s="201" t="n">
        <v>0</v>
      </c>
    </row>
    <row r="994" ht="15" customHeight="1" s="104">
      <c r="BA994" s="201" t="n">
        <v>0</v>
      </c>
    </row>
    <row r="995" ht="15" customHeight="1" s="104">
      <c r="BA995" s="201" t="n">
        <v>0</v>
      </c>
    </row>
    <row r="996" ht="15" customHeight="1" s="104">
      <c r="BA996" s="201" t="n">
        <v>0</v>
      </c>
    </row>
    <row r="997" ht="15" customHeight="1" s="104">
      <c r="BA997" s="201" t="n">
        <v>0</v>
      </c>
    </row>
    <row r="998" ht="15" customHeight="1" s="104">
      <c r="BA998" s="201" t="n">
        <v>0</v>
      </c>
    </row>
    <row r="999" ht="15" customHeight="1" s="104">
      <c r="BA999" s="201" t="n">
        <v>0</v>
      </c>
    </row>
    <row r="1000" ht="15" customHeight="1" s="104">
      <c r="BA1000" s="201" t="n">
        <v>0</v>
      </c>
    </row>
    <row r="1001" ht="15" customHeight="1" s="104">
      <c r="BA1001" s="201" t="n">
        <v>0</v>
      </c>
    </row>
    <row r="1002" ht="15" customHeight="1" s="104">
      <c r="BA1002" s="201" t="n">
        <v>0</v>
      </c>
    </row>
    <row r="1003" ht="15" customHeight="1" s="104">
      <c r="BA1003" s="201" t="n">
        <v>0</v>
      </c>
    </row>
    <row r="1004" ht="15" customHeight="1" s="104">
      <c r="BA1004" s="201" t="n">
        <v>0</v>
      </c>
    </row>
    <row r="1005" ht="15" customHeight="1" s="104">
      <c r="BA1005" s="201" t="n">
        <v>0</v>
      </c>
    </row>
    <row r="1006" ht="15" customHeight="1" s="104">
      <c r="BA1006" s="201" t="n">
        <v>0</v>
      </c>
    </row>
    <row r="1007" ht="15" customHeight="1" s="104">
      <c r="BA1007" s="201" t="n">
        <v>0</v>
      </c>
    </row>
    <row r="1008" ht="15" customHeight="1" s="104">
      <c r="BA1008" s="201" t="n">
        <v>0</v>
      </c>
    </row>
    <row r="1009" ht="15" customHeight="1" s="104">
      <c r="BA1009" s="201" t="n">
        <v>0</v>
      </c>
    </row>
    <row r="1010" ht="15" customHeight="1" s="104">
      <c r="BA1010" s="201" t="n">
        <v>0</v>
      </c>
    </row>
    <row r="1011" ht="15" customHeight="1" s="104">
      <c r="BA1011" s="201" t="n">
        <v>0</v>
      </c>
    </row>
    <row r="1012" ht="15" customHeight="1" s="104">
      <c r="BA1012" s="201" t="n">
        <v>0</v>
      </c>
    </row>
    <row r="1013" ht="15" customHeight="1" s="104">
      <c r="BA1013" s="201" t="n">
        <v>0</v>
      </c>
    </row>
    <row r="1014" ht="15" customHeight="1" s="104">
      <c r="BA1014" s="201" t="n">
        <v>0</v>
      </c>
    </row>
    <row r="1015" ht="15" customHeight="1" s="104">
      <c r="BA1015" s="201" t="n">
        <v>0</v>
      </c>
    </row>
    <row r="1016" ht="15" customHeight="1" s="104">
      <c r="BA1016" s="201" t="n">
        <v>0</v>
      </c>
    </row>
    <row r="1017" ht="15" customHeight="1" s="104">
      <c r="BA1017" s="201" t="n">
        <v>0</v>
      </c>
    </row>
    <row r="1018" ht="15" customHeight="1" s="104">
      <c r="BA1018" s="201" t="n">
        <v>0</v>
      </c>
    </row>
    <row r="1019" ht="15" customHeight="1" s="104">
      <c r="BA1019" s="201" t="n">
        <v>0</v>
      </c>
    </row>
    <row r="1020" ht="15" customHeight="1" s="104">
      <c r="BA1020" s="201" t="n">
        <v>0</v>
      </c>
    </row>
    <row r="1021" ht="15" customHeight="1" s="104">
      <c r="BA1021" s="201" t="n">
        <v>0</v>
      </c>
    </row>
    <row r="1022" ht="15" customHeight="1" s="104">
      <c r="BA1022" s="201" t="n">
        <v>0</v>
      </c>
    </row>
    <row r="1023" ht="15" customHeight="1" s="104">
      <c r="BA1023" s="201" t="n">
        <v>0</v>
      </c>
    </row>
    <row r="1024" ht="15" customHeight="1" s="104">
      <c r="BA1024" s="201" t="n">
        <v>0</v>
      </c>
    </row>
    <row r="1025" ht="15" customHeight="1" s="104">
      <c r="BA1025" s="201" t="n">
        <v>0</v>
      </c>
    </row>
    <row r="1026" ht="15" customHeight="1" s="104">
      <c r="BA1026" s="201" t="n">
        <v>0</v>
      </c>
    </row>
    <row r="1027" ht="15" customHeight="1" s="104">
      <c r="BA1027" s="201" t="n">
        <v>0</v>
      </c>
    </row>
    <row r="1028" ht="15" customHeight="1" s="104">
      <c r="BA1028" s="201" t="n">
        <v>0</v>
      </c>
    </row>
    <row r="1029" ht="15" customHeight="1" s="104">
      <c r="BA1029" s="201" t="n">
        <v>0</v>
      </c>
    </row>
    <row r="1030" ht="15" customHeight="1" s="104">
      <c r="BA1030" s="201" t="n">
        <v>0</v>
      </c>
    </row>
    <row r="1031" ht="15" customHeight="1" s="104">
      <c r="BA1031" s="201" t="n">
        <v>0</v>
      </c>
    </row>
    <row r="1032" ht="15" customHeight="1" s="104">
      <c r="BA1032" s="201" t="n">
        <v>0</v>
      </c>
    </row>
    <row r="1033" ht="15" customHeight="1" s="104">
      <c r="BA1033" s="201" t="n">
        <v>0</v>
      </c>
    </row>
    <row r="1034" ht="15" customHeight="1" s="104">
      <c r="BA1034" s="201" t="n">
        <v>0</v>
      </c>
    </row>
    <row r="1035" ht="15" customHeight="1" s="104">
      <c r="BA1035" s="201" t="n">
        <v>0</v>
      </c>
    </row>
    <row r="1036" ht="15" customHeight="1" s="104">
      <c r="BA1036" s="201" t="n">
        <v>0</v>
      </c>
    </row>
    <row r="1037" ht="15" customHeight="1" s="104">
      <c r="BA1037" s="201" t="n">
        <v>0</v>
      </c>
    </row>
    <row r="1038" ht="15" customHeight="1" s="104">
      <c r="BA1038" s="201" t="n">
        <v>0</v>
      </c>
    </row>
    <row r="1039" ht="15" customHeight="1" s="104">
      <c r="BA1039" s="201" t="n">
        <v>0</v>
      </c>
    </row>
    <row r="1040" ht="15" customHeight="1" s="104">
      <c r="BA1040" s="201" t="n">
        <v>0</v>
      </c>
    </row>
    <row r="1041" ht="15" customHeight="1" s="104">
      <c r="BA1041" s="201" t="n">
        <v>0</v>
      </c>
    </row>
    <row r="1042" ht="15" customHeight="1" s="104">
      <c r="BA1042" s="201" t="n">
        <v>0</v>
      </c>
    </row>
    <row r="1043" ht="15" customHeight="1" s="104">
      <c r="BA1043" s="201" t="n">
        <v>0</v>
      </c>
    </row>
    <row r="1044" ht="15" customHeight="1" s="104">
      <c r="BA1044" s="201" t="n">
        <v>0</v>
      </c>
    </row>
    <row r="1045" ht="15" customHeight="1" s="104">
      <c r="BA1045" s="201" t="n">
        <v>0</v>
      </c>
    </row>
    <row r="1046" ht="15" customHeight="1" s="104">
      <c r="BA1046" s="201" t="n">
        <v>0</v>
      </c>
    </row>
    <row r="1047" ht="15" customHeight="1" s="104">
      <c r="BA1047" s="201" t="n">
        <v>0</v>
      </c>
    </row>
    <row r="1048" ht="15" customHeight="1" s="104">
      <c r="BA1048" s="201" t="n">
        <v>0</v>
      </c>
    </row>
    <row r="1049" ht="15" customHeight="1" s="104">
      <c r="BA1049" s="201" t="n">
        <v>0</v>
      </c>
    </row>
    <row r="1050" ht="15" customHeight="1" s="104">
      <c r="BA1050" s="201" t="n">
        <v>0</v>
      </c>
    </row>
    <row r="1051" ht="15" customHeight="1" s="104">
      <c r="BA1051" s="201" t="n">
        <v>0</v>
      </c>
    </row>
    <row r="1052" ht="15" customHeight="1" s="104">
      <c r="BA1052" s="201" t="n">
        <v>0</v>
      </c>
    </row>
    <row r="1053" ht="15" customHeight="1" s="104">
      <c r="BA1053" s="201" t="n">
        <v>0</v>
      </c>
    </row>
    <row r="1054" ht="15" customHeight="1" s="104">
      <c r="BA1054" s="201" t="n">
        <v>0</v>
      </c>
    </row>
    <row r="1055" ht="15" customHeight="1" s="104">
      <c r="BA1055" s="201" t="n">
        <v>0</v>
      </c>
    </row>
    <row r="1056" ht="15" customHeight="1" s="104">
      <c r="BA1056" s="201" t="n">
        <v>0</v>
      </c>
    </row>
    <row r="1057" ht="15" customHeight="1" s="104">
      <c r="BA1057" s="201" t="n">
        <v>0</v>
      </c>
    </row>
    <row r="1058" ht="15" customHeight="1" s="104">
      <c r="BA1058" s="201" t="n">
        <v>0</v>
      </c>
    </row>
    <row r="1059" ht="15" customHeight="1" s="104">
      <c r="BA1059" s="201" t="n">
        <v>0</v>
      </c>
    </row>
    <row r="1060" ht="15" customHeight="1" s="104">
      <c r="BA1060" s="201" t="n">
        <v>0</v>
      </c>
    </row>
    <row r="1061" ht="15" customHeight="1" s="104">
      <c r="BA1061" s="201" t="n">
        <v>0</v>
      </c>
    </row>
    <row r="1062" ht="15" customHeight="1" s="104">
      <c r="BA1062" s="201" t="n">
        <v>0</v>
      </c>
    </row>
    <row r="1063" ht="15" customHeight="1" s="104">
      <c r="BA1063" s="201" t="n">
        <v>0</v>
      </c>
    </row>
    <row r="1064" ht="15" customHeight="1" s="104">
      <c r="BA1064" s="201" t="n">
        <v>0</v>
      </c>
    </row>
    <row r="1065" ht="15" customHeight="1" s="104">
      <c r="BA1065" s="201" t="n">
        <v>0</v>
      </c>
    </row>
    <row r="1066" ht="15" customHeight="1" s="104">
      <c r="BA1066" s="201" t="n">
        <v>0</v>
      </c>
    </row>
    <row r="1067" ht="15" customHeight="1" s="104">
      <c r="BA1067" s="201" t="n">
        <v>0</v>
      </c>
    </row>
    <row r="1068" ht="15" customHeight="1" s="104">
      <c r="BA1068" s="201" t="n">
        <v>0</v>
      </c>
    </row>
    <row r="1069" ht="15" customHeight="1" s="104">
      <c r="BA1069" s="201" t="n">
        <v>0</v>
      </c>
    </row>
    <row r="1070" ht="15" customHeight="1" s="104">
      <c r="BA1070" s="201" t="n">
        <v>0</v>
      </c>
    </row>
    <row r="1071" ht="15" customHeight="1" s="104">
      <c r="BA1071" s="201" t="n">
        <v>0</v>
      </c>
    </row>
    <row r="1072" ht="15" customHeight="1" s="104">
      <c r="BA1072" s="201" t="n">
        <v>0</v>
      </c>
    </row>
    <row r="1073" ht="15" customHeight="1" s="104">
      <c r="BA1073" s="201" t="n">
        <v>0</v>
      </c>
    </row>
    <row r="1074" ht="15" customHeight="1" s="104">
      <c r="BA1074" s="201" t="n">
        <v>0</v>
      </c>
    </row>
    <row r="1075" ht="15" customHeight="1" s="104">
      <c r="BA1075" s="201" t="n">
        <v>0</v>
      </c>
    </row>
    <row r="1076" ht="15" customHeight="1" s="104">
      <c r="BA1076" s="201" t="n">
        <v>0</v>
      </c>
    </row>
    <row r="1077" ht="15" customHeight="1" s="104">
      <c r="BA1077" s="201" t="n">
        <v>0</v>
      </c>
    </row>
    <row r="1078" ht="15" customHeight="1" s="104">
      <c r="BA1078" s="201" t="n">
        <v>0</v>
      </c>
    </row>
    <row r="1079" ht="15" customHeight="1" s="104">
      <c r="BA1079" s="201" t="n">
        <v>0</v>
      </c>
    </row>
    <row r="1080" ht="15" customHeight="1" s="104">
      <c r="BA1080" s="201" t="n">
        <v>0</v>
      </c>
    </row>
    <row r="1081" ht="15" customHeight="1" s="104">
      <c r="BA1081" s="201" t="n">
        <v>0</v>
      </c>
    </row>
    <row r="1082" ht="15" customHeight="1" s="104">
      <c r="BA1082" s="201" t="n">
        <v>0</v>
      </c>
    </row>
    <row r="1083" ht="15" customHeight="1" s="104">
      <c r="BA1083" s="201" t="n">
        <v>0</v>
      </c>
    </row>
    <row r="1084" ht="15" customHeight="1" s="104">
      <c r="BA1084" s="201" t="n">
        <v>0</v>
      </c>
    </row>
    <row r="1085" ht="15" customHeight="1" s="104">
      <c r="BA1085" s="201" t="n">
        <v>0</v>
      </c>
    </row>
    <row r="1086" ht="15" customHeight="1" s="104">
      <c r="BA1086" s="201" t="n">
        <v>0</v>
      </c>
    </row>
    <row r="1087" ht="15" customHeight="1" s="104">
      <c r="BA1087" s="201" t="n">
        <v>0</v>
      </c>
    </row>
    <row r="1088" ht="15" customHeight="1" s="104">
      <c r="BA1088" s="201" t="n">
        <v>0</v>
      </c>
    </row>
    <row r="1089" ht="15" customHeight="1" s="104">
      <c r="BA1089" s="201" t="n">
        <v>0</v>
      </c>
    </row>
    <row r="1090" ht="15" customHeight="1" s="104">
      <c r="BA1090" s="201" t="n">
        <v>0</v>
      </c>
    </row>
    <row r="1091" ht="15" customHeight="1" s="104">
      <c r="BA1091" s="201" t="n">
        <v>0</v>
      </c>
    </row>
    <row r="1092" ht="15" customHeight="1" s="104">
      <c r="BA1092" s="201" t="n">
        <v>0</v>
      </c>
    </row>
    <row r="1093" ht="15" customHeight="1" s="104">
      <c r="BA1093" s="201" t="n">
        <v>0</v>
      </c>
    </row>
    <row r="1094" ht="15" customHeight="1" s="104">
      <c r="BA1094" s="201" t="n">
        <v>0</v>
      </c>
    </row>
    <row r="1095" ht="15" customHeight="1" s="104">
      <c r="BA1095" s="201" t="n">
        <v>0</v>
      </c>
    </row>
    <row r="1096" ht="15" customHeight="1" s="104">
      <c r="BA1096" s="201" t="n">
        <v>0</v>
      </c>
    </row>
    <row r="1097" ht="15" customHeight="1" s="104">
      <c r="BA1097" s="201" t="n">
        <v>0</v>
      </c>
    </row>
    <row r="1098" ht="15" customHeight="1" s="104">
      <c r="BA1098" s="201" t="n">
        <v>0</v>
      </c>
    </row>
    <row r="1099" ht="15" customHeight="1" s="104">
      <c r="BA1099" s="201" t="n">
        <v>0</v>
      </c>
    </row>
    <row r="1100" ht="15" customHeight="1" s="104">
      <c r="BA1100" s="201" t="n">
        <v>0</v>
      </c>
    </row>
    <row r="1101" ht="15" customHeight="1" s="104">
      <c r="BA1101" s="201" t="n">
        <v>0</v>
      </c>
    </row>
    <row r="1102" ht="15" customHeight="1" s="104">
      <c r="BA1102" s="201" t="n">
        <v>0</v>
      </c>
    </row>
    <row r="1103" ht="15" customHeight="1" s="104">
      <c r="BA1103" s="201" t="n">
        <v>0</v>
      </c>
    </row>
    <row r="1104" ht="15" customHeight="1" s="104">
      <c r="BA1104" s="201" t="n">
        <v>0</v>
      </c>
    </row>
    <row r="1105" ht="15" customHeight="1" s="104">
      <c r="BA1105" s="201" t="n">
        <v>0</v>
      </c>
    </row>
    <row r="1106" ht="15" customHeight="1" s="104">
      <c r="BA1106" s="201" t="n">
        <v>0</v>
      </c>
    </row>
    <row r="1107" ht="15" customHeight="1" s="104">
      <c r="BA1107" s="201" t="n">
        <v>0</v>
      </c>
    </row>
    <row r="1108" ht="15" customHeight="1" s="104">
      <c r="BA1108" s="201" t="n">
        <v>0</v>
      </c>
    </row>
    <row r="1109" ht="15" customHeight="1" s="104">
      <c r="BA1109" s="201" t="n">
        <v>0</v>
      </c>
    </row>
    <row r="1110" ht="15" customHeight="1" s="104">
      <c r="BA1110" s="201" t="n">
        <v>0</v>
      </c>
    </row>
    <row r="1111" ht="15" customHeight="1" s="104">
      <c r="BA1111" s="201" t="n">
        <v>0</v>
      </c>
    </row>
    <row r="1112" ht="15" customHeight="1" s="104">
      <c r="BA1112" s="201" t="n">
        <v>0</v>
      </c>
    </row>
    <row r="1113" ht="15" customHeight="1" s="104">
      <c r="BA1113" s="201" t="n">
        <v>0</v>
      </c>
    </row>
    <row r="1114" ht="15" customHeight="1" s="104">
      <c r="BA1114" s="201" t="n">
        <v>0</v>
      </c>
    </row>
    <row r="1115" ht="15" customHeight="1" s="104">
      <c r="BA1115" s="201" t="n">
        <v>0</v>
      </c>
    </row>
    <row r="1116" ht="15" customHeight="1" s="104">
      <c r="BA1116" s="201" t="n">
        <v>0</v>
      </c>
    </row>
    <row r="1117" ht="15" customHeight="1" s="104">
      <c r="BA1117" s="201" t="n">
        <v>0</v>
      </c>
    </row>
    <row r="1118" ht="15" customHeight="1" s="104">
      <c r="BA1118" s="201" t="n">
        <v>0</v>
      </c>
    </row>
    <row r="1119" ht="15" customHeight="1" s="104">
      <c r="BA1119" s="201" t="n">
        <v>0</v>
      </c>
    </row>
    <row r="1120" ht="15" customHeight="1" s="104">
      <c r="BA1120" s="201" t="n">
        <v>0</v>
      </c>
    </row>
    <row r="1121" ht="15" customHeight="1" s="104">
      <c r="BA1121" s="201" t="n">
        <v>0</v>
      </c>
    </row>
    <row r="1122" ht="15" customHeight="1" s="104">
      <c r="BA1122" s="201" t="n">
        <v>0</v>
      </c>
    </row>
    <row r="1123" ht="15" customHeight="1" s="104">
      <c r="BA1123" s="201" t="n">
        <v>0</v>
      </c>
    </row>
    <row r="1124" ht="15" customHeight="1" s="104">
      <c r="BA1124" s="201" t="n">
        <v>0</v>
      </c>
    </row>
    <row r="1125" ht="15" customHeight="1" s="104">
      <c r="BA1125" s="201" t="n">
        <v>0</v>
      </c>
    </row>
    <row r="1126" ht="15" customHeight="1" s="104">
      <c r="BA1126" s="201" t="n">
        <v>0</v>
      </c>
    </row>
    <row r="1127" ht="15" customHeight="1" s="104">
      <c r="BA1127" s="201" t="n">
        <v>0</v>
      </c>
    </row>
    <row r="1128" ht="15" customHeight="1" s="104">
      <c r="BA1128" s="201" t="n">
        <v>0</v>
      </c>
    </row>
    <row r="1129" ht="15" customHeight="1" s="104">
      <c r="BA1129" s="201" t="n">
        <v>0</v>
      </c>
    </row>
    <row r="1130" ht="15" customHeight="1" s="104">
      <c r="BA1130" s="201" t="n">
        <v>0</v>
      </c>
    </row>
    <row r="1131" ht="15" customHeight="1" s="104">
      <c r="BA1131" s="201" t="n">
        <v>0</v>
      </c>
    </row>
    <row r="1132" ht="15" customHeight="1" s="104">
      <c r="BA1132" s="201" t="n">
        <v>0</v>
      </c>
    </row>
    <row r="1133" ht="15" customHeight="1" s="104">
      <c r="BA1133" s="201" t="n">
        <v>0</v>
      </c>
    </row>
    <row r="1134" ht="15" customHeight="1" s="104">
      <c r="BA1134" s="201" t="n">
        <v>0</v>
      </c>
    </row>
    <row r="1135" ht="15" customHeight="1" s="104">
      <c r="BA1135" s="201" t="n">
        <v>0</v>
      </c>
    </row>
    <row r="1136" ht="15" customHeight="1" s="104">
      <c r="BA1136" s="201" t="n">
        <v>0</v>
      </c>
    </row>
    <row r="1137" ht="15" customHeight="1" s="104">
      <c r="BA1137" s="201" t="n">
        <v>0</v>
      </c>
    </row>
    <row r="1138" ht="15" customHeight="1" s="104">
      <c r="BA1138" s="201" t="n">
        <v>0</v>
      </c>
    </row>
    <row r="1139" ht="15" customHeight="1" s="104">
      <c r="BA1139" s="201" t="n">
        <v>0</v>
      </c>
    </row>
    <row r="1140" ht="15" customHeight="1" s="104">
      <c r="BA1140" s="201" t="n">
        <v>0</v>
      </c>
    </row>
    <row r="1141" ht="15" customHeight="1" s="104">
      <c r="BA1141" s="201" t="n">
        <v>0</v>
      </c>
    </row>
    <row r="1142" ht="15" customHeight="1" s="104">
      <c r="BA1142" s="201" t="n">
        <v>0</v>
      </c>
    </row>
    <row r="1143" ht="15" customHeight="1" s="104">
      <c r="BA1143" s="201" t="n">
        <v>0</v>
      </c>
    </row>
    <row r="1144" ht="15" customHeight="1" s="104">
      <c r="BA1144" s="201" t="n">
        <v>0</v>
      </c>
    </row>
    <row r="1145" ht="15" customHeight="1" s="104">
      <c r="BA1145" s="201" t="n">
        <v>0</v>
      </c>
    </row>
    <row r="1146" ht="15" customHeight="1" s="104">
      <c r="BA1146" s="201" t="n">
        <v>0</v>
      </c>
    </row>
    <row r="1147" ht="15" customHeight="1" s="104">
      <c r="BA1147" s="201" t="n">
        <v>0</v>
      </c>
    </row>
    <row r="1148" ht="15" customHeight="1" s="104">
      <c r="BA1148" s="201" t="n">
        <v>0</v>
      </c>
    </row>
    <row r="1149" ht="15" customHeight="1" s="104">
      <c r="BA1149" s="201" t="n">
        <v>0</v>
      </c>
    </row>
    <row r="1150" ht="15" customHeight="1" s="104">
      <c r="BA1150" s="201" t="n">
        <v>0</v>
      </c>
    </row>
    <row r="1151" ht="15" customHeight="1" s="104">
      <c r="BA1151" s="201" t="n">
        <v>0</v>
      </c>
    </row>
    <row r="1152" ht="15" customHeight="1" s="104">
      <c r="BA1152" s="201" t="n">
        <v>0</v>
      </c>
    </row>
    <row r="1153" ht="15" customHeight="1" s="104">
      <c r="BA1153" s="201" t="n">
        <v>0</v>
      </c>
    </row>
    <row r="1154" ht="15" customHeight="1" s="104">
      <c r="BA1154" s="201" t="n">
        <v>0</v>
      </c>
    </row>
    <row r="1155" ht="15" customHeight="1" s="104">
      <c r="BA1155" s="201" t="n">
        <v>0</v>
      </c>
    </row>
    <row r="1156" ht="15" customHeight="1" s="104">
      <c r="BA1156" s="201" t="n">
        <v>0</v>
      </c>
    </row>
    <row r="1157" ht="15" customHeight="1" s="104">
      <c r="BA1157" s="201" t="n">
        <v>0</v>
      </c>
    </row>
    <row r="1158" ht="15" customHeight="1" s="104">
      <c r="BA1158" s="201" t="n">
        <v>0</v>
      </c>
    </row>
    <row r="1159" ht="15" customHeight="1" s="104">
      <c r="BA1159" s="201" t="n">
        <v>0</v>
      </c>
    </row>
    <row r="1160" ht="15" customHeight="1" s="104">
      <c r="BA1160" s="201" t="n">
        <v>0</v>
      </c>
    </row>
    <row r="1161" ht="15" customHeight="1" s="104">
      <c r="BA1161" s="201" t="n">
        <v>0</v>
      </c>
    </row>
    <row r="1162" ht="15" customHeight="1" s="104">
      <c r="BA1162" s="201" t="n">
        <v>0</v>
      </c>
    </row>
    <row r="1163" ht="15" customHeight="1" s="104">
      <c r="BA1163" s="201" t="n">
        <v>0</v>
      </c>
    </row>
    <row r="1164" ht="15" customHeight="1" s="104">
      <c r="BA1164" s="201" t="n">
        <v>0</v>
      </c>
    </row>
    <row r="1165" ht="15" customHeight="1" s="104">
      <c r="BA1165" s="201" t="n">
        <v>0</v>
      </c>
    </row>
    <row r="1166" ht="15" customHeight="1" s="104">
      <c r="BA1166" s="201" t="n">
        <v>0</v>
      </c>
    </row>
    <row r="1167" ht="15" customHeight="1" s="104">
      <c r="BA1167" s="201" t="n">
        <v>0</v>
      </c>
    </row>
    <row r="1168" ht="15" customHeight="1" s="104">
      <c r="BA1168" s="201" t="n">
        <v>0</v>
      </c>
    </row>
    <row r="1169" ht="15" customHeight="1" s="104">
      <c r="BA1169" s="201" t="n">
        <v>0</v>
      </c>
    </row>
    <row r="1170" ht="15" customHeight="1" s="104">
      <c r="BA1170" s="201" t="n">
        <v>0</v>
      </c>
    </row>
    <row r="1171" ht="15" customHeight="1" s="104">
      <c r="BA1171" s="201" t="n">
        <v>0</v>
      </c>
    </row>
    <row r="1172" ht="15" customHeight="1" s="104">
      <c r="BA1172" s="201" t="n">
        <v>0</v>
      </c>
    </row>
    <row r="1173" ht="15" customHeight="1" s="104">
      <c r="BA1173" s="201" t="n">
        <v>0</v>
      </c>
    </row>
    <row r="1174" ht="15" customHeight="1" s="104">
      <c r="BA1174" s="201" t="n">
        <v>0</v>
      </c>
    </row>
    <row r="1175" ht="15" customHeight="1" s="104">
      <c r="BA1175" s="201" t="n">
        <v>0</v>
      </c>
    </row>
    <row r="1176" ht="15" customHeight="1" s="104">
      <c r="BA1176" s="201" t="n">
        <v>0</v>
      </c>
    </row>
    <row r="1177" ht="15" customHeight="1" s="104">
      <c r="BA1177" s="201" t="n">
        <v>0</v>
      </c>
    </row>
    <row r="1178" ht="15" customHeight="1" s="104">
      <c r="BA1178" s="201" t="n">
        <v>0</v>
      </c>
    </row>
    <row r="1179" ht="15" customHeight="1" s="104">
      <c r="BA1179" s="201" t="n">
        <v>0</v>
      </c>
    </row>
    <row r="1180" ht="15" customHeight="1" s="104">
      <c r="BA1180" s="201" t="n">
        <v>0</v>
      </c>
    </row>
    <row r="1181" ht="15" customHeight="1" s="104">
      <c r="BA1181" s="201" t="n">
        <v>0</v>
      </c>
    </row>
    <row r="1182" ht="15" customHeight="1" s="104">
      <c r="BA1182" s="201" t="n">
        <v>0</v>
      </c>
    </row>
    <row r="1183" ht="15" customHeight="1" s="104">
      <c r="BA1183" s="201" t="n">
        <v>0</v>
      </c>
    </row>
    <row r="1184" ht="15" customHeight="1" s="104">
      <c r="BA1184" s="201" t="n">
        <v>0</v>
      </c>
    </row>
    <row r="1185" ht="15" customHeight="1" s="104">
      <c r="BA1185" s="201" t="n">
        <v>0</v>
      </c>
    </row>
    <row r="1186" ht="15" customHeight="1" s="104">
      <c r="BA1186" s="201" t="n">
        <v>0</v>
      </c>
    </row>
    <row r="1187" ht="15" customHeight="1" s="104">
      <c r="BA1187" s="201" t="n">
        <v>0</v>
      </c>
    </row>
    <row r="1188" ht="15" customHeight="1" s="104">
      <c r="BA1188" s="201" t="n">
        <v>0</v>
      </c>
    </row>
    <row r="1189" ht="15" customHeight="1" s="104">
      <c r="BA1189" s="201" t="n">
        <v>0</v>
      </c>
    </row>
    <row r="1190" ht="15" customHeight="1" s="104">
      <c r="BA1190" s="201" t="n">
        <v>0</v>
      </c>
    </row>
    <row r="1191" ht="15" customHeight="1" s="104">
      <c r="BA1191" s="201" t="n">
        <v>0</v>
      </c>
    </row>
    <row r="1192" ht="15" customHeight="1" s="104">
      <c r="BA1192" s="201" t="n">
        <v>0</v>
      </c>
    </row>
    <row r="1193" ht="15" customHeight="1" s="104">
      <c r="BA1193" s="201" t="n">
        <v>0</v>
      </c>
    </row>
    <row r="1194" ht="15" customHeight="1" s="104">
      <c r="BA1194" s="201" t="n">
        <v>0</v>
      </c>
    </row>
    <row r="1195" ht="15" customHeight="1" s="104">
      <c r="BA1195" s="201" t="n">
        <v>0</v>
      </c>
    </row>
    <row r="1196" ht="15" customHeight="1" s="104">
      <c r="BA1196" s="201" t="n">
        <v>0</v>
      </c>
    </row>
    <row r="1197" ht="15" customHeight="1" s="104">
      <c r="BA1197" s="201" t="n">
        <v>0</v>
      </c>
    </row>
    <row r="1198" ht="15" customHeight="1" s="104">
      <c r="BA1198" s="201" t="n">
        <v>0</v>
      </c>
    </row>
    <row r="1199" ht="15" customHeight="1" s="104">
      <c r="BA1199" s="201" t="n">
        <v>0</v>
      </c>
    </row>
    <row r="1200" ht="15" customHeight="1" s="104">
      <c r="BA1200" s="201" t="n">
        <v>0</v>
      </c>
    </row>
    <row r="1201" ht="15" customHeight="1" s="104">
      <c r="BA1201" s="201" t="n">
        <v>0</v>
      </c>
    </row>
    <row r="1202" ht="15" customHeight="1" s="104">
      <c r="BA1202" s="201" t="n">
        <v>0</v>
      </c>
    </row>
    <row r="1203" ht="15" customHeight="1" s="104">
      <c r="BA1203" s="201" t="n">
        <v>0</v>
      </c>
    </row>
    <row r="1204" ht="15" customHeight="1" s="104">
      <c r="BA1204" s="201" t="n">
        <v>0</v>
      </c>
    </row>
    <row r="1205" ht="15" customHeight="1" s="104">
      <c r="BA1205" s="201" t="n">
        <v>0</v>
      </c>
    </row>
    <row r="1206" ht="15" customHeight="1" s="104">
      <c r="BA1206" s="201" t="n">
        <v>0</v>
      </c>
    </row>
    <row r="1207" ht="15" customHeight="1" s="104">
      <c r="BA1207" s="201" t="n">
        <v>0</v>
      </c>
    </row>
    <row r="1208" ht="15" customHeight="1" s="104">
      <c r="BA1208" s="201" t="n">
        <v>0</v>
      </c>
    </row>
    <row r="1209" ht="15" customHeight="1" s="104">
      <c r="BA1209" s="201" t="n">
        <v>0</v>
      </c>
    </row>
    <row r="1210" ht="15" customHeight="1" s="104">
      <c r="BA1210" s="201" t="n">
        <v>0</v>
      </c>
    </row>
    <row r="1211" ht="15" customHeight="1" s="104">
      <c r="BA1211" s="201" t="n">
        <v>0</v>
      </c>
    </row>
    <row r="1212" ht="15" customHeight="1" s="104">
      <c r="BA1212" s="201" t="n">
        <v>0</v>
      </c>
    </row>
    <row r="1213" ht="15" customHeight="1" s="104">
      <c r="BA1213" s="201" t="n">
        <v>0</v>
      </c>
    </row>
    <row r="1214" ht="15" customHeight="1" s="104">
      <c r="BA1214" s="201" t="n">
        <v>0</v>
      </c>
    </row>
    <row r="1215" ht="15" customHeight="1" s="104">
      <c r="BA1215" s="201" t="n">
        <v>0</v>
      </c>
    </row>
    <row r="1216" ht="15" customHeight="1" s="104">
      <c r="BA1216" s="201" t="n">
        <v>0</v>
      </c>
    </row>
    <row r="1217" ht="15" customHeight="1" s="104">
      <c r="BA1217" s="201" t="n">
        <v>0</v>
      </c>
    </row>
    <row r="1218" ht="15" customHeight="1" s="104">
      <c r="BA1218" s="201" t="n">
        <v>0</v>
      </c>
    </row>
    <row r="1219" ht="15" customHeight="1" s="104">
      <c r="BA1219" s="201" t="n">
        <v>0</v>
      </c>
    </row>
    <row r="1220" ht="15" customHeight="1" s="104">
      <c r="BA1220" s="201" t="n">
        <v>0</v>
      </c>
    </row>
    <row r="1221" ht="15" customHeight="1" s="104">
      <c r="BA1221" s="201" t="n">
        <v>0</v>
      </c>
    </row>
    <row r="1222" ht="15" customHeight="1" s="104">
      <c r="BA1222" s="201" t="n">
        <v>0</v>
      </c>
    </row>
    <row r="1223" ht="15" customHeight="1" s="104">
      <c r="BA1223" s="201" t="n">
        <v>0</v>
      </c>
    </row>
    <row r="1224" ht="15" customHeight="1" s="104">
      <c r="BA1224" s="201" t="n">
        <v>0</v>
      </c>
    </row>
    <row r="1225" ht="15" customHeight="1" s="104">
      <c r="BA1225" s="201" t="n">
        <v>0</v>
      </c>
    </row>
    <row r="1226" ht="15" customHeight="1" s="104">
      <c r="BA1226" s="201" t="n">
        <v>0</v>
      </c>
    </row>
    <row r="1227" ht="15" customHeight="1" s="104">
      <c r="BA1227" s="201" t="n">
        <v>0</v>
      </c>
    </row>
    <row r="1228" ht="15" customHeight="1" s="104">
      <c r="BA1228" s="201" t="n">
        <v>0</v>
      </c>
    </row>
    <row r="1229" ht="15" customHeight="1" s="104">
      <c r="BA1229" s="201" t="n">
        <v>0</v>
      </c>
    </row>
    <row r="1230" ht="15" customHeight="1" s="104">
      <c r="BA1230" s="201" t="n">
        <v>0</v>
      </c>
    </row>
    <row r="1231" ht="15" customHeight="1" s="104">
      <c r="BA1231" s="201" t="n">
        <v>0</v>
      </c>
    </row>
    <row r="1232" ht="15" customHeight="1" s="104">
      <c r="BA1232" s="201" t="n">
        <v>0</v>
      </c>
    </row>
    <row r="1233" ht="15" customHeight="1" s="104">
      <c r="BA1233" s="201" t="n">
        <v>0</v>
      </c>
    </row>
    <row r="1234" ht="15" customHeight="1" s="104">
      <c r="BA1234" s="201" t="n">
        <v>0</v>
      </c>
    </row>
    <row r="1235" ht="15" customHeight="1" s="104">
      <c r="BA1235" s="201" t="n">
        <v>0</v>
      </c>
    </row>
    <row r="1236" ht="15" customHeight="1" s="104">
      <c r="BA1236" s="201" t="n">
        <v>0</v>
      </c>
    </row>
    <row r="1237" ht="15" customHeight="1" s="104">
      <c r="BA1237" s="201" t="n">
        <v>0</v>
      </c>
    </row>
    <row r="1238" ht="15" customHeight="1" s="104">
      <c r="BA1238" s="201" t="n">
        <v>0</v>
      </c>
    </row>
    <row r="1239" ht="15" customHeight="1" s="104">
      <c r="BA1239" s="201" t="n">
        <v>0</v>
      </c>
    </row>
    <row r="1240" ht="15" customHeight="1" s="104">
      <c r="BA1240" s="201" t="n">
        <v>0</v>
      </c>
    </row>
    <row r="1241" ht="15" customHeight="1" s="104">
      <c r="BA1241" s="201" t="n">
        <v>0</v>
      </c>
    </row>
    <row r="1242" ht="15" customHeight="1" s="104">
      <c r="BA1242" s="201" t="n">
        <v>0</v>
      </c>
    </row>
    <row r="1243" ht="15" customHeight="1" s="104">
      <c r="BA1243" s="201" t="n">
        <v>0</v>
      </c>
    </row>
    <row r="1244" ht="15" customHeight="1" s="104">
      <c r="BA1244" s="201" t="n">
        <v>0</v>
      </c>
    </row>
    <row r="1245" ht="15" customHeight="1" s="104">
      <c r="BA1245" s="201" t="n">
        <v>0</v>
      </c>
    </row>
    <row r="1246" ht="15" customHeight="1" s="104">
      <c r="BA1246" s="201" t="n">
        <v>0</v>
      </c>
    </row>
    <row r="1247" ht="15" customHeight="1" s="104">
      <c r="BA1247" s="201" t="n">
        <v>0</v>
      </c>
    </row>
    <row r="1248" ht="15" customHeight="1" s="104">
      <c r="BA1248" s="201" t="n">
        <v>0</v>
      </c>
    </row>
    <row r="1249" ht="15" customHeight="1" s="104">
      <c r="BA1249" s="201" t="n">
        <v>0</v>
      </c>
    </row>
    <row r="1250" ht="15" customHeight="1" s="104">
      <c r="BA1250" s="201" t="n">
        <v>0</v>
      </c>
    </row>
    <row r="1251" ht="15" customHeight="1" s="104">
      <c r="BA1251" s="201" t="n">
        <v>0</v>
      </c>
    </row>
    <row r="1252" ht="15" customHeight="1" s="104">
      <c r="BA1252" s="201" t="n">
        <v>0</v>
      </c>
    </row>
    <row r="1253" ht="15" customHeight="1" s="104">
      <c r="BA1253" s="201" t="n">
        <v>0</v>
      </c>
    </row>
    <row r="1254" ht="15" customHeight="1" s="104">
      <c r="BA1254" s="201" t="n">
        <v>0</v>
      </c>
    </row>
    <row r="1255" ht="15" customHeight="1" s="104">
      <c r="BA1255" s="201" t="n">
        <v>0</v>
      </c>
    </row>
    <row r="1256" ht="15" customHeight="1" s="104">
      <c r="BA1256" s="201" t="n">
        <v>0</v>
      </c>
    </row>
    <row r="1257" ht="15" customHeight="1" s="104">
      <c r="BA1257" s="201" t="n">
        <v>0</v>
      </c>
    </row>
    <row r="1258" ht="15" customHeight="1" s="104">
      <c r="BA1258" s="201" t="n">
        <v>0</v>
      </c>
    </row>
    <row r="1259" ht="15" customHeight="1" s="104">
      <c r="BA1259" s="201" t="n">
        <v>0</v>
      </c>
    </row>
    <row r="1260" ht="15" customHeight="1" s="104">
      <c r="BA1260" s="201" t="n">
        <v>0</v>
      </c>
    </row>
    <row r="1261" ht="15" customHeight="1" s="104">
      <c r="BA1261" s="201" t="n">
        <v>0</v>
      </c>
    </row>
    <row r="1262" ht="15" customHeight="1" s="104">
      <c r="BA1262" s="201" t="n">
        <v>0</v>
      </c>
    </row>
    <row r="1263" ht="15" customHeight="1" s="104">
      <c r="BA1263" s="201" t="n">
        <v>0</v>
      </c>
    </row>
    <row r="1264" ht="15" customHeight="1" s="104">
      <c r="BA1264" s="201" t="n">
        <v>0</v>
      </c>
    </row>
    <row r="1265" ht="15" customHeight="1" s="104">
      <c r="BA1265" s="201" t="n">
        <v>0</v>
      </c>
    </row>
    <row r="1266" ht="15" customHeight="1" s="104">
      <c r="BA1266" s="201" t="n">
        <v>0</v>
      </c>
    </row>
    <row r="1267" ht="15" customHeight="1" s="104">
      <c r="BA1267" s="201" t="n">
        <v>0</v>
      </c>
    </row>
    <row r="1268" ht="15" customHeight="1" s="104">
      <c r="BA1268" s="201" t="n">
        <v>0</v>
      </c>
    </row>
    <row r="1269" ht="15" customHeight="1" s="104">
      <c r="BA1269" s="201" t="n">
        <v>0</v>
      </c>
    </row>
    <row r="1270" ht="15" customHeight="1" s="104">
      <c r="BA1270" s="201" t="n">
        <v>0</v>
      </c>
    </row>
    <row r="1271" ht="15" customHeight="1" s="104">
      <c r="BA1271" s="201" t="n">
        <v>0</v>
      </c>
    </row>
    <row r="1272" ht="15" customHeight="1" s="104">
      <c r="BA1272" s="201" t="n">
        <v>0</v>
      </c>
    </row>
    <row r="1273" ht="15" customHeight="1" s="104">
      <c r="BA1273" s="201" t="n">
        <v>0</v>
      </c>
    </row>
    <row r="1274" ht="15" customHeight="1" s="104">
      <c r="BA1274" s="201" t="n">
        <v>0</v>
      </c>
    </row>
    <row r="1275" ht="15" customHeight="1" s="104">
      <c r="BA1275" s="201" t="n">
        <v>0</v>
      </c>
    </row>
    <row r="1276" ht="15" customHeight="1" s="104">
      <c r="BA1276" s="201" t="n">
        <v>0</v>
      </c>
    </row>
    <row r="1277" ht="15" customHeight="1" s="104">
      <c r="BA1277" s="201" t="n">
        <v>0</v>
      </c>
    </row>
    <row r="1278" ht="15" customHeight="1" s="104">
      <c r="BA1278" s="201" t="n">
        <v>0</v>
      </c>
    </row>
    <row r="1279" ht="15" customHeight="1" s="104">
      <c r="BA1279" s="201" t="n">
        <v>0</v>
      </c>
    </row>
    <row r="1280" ht="15" customHeight="1" s="104">
      <c r="BA1280" s="201" t="n">
        <v>0</v>
      </c>
    </row>
    <row r="1281" ht="15" customHeight="1" s="104">
      <c r="BA1281" s="201" t="n">
        <v>0</v>
      </c>
    </row>
    <row r="1282" ht="15" customHeight="1" s="104">
      <c r="BA1282" s="201" t="n">
        <v>0</v>
      </c>
    </row>
    <row r="1283" ht="15" customHeight="1" s="104">
      <c r="BA1283" s="201" t="n">
        <v>0</v>
      </c>
    </row>
    <row r="1284" ht="15" customHeight="1" s="104">
      <c r="BA1284" s="201" t="n">
        <v>0</v>
      </c>
    </row>
    <row r="1285" ht="15" customHeight="1" s="104">
      <c r="BA1285" s="201" t="n">
        <v>0</v>
      </c>
    </row>
    <row r="1286" ht="15" customHeight="1" s="104">
      <c r="BA1286" s="201" t="n">
        <v>0</v>
      </c>
    </row>
    <row r="1287" ht="15" customHeight="1" s="104">
      <c r="BA1287" s="201" t="n">
        <v>0</v>
      </c>
    </row>
    <row r="1288" ht="15" customHeight="1" s="104">
      <c r="BA1288" s="201" t="n">
        <v>0</v>
      </c>
    </row>
    <row r="1289" ht="15" customHeight="1" s="104">
      <c r="BA1289" s="201" t="n">
        <v>0</v>
      </c>
    </row>
    <row r="1290" ht="15" customHeight="1" s="104">
      <c r="BA1290" s="201" t="n">
        <v>0</v>
      </c>
    </row>
    <row r="1291" ht="15" customHeight="1" s="104">
      <c r="BA1291" s="201" t="n">
        <v>0</v>
      </c>
    </row>
    <row r="1292" ht="15" customHeight="1" s="104">
      <c r="BA1292" s="201" t="n">
        <v>0</v>
      </c>
    </row>
    <row r="1293" ht="15" customHeight="1" s="104">
      <c r="BA1293" s="201" t="n">
        <v>0</v>
      </c>
    </row>
    <row r="1294" ht="15" customHeight="1" s="104">
      <c r="BA1294" s="201" t="n">
        <v>0</v>
      </c>
    </row>
    <row r="1295" ht="15" customHeight="1" s="104">
      <c r="BA1295" s="201" t="n">
        <v>0</v>
      </c>
    </row>
    <row r="1296" ht="15" customHeight="1" s="104">
      <c r="BA1296" s="201" t="n">
        <v>0</v>
      </c>
    </row>
    <row r="1297" ht="15" customHeight="1" s="104">
      <c r="BA1297" s="201" t="n">
        <v>0</v>
      </c>
    </row>
    <row r="1298" ht="15" customHeight="1" s="104">
      <c r="BA1298" s="201" t="n">
        <v>0</v>
      </c>
    </row>
    <row r="1299" ht="15" customHeight="1" s="104">
      <c r="BA1299" s="201" t="n">
        <v>0</v>
      </c>
    </row>
    <row r="1300" ht="15" customHeight="1" s="104">
      <c r="BA1300" s="201" t="n">
        <v>0</v>
      </c>
    </row>
    <row r="1301" ht="15" customHeight="1" s="104">
      <c r="BA1301" s="201" t="n">
        <v>0</v>
      </c>
    </row>
    <row r="1302" ht="15" customHeight="1" s="104">
      <c r="BA1302" s="201" t="n">
        <v>0</v>
      </c>
    </row>
    <row r="1303" ht="15" customHeight="1" s="104">
      <c r="BA1303" s="201" t="n">
        <v>0</v>
      </c>
    </row>
    <row r="1304" ht="15" customHeight="1" s="104">
      <c r="BA1304" s="201" t="n">
        <v>0</v>
      </c>
    </row>
    <row r="1305" ht="15" customHeight="1" s="104">
      <c r="BA1305" s="201" t="n">
        <v>0</v>
      </c>
    </row>
    <row r="1306" ht="15" customHeight="1" s="104">
      <c r="BA1306" s="201" t="n">
        <v>0</v>
      </c>
    </row>
    <row r="1307" ht="15" customHeight="1" s="104">
      <c r="BA1307" s="201" t="n">
        <v>0</v>
      </c>
    </row>
    <row r="1308" ht="15" customHeight="1" s="104">
      <c r="BA1308" s="201" t="n">
        <v>0</v>
      </c>
    </row>
    <row r="1309" ht="15" customHeight="1" s="104">
      <c r="BA1309" s="201" t="n">
        <v>0</v>
      </c>
    </row>
    <row r="1310" ht="15" customHeight="1" s="104">
      <c r="BA1310" s="201" t="n">
        <v>0</v>
      </c>
    </row>
    <row r="1311" ht="15" customHeight="1" s="104">
      <c r="BA1311" s="201" t="n">
        <v>0</v>
      </c>
    </row>
    <row r="1312" ht="15" customHeight="1" s="104">
      <c r="BA1312" s="201" t="n">
        <v>0</v>
      </c>
    </row>
    <row r="1313" ht="15" customHeight="1" s="104">
      <c r="BA1313" s="201" t="n">
        <v>0</v>
      </c>
    </row>
    <row r="1314" ht="15" customHeight="1" s="104">
      <c r="BA1314" s="201" t="n">
        <v>0</v>
      </c>
    </row>
    <row r="1315" ht="15" customHeight="1" s="104">
      <c r="BA1315" s="201" t="n">
        <v>0</v>
      </c>
    </row>
    <row r="1316" ht="15" customHeight="1" s="104">
      <c r="BA1316" s="201" t="n">
        <v>0</v>
      </c>
    </row>
    <row r="1317" ht="15" customHeight="1" s="104">
      <c r="BA1317" s="201" t="n">
        <v>0</v>
      </c>
    </row>
    <row r="1318" ht="15" customHeight="1" s="104">
      <c r="BA1318" s="201" t="n">
        <v>0</v>
      </c>
    </row>
    <row r="1319" ht="15" customHeight="1" s="104">
      <c r="BA1319" s="201" t="n">
        <v>0</v>
      </c>
    </row>
    <row r="1320" ht="15" customHeight="1" s="104">
      <c r="BA1320" s="201" t="n">
        <v>0</v>
      </c>
    </row>
    <row r="1321" ht="15" customHeight="1" s="104">
      <c r="BA1321" s="201" t="n">
        <v>0</v>
      </c>
    </row>
    <row r="1322" ht="15" customHeight="1" s="104">
      <c r="BA1322" s="201" t="n">
        <v>0</v>
      </c>
    </row>
    <row r="1323" ht="15" customHeight="1" s="104">
      <c r="BA1323" s="201" t="n">
        <v>0</v>
      </c>
    </row>
    <row r="1324" ht="15" customHeight="1" s="104">
      <c r="BA1324" s="201" t="n">
        <v>0</v>
      </c>
    </row>
    <row r="1325" ht="15" customHeight="1" s="104">
      <c r="BA1325" s="201" t="n">
        <v>0</v>
      </c>
    </row>
    <row r="1326" ht="15" customHeight="1" s="104">
      <c r="BA1326" s="201" t="n">
        <v>0</v>
      </c>
    </row>
    <row r="1327" ht="15" customHeight="1" s="104">
      <c r="BA1327" s="201" t="n">
        <v>0</v>
      </c>
    </row>
    <row r="1328" ht="15" customHeight="1" s="104">
      <c r="BA1328" s="201" t="n">
        <v>0</v>
      </c>
    </row>
    <row r="1329" ht="15" customHeight="1" s="104">
      <c r="BA1329" s="201" t="n">
        <v>0</v>
      </c>
    </row>
    <row r="1330" ht="15" customHeight="1" s="104">
      <c r="BA1330" s="201" t="n">
        <v>0</v>
      </c>
    </row>
    <row r="1331" ht="15" customHeight="1" s="104">
      <c r="BA1331" s="201" t="n">
        <v>0</v>
      </c>
    </row>
    <row r="1332" ht="15" customHeight="1" s="104">
      <c r="BA1332" s="201" t="n">
        <v>0</v>
      </c>
    </row>
    <row r="1333" ht="15" customHeight="1" s="104">
      <c r="BA1333" s="201" t="n">
        <v>0</v>
      </c>
    </row>
    <row r="1334" ht="15" customHeight="1" s="104">
      <c r="BA1334" s="201" t="n">
        <v>0</v>
      </c>
    </row>
    <row r="1335" ht="15" customHeight="1" s="104">
      <c r="BA1335" s="201" t="n">
        <v>0</v>
      </c>
    </row>
    <row r="1336" ht="15" customHeight="1" s="104">
      <c r="BA1336" s="201" t="n">
        <v>0</v>
      </c>
    </row>
    <row r="1337" ht="15" customHeight="1" s="104">
      <c r="BA1337" s="201" t="n">
        <v>0</v>
      </c>
    </row>
    <row r="1338" ht="15" customHeight="1" s="104">
      <c r="BA1338" s="201" t="n">
        <v>0</v>
      </c>
    </row>
    <row r="1339" ht="15" customHeight="1" s="104">
      <c r="BA1339" s="201" t="n">
        <v>0</v>
      </c>
    </row>
    <row r="1340" ht="15" customHeight="1" s="104">
      <c r="BA1340" s="201" t="n">
        <v>0</v>
      </c>
    </row>
    <row r="1341" ht="15" customHeight="1" s="104">
      <c r="BA1341" s="201" t="n">
        <v>0</v>
      </c>
    </row>
    <row r="1342" ht="15" customHeight="1" s="104">
      <c r="BA1342" s="201" t="n">
        <v>0</v>
      </c>
    </row>
    <row r="1343" ht="15" customHeight="1" s="104">
      <c r="BA1343" s="201" t="n">
        <v>0</v>
      </c>
    </row>
    <row r="1344" ht="15" customHeight="1" s="104">
      <c r="BA1344" s="201" t="n">
        <v>0</v>
      </c>
    </row>
    <row r="1345" ht="15" customHeight="1" s="104">
      <c r="BA1345" s="201" t="n">
        <v>0</v>
      </c>
    </row>
    <row r="1346" ht="15" customHeight="1" s="104">
      <c r="BA1346" s="201" t="n">
        <v>0</v>
      </c>
    </row>
    <row r="1347" ht="15" customHeight="1" s="104">
      <c r="BA1347" s="201" t="n">
        <v>0</v>
      </c>
    </row>
    <row r="1348" ht="15" customHeight="1" s="104">
      <c r="BA1348" s="201" t="n">
        <v>0</v>
      </c>
    </row>
    <row r="1349" ht="15" customHeight="1" s="104">
      <c r="BA1349" s="201" t="n">
        <v>0</v>
      </c>
    </row>
    <row r="1350" ht="15" customHeight="1" s="104">
      <c r="BA1350" s="201" t="n">
        <v>0</v>
      </c>
    </row>
    <row r="1351" ht="15" customHeight="1" s="104">
      <c r="BA1351" s="201" t="n">
        <v>0</v>
      </c>
    </row>
    <row r="1352" ht="15" customHeight="1" s="104">
      <c r="BA1352" s="201" t="n">
        <v>0</v>
      </c>
    </row>
    <row r="1353" ht="15" customHeight="1" s="104">
      <c r="BA1353" s="201" t="n">
        <v>0</v>
      </c>
    </row>
    <row r="1354" ht="15" customHeight="1" s="104">
      <c r="BA1354" s="201" t="n">
        <v>0</v>
      </c>
    </row>
    <row r="1355" ht="15" customHeight="1" s="104">
      <c r="BA1355" s="201" t="n">
        <v>0</v>
      </c>
    </row>
    <row r="1356" ht="15" customHeight="1" s="104">
      <c r="BA1356" s="201" t="n">
        <v>0</v>
      </c>
    </row>
    <row r="1357" ht="15" customHeight="1" s="104">
      <c r="BA1357" s="201" t="n">
        <v>0</v>
      </c>
    </row>
    <row r="1358" ht="15" customHeight="1" s="104">
      <c r="BA1358" s="201" t="n">
        <v>0</v>
      </c>
    </row>
    <row r="1359" ht="15" customHeight="1" s="104">
      <c r="BA1359" s="201" t="n">
        <v>0</v>
      </c>
    </row>
    <row r="1360" ht="15" customHeight="1" s="104">
      <c r="BA1360" s="201" t="n">
        <v>0</v>
      </c>
    </row>
    <row r="1361" ht="15" customHeight="1" s="104">
      <c r="BA1361" s="201" t="n">
        <v>0</v>
      </c>
    </row>
    <row r="1362" ht="15" customHeight="1" s="104">
      <c r="BA1362" s="201" t="n">
        <v>0</v>
      </c>
    </row>
    <row r="1363" ht="15" customHeight="1" s="104">
      <c r="BA1363" s="201" t="n">
        <v>0</v>
      </c>
    </row>
    <row r="1364" ht="15" customHeight="1" s="104">
      <c r="BA1364" s="201" t="n">
        <v>0</v>
      </c>
    </row>
    <row r="1365" ht="15" customHeight="1" s="104">
      <c r="BA1365" s="201" t="n">
        <v>0</v>
      </c>
    </row>
    <row r="1366" ht="15" customHeight="1" s="104">
      <c r="BA1366" s="201" t="n">
        <v>0</v>
      </c>
    </row>
    <row r="1367" ht="15" customHeight="1" s="104">
      <c r="BA1367" s="201" t="n">
        <v>0</v>
      </c>
    </row>
    <row r="1368" ht="15" customHeight="1" s="104">
      <c r="BA1368" s="201" t="n">
        <v>0</v>
      </c>
    </row>
    <row r="1369" ht="15" customHeight="1" s="104">
      <c r="BA1369" s="201" t="n">
        <v>0</v>
      </c>
    </row>
    <row r="1370" ht="15" customHeight="1" s="104">
      <c r="BA1370" s="201" t="n">
        <v>0</v>
      </c>
    </row>
    <row r="1371" ht="15" customHeight="1" s="104">
      <c r="BA1371" s="201" t="n">
        <v>0</v>
      </c>
    </row>
    <row r="1372" ht="15" customHeight="1" s="104">
      <c r="BA1372" s="201" t="n">
        <v>0</v>
      </c>
    </row>
    <row r="1373" ht="15" customHeight="1" s="104">
      <c r="BA1373" s="201" t="n">
        <v>0</v>
      </c>
    </row>
    <row r="1374" ht="15" customHeight="1" s="104">
      <c r="BA1374" s="201" t="n">
        <v>0</v>
      </c>
    </row>
    <row r="1375" ht="15" customHeight="1" s="104">
      <c r="BA1375" s="201" t="n">
        <v>0</v>
      </c>
    </row>
    <row r="1376" ht="15" customHeight="1" s="104">
      <c r="BA1376" s="201" t="n">
        <v>0</v>
      </c>
    </row>
    <row r="1377" ht="15" customHeight="1" s="104">
      <c r="BA1377" s="201" t="n">
        <v>0</v>
      </c>
    </row>
    <row r="1378" ht="15" customHeight="1" s="104">
      <c r="BA1378" s="201" t="n">
        <v>0</v>
      </c>
    </row>
    <row r="1379" ht="15" customHeight="1" s="104">
      <c r="BA1379" s="201" t="n">
        <v>0</v>
      </c>
    </row>
    <row r="1380" ht="15" customHeight="1" s="104">
      <c r="BA1380" s="201" t="n">
        <v>0</v>
      </c>
    </row>
    <row r="1381" ht="15" customHeight="1" s="104">
      <c r="BA1381" s="201" t="n">
        <v>0</v>
      </c>
    </row>
    <row r="1382" ht="15" customHeight="1" s="104">
      <c r="BA1382" s="201" t="n">
        <v>0</v>
      </c>
    </row>
    <row r="1383" ht="15" customHeight="1" s="104">
      <c r="BA1383" s="201" t="n">
        <v>0</v>
      </c>
    </row>
    <row r="1384" ht="15" customHeight="1" s="104">
      <c r="BA1384" s="201" t="n">
        <v>0</v>
      </c>
    </row>
    <row r="1385" ht="15" customHeight="1" s="104">
      <c r="BA1385" s="201" t="n">
        <v>0</v>
      </c>
    </row>
    <row r="1386" ht="15" customHeight="1" s="104">
      <c r="BA1386" s="201" t="n">
        <v>0</v>
      </c>
    </row>
    <row r="1387" ht="15" customHeight="1" s="104">
      <c r="BA1387" s="201" t="n">
        <v>0</v>
      </c>
    </row>
    <row r="1388" ht="15" customHeight="1" s="104">
      <c r="BA1388" s="201" t="n">
        <v>0</v>
      </c>
    </row>
    <row r="1389" ht="15" customHeight="1" s="104">
      <c r="BA1389" s="201" t="n">
        <v>0</v>
      </c>
    </row>
    <row r="1390" ht="15" customHeight="1" s="104">
      <c r="BA1390" s="201" t="n">
        <v>0</v>
      </c>
    </row>
    <row r="1391" ht="15" customHeight="1" s="104">
      <c r="BA1391" s="201" t="n">
        <v>0</v>
      </c>
    </row>
    <row r="1392" ht="15" customHeight="1" s="104">
      <c r="BA1392" s="201" t="n">
        <v>0</v>
      </c>
    </row>
    <row r="1393" ht="15" customHeight="1" s="104">
      <c r="BA1393" s="201" t="n">
        <v>0</v>
      </c>
    </row>
    <row r="1394" ht="15" customHeight="1" s="104">
      <c r="BA1394" s="201" t="n">
        <v>0</v>
      </c>
    </row>
    <row r="1395" ht="15" customHeight="1" s="104">
      <c r="BA1395" s="201" t="n">
        <v>0</v>
      </c>
    </row>
    <row r="1396" ht="15" customHeight="1" s="104">
      <c r="BA1396" s="201" t="n">
        <v>0</v>
      </c>
    </row>
    <row r="1397" ht="15" customHeight="1" s="104">
      <c r="BA1397" s="201" t="n">
        <v>0</v>
      </c>
    </row>
    <row r="1398" ht="15" customHeight="1" s="104">
      <c r="BA1398" s="201" t="n">
        <v>0</v>
      </c>
    </row>
    <row r="1399" ht="15" customHeight="1" s="104">
      <c r="BA1399" s="201" t="n">
        <v>0</v>
      </c>
    </row>
    <row r="1400" ht="15" customHeight="1" s="104">
      <c r="BA1400" s="201" t="n">
        <v>0</v>
      </c>
    </row>
    <row r="1401" ht="15" customHeight="1" s="104">
      <c r="BA1401" s="201" t="n">
        <v>0</v>
      </c>
    </row>
    <row r="1402" ht="15" customHeight="1" s="104">
      <c r="BA1402" s="201" t="n">
        <v>0</v>
      </c>
    </row>
    <row r="1403" ht="15" customHeight="1" s="104">
      <c r="BA1403" s="201" t="n">
        <v>0</v>
      </c>
    </row>
    <row r="1404" ht="15" customHeight="1" s="104">
      <c r="BA1404" s="201" t="n">
        <v>0</v>
      </c>
    </row>
    <row r="1405" ht="15" customHeight="1" s="104">
      <c r="BA1405" s="201" t="n">
        <v>0</v>
      </c>
    </row>
    <row r="1406" ht="15" customHeight="1" s="104">
      <c r="BA1406" s="201" t="n">
        <v>0</v>
      </c>
    </row>
    <row r="1407" ht="15" customHeight="1" s="104">
      <c r="BA1407" s="201" t="n">
        <v>0</v>
      </c>
    </row>
    <row r="1408" ht="15" customHeight="1" s="104">
      <c r="BA1408" s="201" t="n">
        <v>0</v>
      </c>
    </row>
    <row r="1409" ht="15" customHeight="1" s="104">
      <c r="BA1409" s="201" t="n">
        <v>0</v>
      </c>
    </row>
    <row r="1410" ht="15" customHeight="1" s="104">
      <c r="BA1410" s="201" t="n">
        <v>0</v>
      </c>
    </row>
    <row r="1411" ht="15" customHeight="1" s="104">
      <c r="BA1411" s="201" t="n">
        <v>0</v>
      </c>
    </row>
    <row r="1412" ht="15" customHeight="1" s="104">
      <c r="BA1412" s="201" t="n">
        <v>0</v>
      </c>
    </row>
    <row r="1413" ht="15" customHeight="1" s="104">
      <c r="BA1413" s="201" t="n">
        <v>0</v>
      </c>
    </row>
    <row r="1414" ht="15" customHeight="1" s="104">
      <c r="BA1414" s="201" t="n">
        <v>0</v>
      </c>
    </row>
    <row r="1415" ht="15" customHeight="1" s="104">
      <c r="BA1415" s="201" t="n">
        <v>0</v>
      </c>
    </row>
    <row r="1416" ht="15" customHeight="1" s="104">
      <c r="BA1416" s="201" t="n">
        <v>0</v>
      </c>
    </row>
    <row r="1417" ht="15" customHeight="1" s="104">
      <c r="BA1417" s="201" t="n">
        <v>0</v>
      </c>
    </row>
    <row r="1418" ht="15" customHeight="1" s="104">
      <c r="BA1418" s="201" t="n">
        <v>0</v>
      </c>
    </row>
    <row r="1419" ht="15" customHeight="1" s="104">
      <c r="BA1419" s="201" t="n">
        <v>0</v>
      </c>
    </row>
    <row r="1420" ht="15" customHeight="1" s="104">
      <c r="BA1420" s="201" t="n">
        <v>0</v>
      </c>
    </row>
    <row r="1421" ht="15" customHeight="1" s="104">
      <c r="BA1421" s="201" t="n">
        <v>0</v>
      </c>
    </row>
    <row r="1422" ht="15" customHeight="1" s="104">
      <c r="BA1422" s="201" t="n">
        <v>0</v>
      </c>
    </row>
    <row r="1423" ht="15" customHeight="1" s="104">
      <c r="BA1423" s="201" t="n">
        <v>0</v>
      </c>
    </row>
    <row r="1424" ht="15" customHeight="1" s="104">
      <c r="BA1424" s="201" t="n">
        <v>0</v>
      </c>
    </row>
    <row r="1425" ht="15" customHeight="1" s="104">
      <c r="BA1425" s="201" t="n">
        <v>0</v>
      </c>
    </row>
    <row r="1426" ht="15" customHeight="1" s="104">
      <c r="BA1426" s="201" t="n">
        <v>0</v>
      </c>
    </row>
    <row r="1427" ht="15" customHeight="1" s="104">
      <c r="BA1427" s="201" t="n">
        <v>0</v>
      </c>
    </row>
    <row r="1428" ht="15" customHeight="1" s="104">
      <c r="BA1428" s="201" t="n">
        <v>0</v>
      </c>
    </row>
    <row r="1429" ht="15" customHeight="1" s="104">
      <c r="BA1429" s="201" t="n">
        <v>0</v>
      </c>
    </row>
    <row r="1430" ht="15" customHeight="1" s="104">
      <c r="BA1430" s="201" t="n">
        <v>0</v>
      </c>
    </row>
    <row r="1431" ht="15" customHeight="1" s="104">
      <c r="BA1431" s="201" t="n">
        <v>0</v>
      </c>
    </row>
    <row r="1432" ht="15" customHeight="1" s="104">
      <c r="BA1432" s="201" t="n">
        <v>0</v>
      </c>
    </row>
    <row r="1433" ht="15" customHeight="1" s="104">
      <c r="BA1433" s="201" t="n">
        <v>0</v>
      </c>
    </row>
    <row r="1434" ht="15" customHeight="1" s="104">
      <c r="BA1434" s="201" t="n">
        <v>0</v>
      </c>
    </row>
    <row r="1435" ht="15" customHeight="1" s="104">
      <c r="BA1435" s="201" t="n">
        <v>0</v>
      </c>
    </row>
    <row r="1436" ht="15" customHeight="1" s="104">
      <c r="BA1436" s="201" t="n">
        <v>0</v>
      </c>
    </row>
    <row r="1437" ht="15" customHeight="1" s="104">
      <c r="BA1437" s="201" t="n">
        <v>0</v>
      </c>
    </row>
    <row r="1438" ht="15" customHeight="1" s="104">
      <c r="BA1438" s="201" t="n">
        <v>0</v>
      </c>
    </row>
    <row r="1439" ht="15" customHeight="1" s="104">
      <c r="BA1439" s="201" t="n">
        <v>0</v>
      </c>
    </row>
    <row r="1440" ht="15" customHeight="1" s="104">
      <c r="BA1440" s="201" t="n">
        <v>0</v>
      </c>
    </row>
    <row r="1441" ht="15" customHeight="1" s="104">
      <c r="BA1441" s="201" t="n">
        <v>0</v>
      </c>
    </row>
    <row r="1442" ht="15" customHeight="1" s="104">
      <c r="BA1442" s="201" t="n">
        <v>0</v>
      </c>
    </row>
    <row r="1443" ht="15" customHeight="1" s="104">
      <c r="BA1443" s="201" t="n">
        <v>0</v>
      </c>
    </row>
    <row r="1444" ht="15" customHeight="1" s="104">
      <c r="BA1444" s="201" t="n">
        <v>0</v>
      </c>
    </row>
    <row r="1445" ht="15" customHeight="1" s="104">
      <c r="BA1445" s="201" t="n">
        <v>0</v>
      </c>
    </row>
    <row r="1446" ht="15" customHeight="1" s="104">
      <c r="BA1446" s="201" t="n">
        <v>0</v>
      </c>
    </row>
    <row r="1447" ht="15" customHeight="1" s="104">
      <c r="BA1447" s="201" t="n">
        <v>0</v>
      </c>
    </row>
    <row r="1448" ht="15" customHeight="1" s="104">
      <c r="BA1448" s="201" t="n">
        <v>0</v>
      </c>
    </row>
    <row r="1449" ht="15" customHeight="1" s="104">
      <c r="BA1449" s="201" t="n">
        <v>0</v>
      </c>
    </row>
    <row r="1450" ht="15" customHeight="1" s="104">
      <c r="BA1450" s="201" t="n">
        <v>0</v>
      </c>
    </row>
    <row r="1451" ht="15" customHeight="1" s="104">
      <c r="BA1451" s="201" t="n">
        <v>0</v>
      </c>
    </row>
    <row r="1452" ht="15" customHeight="1" s="104">
      <c r="BA1452" s="201" t="n">
        <v>0</v>
      </c>
    </row>
    <row r="1453" ht="15" customHeight="1" s="104">
      <c r="BA1453" s="201" t="n">
        <v>0</v>
      </c>
    </row>
    <row r="1454" ht="15" customHeight="1" s="104">
      <c r="BA1454" s="201" t="n">
        <v>0</v>
      </c>
    </row>
    <row r="1455" ht="15" customHeight="1" s="104">
      <c r="BA1455" s="201" t="n">
        <v>0</v>
      </c>
    </row>
    <row r="1456" ht="15" customHeight="1" s="104">
      <c r="BA1456" s="201" t="n">
        <v>0</v>
      </c>
    </row>
    <row r="1457" ht="15" customHeight="1" s="104">
      <c r="BA1457" s="201" t="n">
        <v>0</v>
      </c>
    </row>
    <row r="1458" ht="15" customHeight="1" s="104">
      <c r="BA1458" s="201" t="n">
        <v>0</v>
      </c>
    </row>
    <row r="1459" ht="15" customHeight="1" s="104">
      <c r="BA1459" s="201" t="n">
        <v>0</v>
      </c>
    </row>
    <row r="1460" ht="15" customHeight="1" s="104">
      <c r="BA1460" s="201" t="n">
        <v>0</v>
      </c>
    </row>
    <row r="1461" ht="15" customHeight="1" s="104">
      <c r="BA1461" s="201" t="n">
        <v>0</v>
      </c>
    </row>
    <row r="1462" ht="15" customHeight="1" s="104">
      <c r="BA1462" s="201" t="n">
        <v>0</v>
      </c>
    </row>
    <row r="1463" ht="15" customHeight="1" s="104">
      <c r="BA1463" s="201" t="n">
        <v>0</v>
      </c>
    </row>
    <row r="1464" ht="15" customHeight="1" s="104">
      <c r="BA1464" s="201" t="n">
        <v>0</v>
      </c>
    </row>
    <row r="1465" ht="15" customHeight="1" s="104">
      <c r="BA1465" s="201" t="n">
        <v>0</v>
      </c>
    </row>
    <row r="1466" ht="15" customHeight="1" s="104">
      <c r="BA1466" s="201" t="n">
        <v>0</v>
      </c>
    </row>
    <row r="1467" ht="15" customHeight="1" s="104">
      <c r="BA1467" s="201" t="n">
        <v>0</v>
      </c>
    </row>
    <row r="1468" ht="15" customHeight="1" s="104">
      <c r="BA1468" s="201" t="n">
        <v>0</v>
      </c>
    </row>
    <row r="1469" ht="15" customHeight="1" s="104">
      <c r="BA1469" s="201" t="n">
        <v>0</v>
      </c>
    </row>
    <row r="1470" ht="15" customHeight="1" s="104">
      <c r="BA1470" s="201" t="n">
        <v>0</v>
      </c>
    </row>
    <row r="1471" ht="15" customHeight="1" s="104">
      <c r="BA1471" s="201" t="n">
        <v>0</v>
      </c>
    </row>
    <row r="1472" ht="15" customHeight="1" s="104">
      <c r="BA1472" s="201" t="n">
        <v>0</v>
      </c>
    </row>
    <row r="1473" ht="15" customHeight="1" s="104">
      <c r="BA1473" s="201" t="n">
        <v>0</v>
      </c>
    </row>
    <row r="1474" ht="15" customHeight="1" s="104">
      <c r="BA1474" s="201" t="n">
        <v>0</v>
      </c>
    </row>
    <row r="1475" ht="15" customHeight="1" s="104">
      <c r="BA1475" s="201" t="n">
        <v>0</v>
      </c>
    </row>
    <row r="1476" ht="15" customHeight="1" s="104">
      <c r="BA1476" s="201" t="n">
        <v>0</v>
      </c>
    </row>
    <row r="1477" ht="15" customHeight="1" s="104">
      <c r="BA1477" s="201" t="n">
        <v>0</v>
      </c>
    </row>
    <row r="1478" ht="15" customHeight="1" s="104">
      <c r="BA1478" s="201" t="n">
        <v>0</v>
      </c>
    </row>
    <row r="1479" ht="15" customHeight="1" s="104">
      <c r="BA1479" s="201" t="n">
        <v>0</v>
      </c>
    </row>
    <row r="1480" ht="15" customHeight="1" s="104">
      <c r="BA1480" s="201" t="n">
        <v>0</v>
      </c>
    </row>
    <row r="1481" ht="15" customHeight="1" s="104">
      <c r="BA1481" s="201" t="n">
        <v>0</v>
      </c>
    </row>
    <row r="1482" ht="15" customHeight="1" s="104">
      <c r="BA1482" s="201" t="n">
        <v>0</v>
      </c>
    </row>
    <row r="1483" ht="15" customHeight="1" s="104">
      <c r="BA1483" s="201" t="n">
        <v>0</v>
      </c>
    </row>
    <row r="1484" ht="15" customHeight="1" s="104">
      <c r="BA1484" s="201" t="n">
        <v>0</v>
      </c>
    </row>
    <row r="1485" ht="15" customHeight="1" s="104">
      <c r="BA1485" s="201" t="n">
        <v>0</v>
      </c>
    </row>
    <row r="1486" ht="15" customHeight="1" s="104">
      <c r="BA1486" s="201" t="n">
        <v>0</v>
      </c>
    </row>
    <row r="1487" ht="15" customHeight="1" s="104">
      <c r="BA1487" s="201" t="n">
        <v>0</v>
      </c>
    </row>
    <row r="1488" ht="15" customHeight="1" s="104">
      <c r="BA1488" s="201" t="n">
        <v>0</v>
      </c>
    </row>
    <row r="1489" ht="15" customHeight="1" s="104">
      <c r="BA1489" s="201" t="n">
        <v>0</v>
      </c>
    </row>
    <row r="1490" ht="15" customHeight="1" s="104">
      <c r="BA1490" s="201" t="n">
        <v>0</v>
      </c>
    </row>
    <row r="1491" ht="15" customHeight="1" s="104">
      <c r="BA1491" s="201" t="n">
        <v>0</v>
      </c>
    </row>
    <row r="1492" ht="15" customHeight="1" s="104">
      <c r="BA1492" s="201" t="n">
        <v>0</v>
      </c>
    </row>
    <row r="1493" ht="15" customHeight="1" s="104">
      <c r="BA1493" s="201" t="n">
        <v>0</v>
      </c>
    </row>
    <row r="1494" ht="15" customHeight="1" s="104">
      <c r="BA1494" s="201" t="n">
        <v>0</v>
      </c>
    </row>
    <row r="1495" ht="15" customHeight="1" s="104">
      <c r="BA1495" s="201" t="n">
        <v>0</v>
      </c>
    </row>
    <row r="1496" ht="15" customHeight="1" s="104">
      <c r="BA1496" s="201" t="n">
        <v>0</v>
      </c>
    </row>
    <row r="1497" ht="15" customHeight="1" s="104">
      <c r="BA1497" s="201" t="n">
        <v>0</v>
      </c>
    </row>
    <row r="1498" ht="15" customHeight="1" s="104">
      <c r="BA1498" s="201" t="n">
        <v>0</v>
      </c>
    </row>
    <row r="1499" ht="15" customHeight="1" s="104">
      <c r="BA1499" s="201" t="n">
        <v>0</v>
      </c>
    </row>
    <row r="1500" ht="15" customHeight="1" s="104">
      <c r="BA1500" s="201" t="n">
        <v>0</v>
      </c>
    </row>
    <row r="1501" ht="15" customHeight="1" s="104">
      <c r="BA1501" s="201" t="n">
        <v>0</v>
      </c>
    </row>
    <row r="1502" ht="15" customHeight="1" s="104">
      <c r="BA1502" s="201" t="n">
        <v>0</v>
      </c>
    </row>
    <row r="1503" ht="15" customHeight="1" s="104">
      <c r="BA1503" s="201" t="n">
        <v>0</v>
      </c>
    </row>
    <row r="1504" ht="15" customHeight="1" s="104">
      <c r="BA1504" s="201" t="n">
        <v>0</v>
      </c>
    </row>
    <row r="1505" ht="15" customHeight="1" s="104">
      <c r="BA1505" s="201" t="n">
        <v>0</v>
      </c>
    </row>
    <row r="1506" ht="15" customHeight="1" s="104">
      <c r="BA1506" s="201" t="n">
        <v>0</v>
      </c>
    </row>
    <row r="1507" ht="15" customHeight="1" s="104">
      <c r="BA1507" s="201" t="n">
        <v>0</v>
      </c>
    </row>
    <row r="1508" ht="15" customHeight="1" s="104">
      <c r="BA1508" s="201" t="n">
        <v>0</v>
      </c>
    </row>
    <row r="1509" ht="15" customHeight="1" s="104">
      <c r="BA1509" s="201" t="n">
        <v>0</v>
      </c>
    </row>
    <row r="1510" ht="15" customHeight="1" s="104">
      <c r="BA1510" s="201" t="n">
        <v>0</v>
      </c>
    </row>
    <row r="1511" ht="15" customHeight="1" s="104">
      <c r="BA1511" s="201" t="n">
        <v>0</v>
      </c>
    </row>
    <row r="1512" ht="15" customHeight="1" s="104">
      <c r="BA1512" s="201" t="n">
        <v>0</v>
      </c>
    </row>
    <row r="1513" ht="15" customHeight="1" s="104">
      <c r="BA1513" s="201" t="n">
        <v>0</v>
      </c>
    </row>
    <row r="1514" ht="15" customHeight="1" s="104">
      <c r="BA1514" s="201" t="n">
        <v>0</v>
      </c>
    </row>
    <row r="1515" ht="15" customHeight="1" s="104">
      <c r="BA1515" s="201" t="n">
        <v>0</v>
      </c>
    </row>
    <row r="1516" ht="15" customHeight="1" s="104">
      <c r="BA1516" s="201" t="n">
        <v>0</v>
      </c>
    </row>
    <row r="1517" ht="15" customHeight="1" s="104">
      <c r="BA1517" s="201" t="n">
        <v>0</v>
      </c>
    </row>
    <row r="1518" ht="15" customHeight="1" s="104">
      <c r="BA1518" s="201" t="n">
        <v>0</v>
      </c>
    </row>
    <row r="1519" ht="15" customHeight="1" s="104">
      <c r="BA1519" s="201" t="n">
        <v>0</v>
      </c>
    </row>
    <row r="1520" ht="15" customHeight="1" s="104">
      <c r="BA1520" s="201" t="n">
        <v>0</v>
      </c>
    </row>
    <row r="1521" ht="15" customHeight="1" s="104">
      <c r="BA1521" s="201" t="n">
        <v>0</v>
      </c>
    </row>
    <row r="1522" ht="15" customHeight="1" s="104">
      <c r="BA1522" s="201" t="n">
        <v>0</v>
      </c>
    </row>
    <row r="1523" ht="15" customHeight="1" s="104">
      <c r="BA1523" s="201" t="n">
        <v>0</v>
      </c>
    </row>
    <row r="1524" ht="15" customHeight="1" s="104">
      <c r="BA1524" s="201" t="n">
        <v>0</v>
      </c>
    </row>
    <row r="1525" ht="15" customHeight="1" s="104">
      <c r="BA1525" s="201" t="n">
        <v>0</v>
      </c>
    </row>
    <row r="1526" ht="15" customHeight="1" s="104">
      <c r="BA1526" s="201" t="n">
        <v>0</v>
      </c>
    </row>
    <row r="1527" ht="15" customHeight="1" s="104">
      <c r="BA1527" s="201" t="n">
        <v>0</v>
      </c>
    </row>
    <row r="1528" ht="15" customHeight="1" s="104">
      <c r="BA1528" s="201" t="n">
        <v>0</v>
      </c>
    </row>
    <row r="1529" ht="15" customHeight="1" s="104">
      <c r="BA1529" s="201" t="n">
        <v>0</v>
      </c>
    </row>
    <row r="1530" ht="15" customHeight="1" s="104">
      <c r="BA1530" s="201" t="n">
        <v>0</v>
      </c>
    </row>
    <row r="1531" ht="15" customHeight="1" s="104">
      <c r="BA1531" s="201" t="n">
        <v>0</v>
      </c>
    </row>
    <row r="1532" ht="15" customHeight="1" s="104">
      <c r="BA1532" s="201" t="n">
        <v>0</v>
      </c>
    </row>
    <row r="1533" ht="15" customHeight="1" s="104">
      <c r="BA1533" s="201" t="n">
        <v>0</v>
      </c>
    </row>
    <row r="1534" ht="15" customHeight="1" s="104">
      <c r="BA1534" s="201" t="n">
        <v>0</v>
      </c>
    </row>
    <row r="1535" ht="15" customHeight="1" s="104">
      <c r="BA1535" s="201" t="n">
        <v>0</v>
      </c>
    </row>
    <row r="1536" ht="15" customHeight="1" s="104">
      <c r="BA1536" s="201" t="n">
        <v>0</v>
      </c>
    </row>
    <row r="1537" ht="15" customHeight="1" s="104">
      <c r="BA1537" s="201" t="n">
        <v>0</v>
      </c>
    </row>
    <row r="1538" ht="15" customHeight="1" s="104">
      <c r="BA1538" s="201" t="n">
        <v>0</v>
      </c>
    </row>
    <row r="1539" ht="15" customHeight="1" s="104">
      <c r="BA1539" s="201" t="n">
        <v>0</v>
      </c>
    </row>
    <row r="1540" ht="15" customHeight="1" s="104">
      <c r="BA1540" s="201" t="n">
        <v>0</v>
      </c>
    </row>
    <row r="1541" ht="15" customHeight="1" s="104">
      <c r="BA1541" s="201" t="n">
        <v>0</v>
      </c>
    </row>
    <row r="1542" ht="15" customHeight="1" s="104">
      <c r="BA1542" s="201" t="n">
        <v>0</v>
      </c>
    </row>
    <row r="1543" ht="15" customHeight="1" s="104">
      <c r="BA1543" s="201" t="n">
        <v>0</v>
      </c>
    </row>
    <row r="1544" ht="15" customHeight="1" s="104">
      <c r="BA1544" s="201" t="n">
        <v>0</v>
      </c>
    </row>
    <row r="1545" ht="15" customHeight="1" s="104">
      <c r="BA1545" s="201" t="n">
        <v>0</v>
      </c>
    </row>
    <row r="1546" ht="15" customHeight="1" s="104">
      <c r="BA1546" s="201" t="n">
        <v>0</v>
      </c>
    </row>
    <row r="1547" ht="15" customHeight="1" s="104">
      <c r="BA1547" s="201" t="n">
        <v>0</v>
      </c>
    </row>
    <row r="1548" ht="15" customHeight="1" s="104">
      <c r="BA1548" s="201" t="n">
        <v>0</v>
      </c>
    </row>
    <row r="1549" ht="15" customHeight="1" s="104">
      <c r="BA1549" s="201" t="n">
        <v>0</v>
      </c>
    </row>
    <row r="1550" ht="15" customHeight="1" s="104">
      <c r="BA1550" s="201" t="n">
        <v>0</v>
      </c>
    </row>
    <row r="1551" ht="15" customHeight="1" s="104">
      <c r="BA1551" s="201" t="n">
        <v>0</v>
      </c>
    </row>
    <row r="1552" ht="15" customHeight="1" s="104">
      <c r="BA1552" s="201" t="n">
        <v>0</v>
      </c>
    </row>
    <row r="1553" ht="15" customHeight="1" s="104">
      <c r="BA1553" s="201" t="n">
        <v>0</v>
      </c>
    </row>
    <row r="1554" ht="15" customHeight="1" s="104">
      <c r="BA1554" s="201" t="n">
        <v>0</v>
      </c>
    </row>
    <row r="1555" ht="15" customHeight="1" s="104">
      <c r="BA1555" s="201" t="n">
        <v>0</v>
      </c>
    </row>
    <row r="1556" ht="15" customHeight="1" s="104">
      <c r="BA1556" s="201" t="n">
        <v>0</v>
      </c>
    </row>
    <row r="1557" ht="15" customHeight="1" s="104">
      <c r="BA1557" s="201" t="n">
        <v>0</v>
      </c>
    </row>
    <row r="1558" ht="15" customHeight="1" s="104">
      <c r="BA1558" s="201" t="n">
        <v>0</v>
      </c>
    </row>
    <row r="1559" ht="15" customHeight="1" s="104">
      <c r="BA1559" s="201" t="n">
        <v>0</v>
      </c>
    </row>
    <row r="1560" ht="15" customHeight="1" s="104">
      <c r="BA1560" s="201" t="n">
        <v>0</v>
      </c>
    </row>
    <row r="1561" ht="15" customHeight="1" s="104">
      <c r="BA1561" s="201" t="n">
        <v>0</v>
      </c>
    </row>
    <row r="1562" ht="15" customHeight="1" s="104">
      <c r="BA1562" s="201" t="n">
        <v>0</v>
      </c>
    </row>
    <row r="1563" ht="15" customHeight="1" s="104">
      <c r="BA1563" s="201" t="n">
        <v>0</v>
      </c>
    </row>
    <row r="1564" ht="15" customHeight="1" s="104">
      <c r="BA1564" s="201" t="n">
        <v>0</v>
      </c>
    </row>
    <row r="1565" ht="15" customHeight="1" s="104">
      <c r="BA1565" s="201" t="n">
        <v>0</v>
      </c>
    </row>
    <row r="1566" ht="15" customHeight="1" s="104">
      <c r="BA1566" s="201" t="n">
        <v>0</v>
      </c>
    </row>
    <row r="1567" ht="15" customHeight="1" s="104">
      <c r="BA1567" s="201" t="n">
        <v>0</v>
      </c>
    </row>
    <row r="1568" ht="15" customHeight="1" s="104">
      <c r="BA1568" s="201" t="n">
        <v>0</v>
      </c>
    </row>
    <row r="1569" ht="15" customHeight="1" s="104">
      <c r="BA1569" s="201" t="n">
        <v>0</v>
      </c>
    </row>
    <row r="1570" ht="15" customHeight="1" s="104">
      <c r="BA1570" s="201" t="n">
        <v>0</v>
      </c>
    </row>
    <row r="1571" ht="15" customHeight="1" s="104">
      <c r="BA1571" s="201" t="n">
        <v>0</v>
      </c>
    </row>
    <row r="1572" ht="15" customHeight="1" s="104">
      <c r="BA1572" s="201" t="n">
        <v>0</v>
      </c>
    </row>
    <row r="1573" ht="15" customHeight="1" s="104">
      <c r="BA1573" s="201" t="n">
        <v>0</v>
      </c>
    </row>
    <row r="1574" ht="15" customHeight="1" s="104">
      <c r="BA1574" s="201" t="n">
        <v>0</v>
      </c>
    </row>
    <row r="1575" ht="15" customHeight="1" s="104">
      <c r="BA1575" s="201" t="n">
        <v>0</v>
      </c>
    </row>
    <row r="1576" ht="15" customHeight="1" s="104">
      <c r="BA1576" s="201" t="n">
        <v>0</v>
      </c>
    </row>
    <row r="1577" ht="15" customHeight="1" s="104">
      <c r="BA1577" s="201" t="n">
        <v>0</v>
      </c>
    </row>
    <row r="1578" ht="15" customHeight="1" s="104">
      <c r="BA1578" s="201" t="n">
        <v>0</v>
      </c>
    </row>
    <row r="1579" ht="15" customHeight="1" s="104">
      <c r="BA1579" s="201" t="n">
        <v>0</v>
      </c>
    </row>
    <row r="1580" ht="15" customHeight="1" s="104">
      <c r="BA1580" s="201" t="n">
        <v>0</v>
      </c>
    </row>
    <row r="1581" ht="15" customHeight="1" s="104">
      <c r="BA1581" s="201" t="n">
        <v>0</v>
      </c>
    </row>
    <row r="1582" ht="15" customHeight="1" s="104">
      <c r="BA1582" s="201" t="n">
        <v>0</v>
      </c>
    </row>
    <row r="1583" ht="15" customHeight="1" s="104">
      <c r="BA1583" s="201" t="n">
        <v>0</v>
      </c>
    </row>
    <row r="1584" ht="15" customHeight="1" s="104">
      <c r="BA1584" s="201" t="n">
        <v>0</v>
      </c>
    </row>
    <row r="1585" ht="15" customHeight="1" s="104">
      <c r="BA1585" s="201" t="n">
        <v>0</v>
      </c>
    </row>
    <row r="1586" ht="15" customHeight="1" s="104">
      <c r="BA1586" s="201" t="n">
        <v>0</v>
      </c>
    </row>
    <row r="1587" ht="15" customHeight="1" s="104">
      <c r="BA1587" s="201" t="n">
        <v>0</v>
      </c>
    </row>
    <row r="1588" ht="15" customHeight="1" s="104">
      <c r="BA1588" s="201" t="n">
        <v>0</v>
      </c>
    </row>
    <row r="1589" ht="15" customHeight="1" s="104">
      <c r="BA1589" s="201" t="n">
        <v>0</v>
      </c>
    </row>
    <row r="1590" ht="15" customHeight="1" s="104">
      <c r="BA1590" s="201" t="n">
        <v>0</v>
      </c>
    </row>
    <row r="1591" ht="15" customHeight="1" s="104">
      <c r="BA1591" s="201" t="n">
        <v>0</v>
      </c>
    </row>
    <row r="1592" ht="15" customHeight="1" s="104">
      <c r="BA1592" s="201" t="n">
        <v>0</v>
      </c>
    </row>
    <row r="1593" ht="15" customHeight="1" s="104">
      <c r="BA1593" s="201" t="n">
        <v>0</v>
      </c>
    </row>
    <row r="1594" ht="15" customHeight="1" s="104">
      <c r="BA1594" s="201" t="n">
        <v>0</v>
      </c>
    </row>
    <row r="1595" ht="15" customHeight="1" s="104">
      <c r="BA1595" s="201" t="n">
        <v>0</v>
      </c>
    </row>
    <row r="1596" ht="15" customHeight="1" s="104">
      <c r="BA1596" s="201" t="n">
        <v>0</v>
      </c>
    </row>
    <row r="1597" ht="15" customHeight="1" s="104">
      <c r="BA1597" s="201" t="n">
        <v>0</v>
      </c>
    </row>
    <row r="1598" ht="15" customHeight="1" s="104">
      <c r="BA1598" s="201" t="n">
        <v>0</v>
      </c>
    </row>
    <row r="1599" ht="15" customHeight="1" s="104">
      <c r="BA1599" s="201" t="n">
        <v>0</v>
      </c>
    </row>
    <row r="1600" ht="15" customHeight="1" s="104">
      <c r="BA1600" s="201" t="n">
        <v>0</v>
      </c>
    </row>
    <row r="1601" ht="15" customHeight="1" s="104">
      <c r="BA1601" s="201" t="n">
        <v>0</v>
      </c>
    </row>
    <row r="1602" ht="15" customHeight="1" s="104">
      <c r="BA1602" s="201" t="n">
        <v>0</v>
      </c>
    </row>
    <row r="1603" ht="15" customHeight="1" s="104">
      <c r="BA1603" s="201" t="n">
        <v>0</v>
      </c>
    </row>
    <row r="1604" ht="15" customHeight="1" s="104">
      <c r="BA1604" s="201" t="n">
        <v>0</v>
      </c>
    </row>
    <row r="1605" ht="15" customHeight="1" s="104">
      <c r="BA1605" s="201" t="n">
        <v>0</v>
      </c>
    </row>
    <row r="1606" ht="15" customHeight="1" s="104">
      <c r="BA1606" s="201" t="n">
        <v>0</v>
      </c>
    </row>
    <row r="1607" ht="15" customHeight="1" s="104">
      <c r="BA1607" s="201" t="n">
        <v>0</v>
      </c>
    </row>
    <row r="1608" ht="15" customHeight="1" s="104">
      <c r="BA1608" s="201" t="n">
        <v>0</v>
      </c>
    </row>
    <row r="1609" ht="15" customHeight="1" s="104">
      <c r="BA1609" s="201" t="n">
        <v>0</v>
      </c>
    </row>
    <row r="1610" ht="15" customHeight="1" s="104">
      <c r="BA1610" s="201" t="n">
        <v>0</v>
      </c>
    </row>
    <row r="1611" ht="15" customHeight="1" s="104">
      <c r="BA1611" s="201" t="n">
        <v>0</v>
      </c>
    </row>
    <row r="1612" ht="15" customHeight="1" s="104">
      <c r="BA1612" s="201" t="n">
        <v>0</v>
      </c>
    </row>
    <row r="1613" ht="15" customHeight="1" s="104">
      <c r="BA1613" s="201" t="n">
        <v>0</v>
      </c>
    </row>
    <row r="1614" ht="15" customHeight="1" s="104">
      <c r="BA1614" s="201" t="n">
        <v>0</v>
      </c>
    </row>
    <row r="1615" ht="15" customHeight="1" s="104">
      <c r="BA1615" s="201" t="n">
        <v>0</v>
      </c>
    </row>
    <row r="1616" ht="15" customHeight="1" s="104">
      <c r="BA1616" s="201" t="n">
        <v>0</v>
      </c>
    </row>
    <row r="1617" ht="15" customHeight="1" s="104">
      <c r="BA1617" s="201" t="n">
        <v>0</v>
      </c>
    </row>
    <row r="1618" ht="15" customHeight="1" s="104">
      <c r="BA1618" s="201" t="n">
        <v>0</v>
      </c>
    </row>
    <row r="1619" ht="15" customHeight="1" s="104">
      <c r="BA1619" s="201" t="n">
        <v>0</v>
      </c>
    </row>
    <row r="1620" ht="15" customHeight="1" s="104">
      <c r="BA1620" s="201" t="n">
        <v>0</v>
      </c>
    </row>
    <row r="1621" ht="15" customHeight="1" s="104">
      <c r="BA1621" s="201" t="n">
        <v>0</v>
      </c>
    </row>
    <row r="1622" ht="15" customHeight="1" s="104">
      <c r="BA1622" s="201" t="n">
        <v>0</v>
      </c>
    </row>
    <row r="1623" ht="15" customHeight="1" s="104">
      <c r="BA1623" s="201" t="n">
        <v>0</v>
      </c>
    </row>
    <row r="1624" ht="15" customHeight="1" s="104">
      <c r="BA1624" s="201" t="n">
        <v>0</v>
      </c>
    </row>
    <row r="1625" ht="15" customHeight="1" s="104">
      <c r="BA1625" s="201" t="n">
        <v>0</v>
      </c>
    </row>
    <row r="1626" ht="15" customHeight="1" s="104">
      <c r="BA1626" s="201" t="n">
        <v>0</v>
      </c>
    </row>
    <row r="1627" ht="15" customHeight="1" s="104">
      <c r="BA1627" s="201" t="n">
        <v>0</v>
      </c>
    </row>
    <row r="1628" ht="15" customHeight="1" s="104">
      <c r="BA1628" s="201" t="n">
        <v>0</v>
      </c>
    </row>
    <row r="1629" ht="15" customHeight="1" s="104">
      <c r="BA1629" s="201" t="n">
        <v>0</v>
      </c>
    </row>
    <row r="1630" ht="15" customHeight="1" s="104">
      <c r="BA1630" s="201" t="n">
        <v>0</v>
      </c>
    </row>
    <row r="1631" ht="15" customHeight="1" s="104">
      <c r="BA1631" s="201" t="n">
        <v>0</v>
      </c>
    </row>
    <row r="1632" ht="15" customHeight="1" s="104">
      <c r="BA1632" s="201" t="n">
        <v>0</v>
      </c>
    </row>
    <row r="1633" ht="15" customHeight="1" s="104">
      <c r="BA1633" s="201" t="n">
        <v>0</v>
      </c>
    </row>
    <row r="1634" ht="15" customHeight="1" s="104">
      <c r="BA1634" s="201" t="n">
        <v>0</v>
      </c>
    </row>
    <row r="1635" ht="15" customHeight="1" s="104">
      <c r="BA1635" s="201" t="n">
        <v>0</v>
      </c>
    </row>
    <row r="1636" ht="15" customHeight="1" s="104">
      <c r="BA1636" s="201" t="n">
        <v>0</v>
      </c>
    </row>
    <row r="1637" ht="15" customHeight="1" s="104">
      <c r="BA1637" s="201" t="n">
        <v>0</v>
      </c>
    </row>
    <row r="1638" ht="15" customHeight="1" s="104">
      <c r="BA1638" s="201" t="n">
        <v>0</v>
      </c>
    </row>
    <row r="1639" ht="15" customHeight="1" s="104">
      <c r="BA1639" s="201" t="n">
        <v>0</v>
      </c>
    </row>
    <row r="1640" ht="15" customHeight="1" s="104">
      <c r="BA1640" s="201" t="n">
        <v>0</v>
      </c>
    </row>
    <row r="1641" ht="15" customHeight="1" s="104">
      <c r="BA1641" s="201" t="n">
        <v>0</v>
      </c>
    </row>
    <row r="1642" ht="15" customHeight="1" s="104">
      <c r="BA1642" s="201" t="n">
        <v>0</v>
      </c>
    </row>
    <row r="1643" ht="15" customHeight="1" s="104">
      <c r="BA1643" s="201" t="n">
        <v>0</v>
      </c>
    </row>
    <row r="1644" ht="15" customHeight="1" s="104">
      <c r="BA1644" s="201" t="n">
        <v>0</v>
      </c>
    </row>
    <row r="1645" ht="15" customHeight="1" s="104">
      <c r="BA1645" s="201" t="n">
        <v>0</v>
      </c>
    </row>
    <row r="1646" ht="15" customHeight="1" s="104">
      <c r="BA1646" s="201" t="n">
        <v>0</v>
      </c>
    </row>
    <row r="1647" ht="15" customHeight="1" s="104">
      <c r="BA1647" s="201" t="n">
        <v>0</v>
      </c>
    </row>
    <row r="1648" ht="15" customHeight="1" s="104">
      <c r="BA1648" s="201" t="n">
        <v>0</v>
      </c>
    </row>
    <row r="1649" ht="15" customHeight="1" s="104">
      <c r="BA1649" s="201" t="n">
        <v>0</v>
      </c>
    </row>
    <row r="1650" ht="15" customHeight="1" s="104">
      <c r="BA1650" s="201" t="n">
        <v>0</v>
      </c>
    </row>
    <row r="1651" ht="15" customHeight="1" s="104">
      <c r="BA1651" s="201" t="n">
        <v>0</v>
      </c>
    </row>
    <row r="1652" ht="15" customHeight="1" s="104">
      <c r="BA1652" s="201" t="n">
        <v>0</v>
      </c>
    </row>
    <row r="1653" ht="15" customHeight="1" s="104">
      <c r="BA1653" s="201" t="n">
        <v>0</v>
      </c>
    </row>
    <row r="1654" ht="15" customHeight="1" s="104">
      <c r="BA1654" s="201" t="n">
        <v>0</v>
      </c>
    </row>
    <row r="1655" ht="15" customHeight="1" s="104">
      <c r="BA1655" s="201" t="n">
        <v>0</v>
      </c>
    </row>
    <row r="1656" ht="15" customHeight="1" s="104">
      <c r="BA1656" s="201" t="n">
        <v>0</v>
      </c>
    </row>
    <row r="1657" ht="15" customHeight="1" s="104">
      <c r="BA1657" s="201" t="n">
        <v>0</v>
      </c>
    </row>
    <row r="1658" ht="15" customHeight="1" s="104">
      <c r="BA1658" s="201" t="n">
        <v>0</v>
      </c>
    </row>
    <row r="1659" ht="15" customHeight="1" s="104">
      <c r="BA1659" s="201" t="n">
        <v>0</v>
      </c>
    </row>
    <row r="1660" ht="15" customHeight="1" s="104">
      <c r="BA1660" s="201" t="n">
        <v>0</v>
      </c>
    </row>
    <row r="1661" ht="15" customHeight="1" s="104">
      <c r="BA1661" s="201" t="n">
        <v>0</v>
      </c>
    </row>
    <row r="1662" ht="15" customHeight="1" s="104">
      <c r="BA1662" s="201" t="n">
        <v>0</v>
      </c>
    </row>
    <row r="1663" ht="15" customHeight="1" s="104">
      <c r="BA1663" s="201" t="n">
        <v>0</v>
      </c>
    </row>
    <row r="1664" ht="15" customHeight="1" s="104">
      <c r="BA1664" s="201" t="n">
        <v>0</v>
      </c>
    </row>
    <row r="1665" ht="15" customHeight="1" s="104">
      <c r="BA1665" s="201" t="n">
        <v>0</v>
      </c>
    </row>
    <row r="1666" ht="15" customHeight="1" s="104">
      <c r="BA1666" s="201" t="n">
        <v>0</v>
      </c>
    </row>
    <row r="1667" ht="15" customHeight="1" s="104">
      <c r="BA1667" s="201" t="n">
        <v>0</v>
      </c>
    </row>
    <row r="1668" ht="15" customHeight="1" s="104">
      <c r="BA1668" s="201" t="n">
        <v>0</v>
      </c>
    </row>
    <row r="1669" ht="15" customHeight="1" s="104">
      <c r="BA1669" s="201" t="n">
        <v>0</v>
      </c>
    </row>
    <row r="1670" ht="15" customHeight="1" s="104">
      <c r="BA1670" s="201" t="n">
        <v>0</v>
      </c>
    </row>
    <row r="1671" ht="15" customHeight="1" s="104">
      <c r="BA1671" s="201" t="n">
        <v>0</v>
      </c>
    </row>
    <row r="1672" ht="15" customHeight="1" s="104">
      <c r="BA1672" s="201" t="n">
        <v>0</v>
      </c>
    </row>
    <row r="1673" ht="15" customHeight="1" s="104">
      <c r="BA1673" s="201" t="n">
        <v>0</v>
      </c>
    </row>
    <row r="1674" ht="15" customHeight="1" s="104">
      <c r="BA1674" s="201" t="n">
        <v>0</v>
      </c>
    </row>
    <row r="1675" ht="15" customHeight="1" s="104">
      <c r="BA1675" s="201" t="n">
        <v>0</v>
      </c>
    </row>
    <row r="1676" ht="15" customHeight="1" s="104">
      <c r="BA1676" s="201" t="n">
        <v>0</v>
      </c>
    </row>
    <row r="1677" ht="15" customHeight="1" s="104">
      <c r="BA1677" s="201" t="n">
        <v>0</v>
      </c>
    </row>
    <row r="1678" ht="15" customHeight="1" s="104">
      <c r="BA1678" s="201" t="n">
        <v>0</v>
      </c>
    </row>
    <row r="1679" ht="15" customHeight="1" s="104">
      <c r="BA1679" s="201" t="n">
        <v>0</v>
      </c>
    </row>
    <row r="1680" ht="15" customHeight="1" s="104">
      <c r="BA1680" s="201" t="n">
        <v>0</v>
      </c>
    </row>
    <row r="1681" ht="15" customHeight="1" s="104">
      <c r="BA1681" s="201" t="n">
        <v>0</v>
      </c>
    </row>
    <row r="1682" ht="15" customHeight="1" s="104">
      <c r="BA1682" s="201" t="n">
        <v>0</v>
      </c>
    </row>
    <row r="1683" ht="15" customHeight="1" s="104">
      <c r="BA1683" s="201" t="n">
        <v>0</v>
      </c>
    </row>
    <row r="1684" ht="15" customHeight="1" s="104">
      <c r="BA1684" s="201" t="n">
        <v>0</v>
      </c>
    </row>
    <row r="1685" ht="15" customHeight="1" s="104">
      <c r="BA1685" s="201" t="n">
        <v>0</v>
      </c>
    </row>
    <row r="1686" ht="15" customHeight="1" s="104">
      <c r="BA1686" s="201" t="n">
        <v>0</v>
      </c>
    </row>
    <row r="1687" ht="15" customHeight="1" s="104">
      <c r="BA1687" s="201" t="n">
        <v>0</v>
      </c>
    </row>
    <row r="1688" ht="15" customHeight="1" s="104">
      <c r="BA1688" s="201" t="n">
        <v>0</v>
      </c>
    </row>
    <row r="1689" ht="15" customHeight="1" s="104">
      <c r="BA1689" s="201" t="n">
        <v>0</v>
      </c>
    </row>
    <row r="1690" ht="15" customHeight="1" s="104">
      <c r="BA1690" s="201" t="n">
        <v>0</v>
      </c>
    </row>
    <row r="1691" ht="15" customHeight="1" s="104">
      <c r="BA1691" s="201" t="n">
        <v>0</v>
      </c>
    </row>
    <row r="1692" ht="15" customHeight="1" s="104">
      <c r="BA1692" s="201" t="n">
        <v>0</v>
      </c>
    </row>
    <row r="1693" ht="15" customHeight="1" s="104">
      <c r="BA1693" s="201" t="n">
        <v>0</v>
      </c>
    </row>
    <row r="1694" ht="15" customHeight="1" s="104">
      <c r="BA1694" s="201" t="n">
        <v>0</v>
      </c>
    </row>
    <row r="1695" ht="15" customHeight="1" s="104">
      <c r="BA1695" s="201" t="n">
        <v>0</v>
      </c>
    </row>
    <row r="1696" ht="15" customHeight="1" s="104">
      <c r="BA1696" s="201" t="n">
        <v>0</v>
      </c>
    </row>
    <row r="1697" ht="15" customHeight="1" s="104">
      <c r="BA1697" s="201" t="n">
        <v>0</v>
      </c>
    </row>
    <row r="1698" ht="15" customHeight="1" s="104">
      <c r="BA1698" s="201" t="n">
        <v>0</v>
      </c>
    </row>
    <row r="1699" ht="15" customHeight="1" s="104">
      <c r="BA1699" s="201" t="n">
        <v>0</v>
      </c>
    </row>
    <row r="1700" ht="15" customHeight="1" s="104">
      <c r="BA1700" s="201" t="n">
        <v>0</v>
      </c>
    </row>
    <row r="1701" ht="15" customHeight="1" s="104">
      <c r="BA1701" s="201" t="n">
        <v>0</v>
      </c>
    </row>
    <row r="1702" ht="15" customHeight="1" s="104">
      <c r="BA1702" s="201" t="n">
        <v>0</v>
      </c>
    </row>
    <row r="1703" ht="15" customHeight="1" s="104">
      <c r="BA1703" s="201" t="n">
        <v>0</v>
      </c>
    </row>
    <row r="1704" ht="15" customHeight="1" s="104">
      <c r="BA1704" s="201" t="n">
        <v>0</v>
      </c>
    </row>
    <row r="1705" ht="15" customHeight="1" s="104">
      <c r="BA1705" s="201" t="n">
        <v>0</v>
      </c>
    </row>
    <row r="1706" ht="15" customHeight="1" s="104">
      <c r="BA1706" s="201" t="n">
        <v>0</v>
      </c>
    </row>
    <row r="1707" ht="15" customHeight="1" s="104">
      <c r="BA1707" s="201" t="n">
        <v>0</v>
      </c>
    </row>
    <row r="1708" ht="15" customHeight="1" s="104">
      <c r="BA1708" s="201" t="n">
        <v>0</v>
      </c>
    </row>
    <row r="1709" ht="15" customHeight="1" s="104">
      <c r="BA1709" s="201" t="n">
        <v>0</v>
      </c>
    </row>
    <row r="1710" ht="15" customHeight="1" s="104">
      <c r="BA1710" s="201" t="n">
        <v>0</v>
      </c>
    </row>
    <row r="1711" ht="15" customHeight="1" s="104">
      <c r="BA1711" s="201" t="n">
        <v>0</v>
      </c>
    </row>
    <row r="1712" ht="15" customHeight="1" s="104">
      <c r="BA1712" s="201" t="n">
        <v>0</v>
      </c>
    </row>
    <row r="1713" ht="15" customHeight="1" s="104">
      <c r="BA1713" s="201" t="n">
        <v>0</v>
      </c>
    </row>
    <row r="1714" ht="15" customHeight="1" s="104">
      <c r="BA1714" s="201" t="n">
        <v>0</v>
      </c>
    </row>
    <row r="1715" ht="15" customHeight="1" s="104">
      <c r="BA1715" s="201" t="n">
        <v>0</v>
      </c>
    </row>
    <row r="1716" ht="15" customHeight="1" s="104">
      <c r="BA1716" s="201" t="n">
        <v>0</v>
      </c>
    </row>
    <row r="1717" ht="15" customHeight="1" s="104">
      <c r="BA1717" s="201" t="n">
        <v>0</v>
      </c>
    </row>
    <row r="1718" ht="15" customHeight="1" s="104">
      <c r="BA1718" s="201" t="n">
        <v>0</v>
      </c>
    </row>
    <row r="1719" ht="15" customHeight="1" s="104">
      <c r="BA1719" s="201" t="n">
        <v>0</v>
      </c>
    </row>
    <row r="1720" ht="15" customHeight="1" s="104">
      <c r="BA1720" s="201" t="n">
        <v>0</v>
      </c>
    </row>
    <row r="1721" ht="15" customHeight="1" s="104">
      <c r="BA1721" s="201" t="n">
        <v>0</v>
      </c>
    </row>
    <row r="1722" ht="15" customHeight="1" s="104">
      <c r="BA1722" s="201" t="n">
        <v>0</v>
      </c>
    </row>
    <row r="1723" ht="15" customHeight="1" s="104">
      <c r="BA1723" s="201" t="n">
        <v>0</v>
      </c>
    </row>
    <row r="1724" ht="15" customHeight="1" s="104">
      <c r="BA1724" s="201" t="n">
        <v>0</v>
      </c>
    </row>
    <row r="1725" ht="15" customHeight="1" s="104">
      <c r="BA1725" s="201" t="n">
        <v>0</v>
      </c>
    </row>
    <row r="1726" ht="15" customHeight="1" s="104">
      <c r="BA1726" s="201" t="n">
        <v>0</v>
      </c>
    </row>
    <row r="1727" ht="15" customHeight="1" s="104">
      <c r="BA1727" s="201" t="n">
        <v>0</v>
      </c>
    </row>
    <row r="1728" ht="15" customHeight="1" s="104">
      <c r="BA1728" s="201" t="n">
        <v>0</v>
      </c>
    </row>
    <row r="1729" ht="15" customHeight="1" s="104">
      <c r="BA1729" s="201" t="n">
        <v>0</v>
      </c>
    </row>
    <row r="1730" ht="15" customHeight="1" s="104">
      <c r="BA1730" s="201" t="n">
        <v>0</v>
      </c>
    </row>
    <row r="1731" ht="15" customHeight="1" s="104">
      <c r="BA1731" s="201" t="n">
        <v>0</v>
      </c>
    </row>
    <row r="1732" ht="15" customHeight="1" s="104">
      <c r="BA1732" s="201" t="n">
        <v>0</v>
      </c>
    </row>
    <row r="1733" ht="15" customHeight="1" s="104">
      <c r="BA1733" s="201" t="n">
        <v>0</v>
      </c>
    </row>
    <row r="1734" ht="15" customHeight="1" s="104">
      <c r="BA1734" s="201" t="n">
        <v>0</v>
      </c>
    </row>
    <row r="1735" ht="15" customHeight="1" s="104">
      <c r="BA1735" s="201" t="n">
        <v>0</v>
      </c>
    </row>
    <row r="1736" ht="15" customHeight="1" s="104">
      <c r="BA1736" s="201" t="n">
        <v>0</v>
      </c>
    </row>
    <row r="1737" ht="15" customHeight="1" s="104">
      <c r="BA1737" s="201" t="n">
        <v>0</v>
      </c>
    </row>
    <row r="1738" ht="15" customHeight="1" s="104">
      <c r="BA1738" s="201" t="n">
        <v>0</v>
      </c>
    </row>
    <row r="1739" ht="15" customHeight="1" s="104">
      <c r="BA1739" s="201" t="n">
        <v>0</v>
      </c>
    </row>
    <row r="1740" ht="15" customHeight="1" s="104">
      <c r="BA1740" s="201" t="n">
        <v>0</v>
      </c>
    </row>
    <row r="1741" ht="15" customHeight="1" s="104">
      <c r="BA1741" s="201" t="n">
        <v>0</v>
      </c>
    </row>
    <row r="1742" ht="15" customHeight="1" s="104">
      <c r="BA1742" s="201" t="n">
        <v>0</v>
      </c>
    </row>
    <row r="1743" ht="15" customHeight="1" s="104">
      <c r="BA1743" s="201" t="n">
        <v>0</v>
      </c>
    </row>
    <row r="1744" ht="15" customHeight="1" s="104">
      <c r="BA1744" s="201" t="n">
        <v>0</v>
      </c>
    </row>
    <row r="1745" ht="15" customHeight="1" s="104">
      <c r="BA1745" s="201" t="n">
        <v>0</v>
      </c>
    </row>
    <row r="1746" ht="15" customHeight="1" s="104">
      <c r="BA1746" s="201" t="n">
        <v>0</v>
      </c>
    </row>
    <row r="1747" ht="15" customHeight="1" s="104">
      <c r="BA1747" s="201" t="n">
        <v>0</v>
      </c>
    </row>
    <row r="1748" ht="15" customHeight="1" s="104">
      <c r="BA1748" s="201" t="n">
        <v>0</v>
      </c>
    </row>
    <row r="1749" ht="15" customHeight="1" s="104">
      <c r="BA1749" s="201" t="n">
        <v>0</v>
      </c>
    </row>
    <row r="1750" ht="15" customHeight="1" s="104">
      <c r="BA1750" s="201" t="n">
        <v>0</v>
      </c>
    </row>
    <row r="1751" ht="15" customHeight="1" s="104">
      <c r="BA1751" s="201" t="n">
        <v>0</v>
      </c>
    </row>
    <row r="1752" ht="15" customHeight="1" s="104">
      <c r="BA1752" s="201" t="n">
        <v>0</v>
      </c>
    </row>
    <row r="1753" ht="15" customHeight="1" s="104">
      <c r="BA1753" s="201" t="n">
        <v>0</v>
      </c>
    </row>
    <row r="1754" ht="15" customHeight="1" s="104">
      <c r="BA1754" s="201" t="n">
        <v>0</v>
      </c>
    </row>
    <row r="1755" ht="15" customHeight="1" s="104">
      <c r="BA1755" s="201" t="n">
        <v>0</v>
      </c>
    </row>
    <row r="1756" ht="15" customHeight="1" s="104">
      <c r="BA1756" s="201" t="n">
        <v>0</v>
      </c>
    </row>
    <row r="1757" ht="15" customHeight="1" s="104">
      <c r="BA1757" s="201" t="n">
        <v>0</v>
      </c>
    </row>
    <row r="1758" ht="15" customHeight="1" s="104">
      <c r="BA1758" s="201" t="n">
        <v>0</v>
      </c>
    </row>
    <row r="1759" ht="15" customHeight="1" s="104">
      <c r="BA1759" s="201" t="n">
        <v>0</v>
      </c>
    </row>
    <row r="1760" ht="15" customHeight="1" s="104">
      <c r="BA1760" s="201" t="n">
        <v>0</v>
      </c>
    </row>
    <row r="1761" ht="15" customHeight="1" s="104">
      <c r="BA1761" s="201" t="n">
        <v>0</v>
      </c>
    </row>
    <row r="1762" ht="15" customHeight="1" s="104">
      <c r="BA1762" s="201" t="n">
        <v>0</v>
      </c>
    </row>
    <row r="1763" ht="15" customHeight="1" s="104">
      <c r="BA1763" s="201" t="n">
        <v>0</v>
      </c>
    </row>
    <row r="1764" ht="15" customHeight="1" s="104">
      <c r="BA1764" s="201" t="n">
        <v>0</v>
      </c>
    </row>
    <row r="1765" ht="15" customHeight="1" s="104">
      <c r="BA1765" s="201" t="n">
        <v>0</v>
      </c>
    </row>
    <row r="1766" ht="15" customHeight="1" s="104">
      <c r="BA1766" s="201" t="n">
        <v>0</v>
      </c>
    </row>
    <row r="1767" ht="15" customHeight="1" s="104">
      <c r="BA1767" s="201" t="n">
        <v>0</v>
      </c>
    </row>
    <row r="1768" ht="15" customHeight="1" s="104">
      <c r="BA1768" s="201" t="n">
        <v>0</v>
      </c>
    </row>
    <row r="1769" ht="15" customHeight="1" s="104">
      <c r="BA1769" s="201" t="n">
        <v>0</v>
      </c>
    </row>
    <row r="1770" ht="15" customHeight="1" s="104">
      <c r="BA1770" s="201" t="n">
        <v>0</v>
      </c>
    </row>
    <row r="1771" ht="15" customHeight="1" s="104">
      <c r="BA1771" s="201" t="n">
        <v>0</v>
      </c>
    </row>
    <row r="1772" ht="15" customHeight="1" s="104">
      <c r="BA1772" s="201" t="n">
        <v>0</v>
      </c>
    </row>
    <row r="1773" ht="15" customHeight="1" s="104">
      <c r="BA1773" s="201" t="n">
        <v>0</v>
      </c>
    </row>
    <row r="1774" ht="15" customHeight="1" s="104">
      <c r="BA1774" s="201" t="n">
        <v>0</v>
      </c>
    </row>
    <row r="1775" ht="15" customHeight="1" s="104">
      <c r="BA1775" s="201" t="n">
        <v>0</v>
      </c>
    </row>
    <row r="1776" ht="15" customHeight="1" s="104">
      <c r="BA1776" s="201" t="n">
        <v>0</v>
      </c>
    </row>
    <row r="1777" ht="15" customHeight="1" s="104">
      <c r="BA1777" s="201" t="n">
        <v>0</v>
      </c>
    </row>
    <row r="1778" ht="15" customHeight="1" s="104">
      <c r="BA1778" s="201" t="n">
        <v>0</v>
      </c>
    </row>
    <row r="1779" ht="15" customHeight="1" s="104">
      <c r="BA1779" s="201" t="n">
        <v>0</v>
      </c>
    </row>
    <row r="1780" ht="15" customHeight="1" s="104">
      <c r="BA1780" s="201" t="n">
        <v>0</v>
      </c>
    </row>
    <row r="1781" ht="15" customHeight="1" s="104">
      <c r="BA1781" s="201" t="n">
        <v>0</v>
      </c>
    </row>
    <row r="1782" ht="15" customHeight="1" s="104">
      <c r="BA1782" s="201" t="n">
        <v>0</v>
      </c>
    </row>
    <row r="1783" ht="15" customHeight="1" s="104">
      <c r="BA1783" s="201" t="n">
        <v>0</v>
      </c>
    </row>
    <row r="1784" ht="15" customHeight="1" s="104">
      <c r="BA1784" s="201" t="n">
        <v>0</v>
      </c>
    </row>
    <row r="1785" ht="15" customHeight="1" s="104">
      <c r="BA1785" s="201" t="n">
        <v>0</v>
      </c>
    </row>
    <row r="1786" ht="15" customHeight="1" s="104">
      <c r="BA1786" s="201" t="n">
        <v>0</v>
      </c>
    </row>
    <row r="1787" ht="15" customHeight="1" s="104">
      <c r="BA1787" s="201" t="n">
        <v>0</v>
      </c>
    </row>
    <row r="1788" ht="15" customHeight="1" s="104">
      <c r="BA1788" s="201" t="n">
        <v>0</v>
      </c>
    </row>
    <row r="1789" ht="15" customHeight="1" s="104">
      <c r="BA1789" s="201" t="n">
        <v>0</v>
      </c>
    </row>
    <row r="1790" ht="15" customHeight="1" s="104">
      <c r="BA1790" s="201" t="n">
        <v>0</v>
      </c>
    </row>
    <row r="1791" ht="15" customHeight="1" s="104">
      <c r="BA1791" s="201" t="n">
        <v>0</v>
      </c>
    </row>
    <row r="1792" ht="15" customHeight="1" s="104">
      <c r="BA1792" s="201" t="n">
        <v>0</v>
      </c>
    </row>
    <row r="1793" ht="15" customHeight="1" s="104">
      <c r="BA1793" s="201" t="n">
        <v>0</v>
      </c>
    </row>
    <row r="1794" ht="15" customHeight="1" s="104">
      <c r="BA1794" s="201" t="n">
        <v>0</v>
      </c>
    </row>
    <row r="1795" ht="15" customHeight="1" s="104">
      <c r="BA1795" s="201" t="n">
        <v>0</v>
      </c>
    </row>
    <row r="1796" ht="15" customHeight="1" s="104">
      <c r="BA1796" s="201" t="n">
        <v>0</v>
      </c>
    </row>
    <row r="1797" ht="15" customHeight="1" s="104">
      <c r="BA1797" s="201" t="n">
        <v>0</v>
      </c>
    </row>
    <row r="1798" ht="15" customHeight="1" s="104">
      <c r="BA1798" s="201" t="n">
        <v>0</v>
      </c>
    </row>
    <row r="1799" ht="15" customHeight="1" s="104">
      <c r="BA1799" s="201" t="n">
        <v>0</v>
      </c>
    </row>
    <row r="1800" ht="15" customHeight="1" s="104">
      <c r="BA1800" s="201" t="n">
        <v>0</v>
      </c>
    </row>
    <row r="1801" ht="15" customHeight="1" s="104">
      <c r="BA1801" s="201" t="n">
        <v>0</v>
      </c>
    </row>
    <row r="1802" ht="15" customHeight="1" s="104">
      <c r="BA1802" s="201" t="n">
        <v>0</v>
      </c>
    </row>
    <row r="1803" ht="15" customHeight="1" s="104">
      <c r="BA1803" s="201" t="n">
        <v>0</v>
      </c>
    </row>
    <row r="1804" ht="15" customHeight="1" s="104">
      <c r="BA1804" s="201" t="n">
        <v>0</v>
      </c>
    </row>
    <row r="1805" ht="15" customHeight="1" s="104">
      <c r="BA1805" s="201" t="n">
        <v>0</v>
      </c>
    </row>
    <row r="1806" ht="15" customHeight="1" s="104">
      <c r="BA1806" s="201" t="n">
        <v>0</v>
      </c>
    </row>
    <row r="1807" ht="15" customHeight="1" s="104">
      <c r="BA1807" s="201" t="n">
        <v>0</v>
      </c>
    </row>
    <row r="1808" ht="15" customHeight="1" s="104">
      <c r="BA1808" s="201" t="n">
        <v>0</v>
      </c>
    </row>
    <row r="1809" ht="15" customHeight="1" s="104">
      <c r="BA1809" s="201" t="n">
        <v>0</v>
      </c>
    </row>
    <row r="1810" ht="15" customHeight="1" s="104">
      <c r="BA1810" s="201" t="n">
        <v>0</v>
      </c>
    </row>
    <row r="1811" ht="15" customHeight="1" s="104">
      <c r="BA1811" s="201" t="n">
        <v>0</v>
      </c>
    </row>
    <row r="1812" ht="15" customHeight="1" s="104">
      <c r="BA1812" s="201" t="n">
        <v>0</v>
      </c>
    </row>
    <row r="1813" ht="15" customHeight="1" s="104">
      <c r="BA1813" s="201" t="n">
        <v>0</v>
      </c>
    </row>
    <row r="1814" ht="15" customHeight="1" s="104">
      <c r="BA1814" s="201" t="n">
        <v>0</v>
      </c>
    </row>
    <row r="1815" ht="15" customHeight="1" s="104">
      <c r="BA1815" s="201" t="n">
        <v>0</v>
      </c>
    </row>
    <row r="1816" ht="15" customHeight="1" s="104">
      <c r="BA1816" s="201" t="n">
        <v>0</v>
      </c>
    </row>
    <row r="1817" ht="15" customHeight="1" s="104">
      <c r="BA1817" s="201" t="n">
        <v>0</v>
      </c>
    </row>
    <row r="1818" ht="15" customHeight="1" s="104">
      <c r="BA1818" s="201" t="n">
        <v>0</v>
      </c>
    </row>
    <row r="1819" ht="15" customHeight="1" s="104">
      <c r="BA1819" s="201" t="n">
        <v>0</v>
      </c>
    </row>
    <row r="1820" ht="15" customHeight="1" s="104">
      <c r="BA1820" s="201" t="n">
        <v>0</v>
      </c>
    </row>
    <row r="1821" ht="15" customHeight="1" s="104">
      <c r="BA1821" s="201" t="n">
        <v>0</v>
      </c>
    </row>
    <row r="1822" ht="15" customHeight="1" s="104">
      <c r="BA1822" s="201" t="n">
        <v>0</v>
      </c>
    </row>
    <row r="1823" ht="15" customHeight="1" s="104">
      <c r="BA1823" s="201" t="n">
        <v>0</v>
      </c>
    </row>
    <row r="1824" ht="15" customHeight="1" s="104">
      <c r="BA1824" s="201" t="n">
        <v>0</v>
      </c>
    </row>
    <row r="1825" ht="15" customHeight="1" s="104">
      <c r="BA1825" s="201" t="n">
        <v>0</v>
      </c>
    </row>
    <row r="1826" ht="15" customHeight="1" s="104">
      <c r="BA1826" s="201" t="n">
        <v>0</v>
      </c>
    </row>
    <row r="1827" ht="15" customHeight="1" s="104">
      <c r="BA1827" s="201" t="n">
        <v>0</v>
      </c>
    </row>
    <row r="1828" ht="15" customHeight="1" s="104">
      <c r="BA1828" s="201" t="n">
        <v>0</v>
      </c>
    </row>
    <row r="1829" ht="15" customHeight="1" s="104">
      <c r="BA1829" s="201" t="n">
        <v>0</v>
      </c>
    </row>
    <row r="1830" ht="15" customHeight="1" s="104">
      <c r="BA1830" s="201" t="n">
        <v>0</v>
      </c>
    </row>
    <row r="1831" ht="15" customHeight="1" s="104">
      <c r="BA1831" s="201" t="n">
        <v>0</v>
      </c>
    </row>
    <row r="1832" ht="15" customHeight="1" s="104">
      <c r="BA1832" s="201" t="n">
        <v>0</v>
      </c>
    </row>
    <row r="1833" ht="15" customHeight="1" s="104">
      <c r="BA1833" s="201" t="n">
        <v>0</v>
      </c>
    </row>
    <row r="1834" ht="15" customHeight="1" s="104">
      <c r="BA1834" s="201" t="n">
        <v>0</v>
      </c>
    </row>
    <row r="1835" ht="15" customHeight="1" s="104">
      <c r="BA1835" s="201" t="n">
        <v>0</v>
      </c>
    </row>
    <row r="1836" ht="15" customHeight="1" s="104">
      <c r="BA1836" s="201" t="n">
        <v>0</v>
      </c>
    </row>
    <row r="1837" ht="15" customHeight="1" s="104">
      <c r="BA1837" s="201" t="n">
        <v>0</v>
      </c>
    </row>
    <row r="1838" ht="15" customHeight="1" s="104">
      <c r="BA1838" s="201" t="n">
        <v>0</v>
      </c>
    </row>
    <row r="1839" ht="15" customHeight="1" s="104">
      <c r="BA1839" s="201" t="n">
        <v>0</v>
      </c>
    </row>
    <row r="1840" ht="15" customHeight="1" s="104">
      <c r="BA1840" s="201" t="n">
        <v>0</v>
      </c>
    </row>
    <row r="1841" ht="15" customHeight="1" s="104">
      <c r="BA1841" s="201" t="n">
        <v>0</v>
      </c>
    </row>
    <row r="1842" ht="15" customHeight="1" s="104">
      <c r="BA1842" s="201" t="n">
        <v>0</v>
      </c>
    </row>
    <row r="1843" ht="15" customHeight="1" s="104">
      <c r="BA1843" s="201" t="n">
        <v>0</v>
      </c>
    </row>
    <row r="1844" ht="15" customHeight="1" s="104">
      <c r="BA1844" s="201" t="n">
        <v>0</v>
      </c>
    </row>
    <row r="1845" ht="15" customHeight="1" s="104">
      <c r="BA1845" s="201" t="n">
        <v>0</v>
      </c>
    </row>
    <row r="1846" ht="15" customHeight="1" s="104">
      <c r="BA1846" s="201" t="n">
        <v>0</v>
      </c>
    </row>
    <row r="1847" ht="15" customHeight="1" s="104">
      <c r="BA1847" s="201" t="n">
        <v>0</v>
      </c>
    </row>
    <row r="1848" ht="15" customHeight="1" s="104">
      <c r="BA1848" s="201" t="n">
        <v>0</v>
      </c>
    </row>
    <row r="1849" ht="15" customHeight="1" s="104">
      <c r="BA1849" s="201" t="n">
        <v>0</v>
      </c>
    </row>
    <row r="1850" ht="15" customHeight="1" s="104">
      <c r="BA1850" s="201" t="n">
        <v>0</v>
      </c>
    </row>
    <row r="1851" ht="15" customHeight="1" s="104">
      <c r="BA1851" s="201" t="n">
        <v>0</v>
      </c>
    </row>
    <row r="1852" ht="15" customHeight="1" s="104">
      <c r="BA1852" s="201" t="n">
        <v>0</v>
      </c>
    </row>
    <row r="1853" ht="15" customHeight="1" s="104">
      <c r="BA1853" s="201" t="n">
        <v>0</v>
      </c>
    </row>
    <row r="1854" ht="15" customHeight="1" s="104">
      <c r="BA1854" s="201" t="n">
        <v>0</v>
      </c>
    </row>
    <row r="1855" ht="15" customHeight="1" s="104">
      <c r="BA1855" s="201" t="n">
        <v>0</v>
      </c>
    </row>
    <row r="1856" ht="15" customHeight="1" s="104">
      <c r="BA1856" s="201" t="n">
        <v>0</v>
      </c>
    </row>
    <row r="1857" ht="15" customHeight="1" s="104">
      <c r="BA1857" s="201" t="n">
        <v>0</v>
      </c>
    </row>
    <row r="1858" ht="15" customHeight="1" s="104">
      <c r="BA1858" s="201" t="n">
        <v>0</v>
      </c>
    </row>
    <row r="1859" ht="15" customHeight="1" s="104">
      <c r="BA1859" s="201" t="n">
        <v>0</v>
      </c>
    </row>
    <row r="1860" ht="15" customHeight="1" s="104">
      <c r="BA1860" s="201" t="n">
        <v>0</v>
      </c>
    </row>
    <row r="1861" ht="15" customHeight="1" s="104">
      <c r="BA1861" s="201" t="n">
        <v>0</v>
      </c>
    </row>
    <row r="1862" ht="15" customHeight="1" s="104">
      <c r="BA1862" s="201" t="n">
        <v>0</v>
      </c>
    </row>
    <row r="1863" ht="15" customHeight="1" s="104">
      <c r="BA1863" s="201" t="n">
        <v>0</v>
      </c>
    </row>
    <row r="1864" ht="15" customHeight="1" s="104">
      <c r="BA1864" s="201" t="n">
        <v>0</v>
      </c>
    </row>
    <row r="1865" ht="15" customHeight="1" s="104">
      <c r="BA1865" s="201" t="n">
        <v>0</v>
      </c>
    </row>
    <row r="1866" ht="15" customHeight="1" s="104">
      <c r="BA1866" s="201" t="n">
        <v>0</v>
      </c>
    </row>
    <row r="1867" ht="15" customHeight="1" s="104">
      <c r="BA1867" s="201" t="n">
        <v>0</v>
      </c>
    </row>
    <row r="1868" ht="15" customHeight="1" s="104">
      <c r="BA1868" s="201" t="n">
        <v>0</v>
      </c>
    </row>
    <row r="1869" ht="15" customHeight="1" s="104">
      <c r="BA1869" s="201" t="n">
        <v>0</v>
      </c>
    </row>
    <row r="1870" ht="15" customHeight="1" s="104">
      <c r="BA1870" s="201" t="n">
        <v>0</v>
      </c>
    </row>
    <row r="1871" ht="15" customHeight="1" s="104">
      <c r="BA1871" s="201" t="n">
        <v>0</v>
      </c>
    </row>
    <row r="1872" ht="15" customHeight="1" s="104">
      <c r="BA1872" s="201" t="n">
        <v>0</v>
      </c>
    </row>
    <row r="1873" ht="15" customHeight="1" s="104">
      <c r="BA1873" s="201" t="n">
        <v>0</v>
      </c>
    </row>
    <row r="1874" ht="15" customHeight="1" s="104">
      <c r="BA1874" s="201" t="n">
        <v>0</v>
      </c>
    </row>
    <row r="1875" ht="15" customHeight="1" s="104">
      <c r="BA1875" s="201" t="n">
        <v>0</v>
      </c>
    </row>
    <row r="1876" ht="15" customHeight="1" s="104">
      <c r="BA1876" s="201" t="n">
        <v>0</v>
      </c>
    </row>
    <row r="1877" ht="15" customHeight="1" s="104">
      <c r="BA1877" s="201" t="n">
        <v>0</v>
      </c>
    </row>
    <row r="1878" ht="15" customHeight="1" s="104">
      <c r="BA1878" s="201" t="n">
        <v>0</v>
      </c>
    </row>
    <row r="1879" ht="15" customHeight="1" s="104">
      <c r="BA1879" s="201" t="n">
        <v>0</v>
      </c>
    </row>
    <row r="1880" ht="15" customHeight="1" s="104">
      <c r="BA1880" s="201" t="n">
        <v>0</v>
      </c>
    </row>
    <row r="1881" ht="15" customHeight="1" s="104">
      <c r="BA1881" s="201" t="n">
        <v>0</v>
      </c>
    </row>
    <row r="1882" ht="15" customHeight="1" s="104">
      <c r="BA1882" s="201" t="n">
        <v>0</v>
      </c>
    </row>
    <row r="1883" ht="15" customHeight="1" s="104">
      <c r="BA1883" s="201" t="n">
        <v>0</v>
      </c>
    </row>
    <row r="1884" ht="15" customHeight="1" s="104">
      <c r="BA1884" s="201" t="n">
        <v>0</v>
      </c>
    </row>
    <row r="1885" ht="15" customHeight="1" s="104">
      <c r="BA1885" s="201" t="n">
        <v>0</v>
      </c>
    </row>
    <row r="1886" ht="15" customHeight="1" s="104">
      <c r="BA1886" s="201" t="n">
        <v>0</v>
      </c>
    </row>
    <row r="1887" ht="15" customHeight="1" s="104">
      <c r="BA1887" s="201" t="n">
        <v>0</v>
      </c>
    </row>
    <row r="1888" ht="15" customHeight="1" s="104">
      <c r="BA1888" s="201" t="n">
        <v>0</v>
      </c>
    </row>
    <row r="1889" ht="15" customHeight="1" s="104">
      <c r="BA1889" s="201" t="n">
        <v>0</v>
      </c>
    </row>
    <row r="1890" ht="15" customHeight="1" s="104">
      <c r="BA1890" s="201" t="n">
        <v>0</v>
      </c>
    </row>
    <row r="1891" ht="15" customHeight="1" s="104">
      <c r="BA1891" s="201" t="n">
        <v>0</v>
      </c>
    </row>
    <row r="1892" ht="15" customHeight="1" s="104">
      <c r="BA1892" s="201" t="n">
        <v>0</v>
      </c>
    </row>
    <row r="1893" ht="15" customHeight="1" s="104">
      <c r="BA1893" s="201" t="n">
        <v>0</v>
      </c>
    </row>
    <row r="1894" ht="15" customHeight="1" s="104">
      <c r="BA1894" s="201" t="n">
        <v>0</v>
      </c>
    </row>
    <row r="1895" ht="15" customHeight="1" s="104">
      <c r="BA1895" s="201" t="n">
        <v>0</v>
      </c>
    </row>
    <row r="1896" ht="15" customHeight="1" s="104">
      <c r="BA1896" s="201" t="n">
        <v>0</v>
      </c>
    </row>
    <row r="1897" ht="15" customHeight="1" s="104">
      <c r="BA1897" s="201" t="n">
        <v>0</v>
      </c>
    </row>
    <row r="1898" ht="15" customHeight="1" s="104">
      <c r="BA1898" s="201" t="n">
        <v>0</v>
      </c>
    </row>
    <row r="1899" ht="15" customHeight="1" s="104">
      <c r="BA1899" s="201" t="n">
        <v>0</v>
      </c>
    </row>
    <row r="1900" ht="15" customHeight="1" s="104">
      <c r="BA1900" s="201" t="n">
        <v>0</v>
      </c>
    </row>
    <row r="1901" ht="15" customHeight="1" s="104">
      <c r="BA1901" s="201" t="n">
        <v>0</v>
      </c>
    </row>
    <row r="1902" ht="15" customHeight="1" s="104">
      <c r="BA1902" s="201" t="n">
        <v>0</v>
      </c>
    </row>
    <row r="1903" ht="15" customHeight="1" s="104">
      <c r="BA1903" s="201" t="n">
        <v>0</v>
      </c>
    </row>
    <row r="1904" ht="15" customHeight="1" s="104">
      <c r="BA1904" s="201" t="n">
        <v>0</v>
      </c>
    </row>
    <row r="1905" ht="15" customHeight="1" s="104">
      <c r="BA1905" s="201" t="n">
        <v>0</v>
      </c>
    </row>
    <row r="1906" ht="15" customHeight="1" s="104">
      <c r="BA1906" s="201" t="n">
        <v>0</v>
      </c>
    </row>
    <row r="1907" ht="15" customHeight="1" s="104">
      <c r="BA1907" s="201" t="n">
        <v>0</v>
      </c>
    </row>
    <row r="1908" ht="15" customHeight="1" s="104">
      <c r="BA1908" s="201" t="n">
        <v>0</v>
      </c>
    </row>
    <row r="1909" ht="15" customHeight="1" s="104">
      <c r="BA1909" s="201" t="n">
        <v>0</v>
      </c>
    </row>
    <row r="1910" ht="15" customHeight="1" s="104">
      <c r="BA1910" s="201" t="n">
        <v>0</v>
      </c>
    </row>
    <row r="1911" ht="15" customHeight="1" s="104">
      <c r="BA1911" s="201" t="n">
        <v>0</v>
      </c>
    </row>
    <row r="1912" ht="15" customHeight="1" s="104">
      <c r="BA1912" s="201" t="n">
        <v>0</v>
      </c>
    </row>
    <row r="1913" ht="15" customHeight="1" s="104">
      <c r="BA1913" s="201" t="n">
        <v>0</v>
      </c>
    </row>
    <row r="1914" ht="15" customHeight="1" s="104">
      <c r="BA1914" s="201" t="n">
        <v>0</v>
      </c>
    </row>
    <row r="1915" ht="15" customHeight="1" s="104">
      <c r="BA1915" s="201" t="n">
        <v>0</v>
      </c>
    </row>
    <row r="1916" ht="15" customHeight="1" s="104">
      <c r="BA1916" s="201" t="n">
        <v>0</v>
      </c>
    </row>
    <row r="1917" ht="15" customHeight="1" s="104">
      <c r="BA1917" s="201" t="n">
        <v>0</v>
      </c>
    </row>
    <row r="1918" ht="15" customHeight="1" s="104">
      <c r="BA1918" s="201" t="n">
        <v>0</v>
      </c>
    </row>
    <row r="1919" ht="15" customHeight="1" s="104">
      <c r="BA1919" s="201" t="n">
        <v>0</v>
      </c>
    </row>
    <row r="1920" ht="15" customHeight="1" s="104">
      <c r="BA1920" s="201" t="n">
        <v>0</v>
      </c>
    </row>
    <row r="1921" ht="15" customHeight="1" s="104">
      <c r="BA1921" s="201" t="n">
        <v>0</v>
      </c>
    </row>
    <row r="1922" ht="15" customHeight="1" s="104">
      <c r="BA1922" s="201" t="n">
        <v>0</v>
      </c>
    </row>
    <row r="1923" ht="15" customHeight="1" s="104">
      <c r="BA1923" s="201" t="n">
        <v>0</v>
      </c>
    </row>
    <row r="1924" ht="15" customHeight="1" s="104">
      <c r="BA1924" s="201" t="n">
        <v>0</v>
      </c>
    </row>
    <row r="1925" ht="15" customHeight="1" s="104">
      <c r="BA1925" s="201" t="n">
        <v>0</v>
      </c>
    </row>
    <row r="1926" ht="15" customHeight="1" s="104">
      <c r="BA1926" s="201" t="n">
        <v>0</v>
      </c>
    </row>
    <row r="1927" ht="15" customHeight="1" s="104">
      <c r="BA1927" s="201" t="n">
        <v>0</v>
      </c>
    </row>
    <row r="1928" ht="15" customHeight="1" s="104">
      <c r="BA1928" s="201" t="n">
        <v>0</v>
      </c>
    </row>
    <row r="1929" ht="15" customHeight="1" s="104">
      <c r="BA1929" s="201" t="n">
        <v>0</v>
      </c>
    </row>
    <row r="1930" ht="15" customHeight="1" s="104">
      <c r="BA1930" s="201" t="n">
        <v>0</v>
      </c>
    </row>
    <row r="1931" ht="15" customHeight="1" s="104">
      <c r="BA1931" s="201" t="n">
        <v>0</v>
      </c>
    </row>
    <row r="1932" ht="15" customHeight="1" s="104">
      <c r="BA1932" s="201" t="n">
        <v>0</v>
      </c>
    </row>
    <row r="1933" ht="15" customHeight="1" s="104">
      <c r="BA1933" s="201" t="n">
        <v>0</v>
      </c>
    </row>
    <row r="1934" ht="15" customHeight="1" s="104">
      <c r="BA1934" s="201" t="n">
        <v>0</v>
      </c>
    </row>
    <row r="1935" ht="15" customHeight="1" s="104">
      <c r="BA1935" s="201" t="n">
        <v>0</v>
      </c>
    </row>
    <row r="1936" ht="15" customHeight="1" s="104">
      <c r="BA1936" s="201" t="n">
        <v>0</v>
      </c>
    </row>
    <row r="1937" ht="15" customHeight="1" s="104">
      <c r="BA1937" s="201" t="n">
        <v>0</v>
      </c>
    </row>
    <row r="1938" ht="15" customHeight="1" s="104">
      <c r="BA1938" s="201" t="n">
        <v>0</v>
      </c>
    </row>
    <row r="1939" ht="15" customHeight="1" s="104">
      <c r="BA1939" s="201" t="n">
        <v>0</v>
      </c>
    </row>
    <row r="1940" ht="15" customHeight="1" s="104">
      <c r="BA1940" s="201" t="n">
        <v>0</v>
      </c>
    </row>
    <row r="1941" ht="15" customHeight="1" s="104">
      <c r="BA1941" s="201" t="n">
        <v>0</v>
      </c>
    </row>
    <row r="1942" ht="15" customHeight="1" s="104">
      <c r="BA1942" s="201" t="n">
        <v>0</v>
      </c>
    </row>
    <row r="1943" ht="15" customHeight="1" s="104">
      <c r="BA1943" s="201" t="n">
        <v>0</v>
      </c>
    </row>
    <row r="1944" ht="15" customHeight="1" s="104">
      <c r="BA1944" s="201" t="n">
        <v>0</v>
      </c>
    </row>
    <row r="1945" ht="15" customHeight="1" s="104">
      <c r="BA1945" s="201" t="n">
        <v>0</v>
      </c>
    </row>
    <row r="1946" ht="15" customHeight="1" s="104">
      <c r="BA1946" s="201" t="n">
        <v>0</v>
      </c>
    </row>
    <row r="1947" ht="15" customHeight="1" s="104">
      <c r="BA1947" s="201" t="n">
        <v>0</v>
      </c>
    </row>
    <row r="1948" ht="15" customHeight="1" s="104">
      <c r="BA1948" s="201" t="n">
        <v>0</v>
      </c>
    </row>
    <row r="1949" ht="15" customHeight="1" s="104">
      <c r="BA1949" s="201" t="n">
        <v>0</v>
      </c>
    </row>
    <row r="1950" ht="15" customHeight="1" s="104">
      <c r="BA1950" s="201" t="n">
        <v>0</v>
      </c>
    </row>
    <row r="1951" ht="15" customHeight="1" s="104">
      <c r="BA1951" s="201" t="n">
        <v>0</v>
      </c>
    </row>
    <row r="1952" ht="15" customHeight="1" s="104">
      <c r="BA1952" s="201" t="n">
        <v>0</v>
      </c>
    </row>
    <row r="1953" ht="15" customHeight="1" s="104">
      <c r="BA1953" s="201" t="n">
        <v>0</v>
      </c>
    </row>
    <row r="1954" ht="15" customHeight="1" s="104">
      <c r="BA1954" s="201" t="n">
        <v>0</v>
      </c>
    </row>
    <row r="1955" ht="15" customHeight="1" s="104">
      <c r="BA1955" s="201" t="n">
        <v>0</v>
      </c>
    </row>
    <row r="1956" ht="15" customHeight="1" s="104">
      <c r="BA1956" s="201" t="n">
        <v>0</v>
      </c>
    </row>
    <row r="1957" ht="15" customHeight="1" s="104">
      <c r="BA1957" s="201" t="n">
        <v>0</v>
      </c>
    </row>
    <row r="1958" ht="15" customHeight="1" s="104">
      <c r="BA1958" s="201" t="n">
        <v>0</v>
      </c>
    </row>
    <row r="1959" ht="15" customHeight="1" s="104">
      <c r="BA1959" s="201" t="n">
        <v>0</v>
      </c>
    </row>
    <row r="1960" ht="15" customHeight="1" s="104">
      <c r="BA1960" s="201" t="n">
        <v>0</v>
      </c>
    </row>
    <row r="1961" ht="15" customHeight="1" s="104">
      <c r="BA1961" s="201" t="n">
        <v>0</v>
      </c>
    </row>
    <row r="1962" ht="15" customHeight="1" s="104">
      <c r="BA1962" s="201" t="n">
        <v>0</v>
      </c>
    </row>
    <row r="1963" ht="15" customHeight="1" s="104">
      <c r="BA1963" s="201" t="n">
        <v>0</v>
      </c>
    </row>
    <row r="1964" ht="15" customHeight="1" s="104">
      <c r="BA1964" s="201" t="n">
        <v>0</v>
      </c>
    </row>
    <row r="1965" ht="15" customHeight="1" s="104">
      <c r="BA1965" s="201" t="n">
        <v>0</v>
      </c>
    </row>
    <row r="1966" ht="15" customHeight="1" s="104">
      <c r="BA1966" s="201" t="n">
        <v>0</v>
      </c>
    </row>
    <row r="1967" ht="15" customHeight="1" s="104">
      <c r="BA1967" s="201" t="n">
        <v>0</v>
      </c>
    </row>
    <row r="1968" ht="15" customHeight="1" s="104">
      <c r="BA1968" s="201" t="n">
        <v>0</v>
      </c>
    </row>
    <row r="1969" ht="15" customHeight="1" s="104">
      <c r="BA1969" s="201" t="n">
        <v>0</v>
      </c>
    </row>
    <row r="1970" ht="15" customHeight="1" s="104">
      <c r="BA1970" s="201" t="n">
        <v>0</v>
      </c>
    </row>
    <row r="1971" ht="15" customHeight="1" s="104">
      <c r="BA1971" s="201" t="n">
        <v>0</v>
      </c>
    </row>
    <row r="1972" ht="15" customHeight="1" s="104">
      <c r="BA1972" s="201" t="n">
        <v>0</v>
      </c>
    </row>
    <row r="1973" ht="15" customHeight="1" s="104">
      <c r="BA1973" s="201" t="n">
        <v>0</v>
      </c>
    </row>
    <row r="1974" ht="15" customHeight="1" s="104">
      <c r="BA1974" s="201" t="n">
        <v>0</v>
      </c>
    </row>
    <row r="1975" ht="15" customHeight="1" s="104">
      <c r="BA1975" s="201" t="n">
        <v>0</v>
      </c>
    </row>
    <row r="1976" ht="15" customHeight="1" s="104">
      <c r="BA1976" s="201" t="n">
        <v>0</v>
      </c>
    </row>
    <row r="1977" ht="15" customHeight="1" s="104">
      <c r="BA1977" s="201" t="n">
        <v>0</v>
      </c>
    </row>
    <row r="1978" ht="15" customHeight="1" s="104">
      <c r="BA1978" s="201" t="n">
        <v>0</v>
      </c>
    </row>
    <row r="1979" ht="15" customHeight="1" s="104">
      <c r="BA1979" s="201" t="n">
        <v>0</v>
      </c>
    </row>
    <row r="1980" ht="15" customHeight="1" s="104">
      <c r="BA1980" s="201" t="n">
        <v>0</v>
      </c>
    </row>
    <row r="1981" ht="15" customHeight="1" s="104">
      <c r="BA1981" s="201" t="n">
        <v>0</v>
      </c>
    </row>
    <row r="1982" ht="15" customHeight="1" s="104">
      <c r="BA1982" s="201" t="n">
        <v>0</v>
      </c>
    </row>
    <row r="1983" ht="15" customHeight="1" s="104">
      <c r="BA1983" s="201" t="n">
        <v>0</v>
      </c>
    </row>
    <row r="1984" ht="15" customHeight="1" s="104">
      <c r="BA1984" s="201" t="n">
        <v>0</v>
      </c>
    </row>
    <row r="1985" ht="15" customHeight="1" s="104">
      <c r="BA1985" s="201" t="n">
        <v>0</v>
      </c>
    </row>
    <row r="1986" ht="15" customHeight="1" s="104">
      <c r="BA1986" s="201" t="n">
        <v>0</v>
      </c>
    </row>
    <row r="1987" ht="15" customHeight="1" s="104">
      <c r="BA1987" s="201" t="n">
        <v>0</v>
      </c>
    </row>
    <row r="1988" ht="15" customHeight="1" s="104">
      <c r="BA1988" s="201" t="n">
        <v>0</v>
      </c>
    </row>
    <row r="1989" ht="15" customHeight="1" s="104">
      <c r="BA1989" s="201" t="n">
        <v>0</v>
      </c>
    </row>
    <row r="1990" ht="15" customHeight="1" s="104">
      <c r="BA1990" s="201" t="n">
        <v>0</v>
      </c>
    </row>
    <row r="1991" ht="15" customHeight="1" s="104">
      <c r="BA1991" s="201" t="n">
        <v>0</v>
      </c>
    </row>
    <row r="1992" ht="15" customHeight="1" s="104">
      <c r="BA1992" s="201" t="n">
        <v>0</v>
      </c>
    </row>
    <row r="1993" ht="15" customHeight="1" s="104">
      <c r="BA1993" s="201" t="n">
        <v>0</v>
      </c>
    </row>
    <row r="1994" ht="15" customHeight="1" s="104">
      <c r="BA1994" s="201" t="n">
        <v>0</v>
      </c>
    </row>
    <row r="1995" ht="15" customHeight="1" s="104">
      <c r="BA1995" s="201" t="n">
        <v>0</v>
      </c>
    </row>
    <row r="1996" ht="15" customHeight="1" s="104">
      <c r="BA1996" s="201" t="n">
        <v>0</v>
      </c>
    </row>
    <row r="1997" ht="15" customHeight="1" s="104">
      <c r="BA1997" s="201" t="n">
        <v>0</v>
      </c>
    </row>
    <row r="1998" ht="15" customHeight="1" s="104">
      <c r="BA1998" s="201" t="n">
        <v>0</v>
      </c>
    </row>
    <row r="1999" ht="15" customHeight="1" s="104">
      <c r="BA1999" s="201" t="n">
        <v>0</v>
      </c>
    </row>
    <row r="2000" ht="15" customHeight="1" s="104">
      <c r="BA2000" s="201" t="n">
        <v>0</v>
      </c>
    </row>
    <row r="2001" ht="15" customHeight="1" s="104">
      <c r="BA2001" s="201" t="n">
        <v>0</v>
      </c>
    </row>
    <row r="2002" ht="15" customHeight="1" s="104">
      <c r="BA2002" s="201" t="n">
        <v>0</v>
      </c>
    </row>
    <row r="2003" ht="15" customHeight="1" s="104">
      <c r="BA2003" s="201" t="n">
        <v>0</v>
      </c>
    </row>
    <row r="2004" ht="15" customHeight="1" s="104">
      <c r="BA2004" s="201" t="n">
        <v>0</v>
      </c>
    </row>
    <row r="2005" ht="15" customHeight="1" s="104">
      <c r="BA2005" s="201" t="n">
        <v>0</v>
      </c>
    </row>
    <row r="2006" ht="15" customHeight="1" s="104">
      <c r="BA2006" s="201" t="n">
        <v>0</v>
      </c>
    </row>
    <row r="2007" ht="15" customHeight="1" s="104">
      <c r="BA2007" s="201" t="n">
        <v>0</v>
      </c>
    </row>
    <row r="2008" ht="15" customHeight="1" s="104">
      <c r="BA2008" s="201" t="n">
        <v>0</v>
      </c>
    </row>
    <row r="2009" ht="15" customHeight="1" s="104">
      <c r="BA2009" s="201" t="n">
        <v>0</v>
      </c>
    </row>
    <row r="2010" ht="15" customHeight="1" s="104">
      <c r="BA2010" s="201" t="n">
        <v>0</v>
      </c>
    </row>
    <row r="2011" ht="15" customHeight="1" s="104">
      <c r="BA2011" s="201" t="n">
        <v>0</v>
      </c>
    </row>
    <row r="2012" ht="15" customHeight="1" s="104">
      <c r="BA2012" s="201" t="n">
        <v>0</v>
      </c>
    </row>
    <row r="2013" ht="15" customHeight="1" s="104">
      <c r="BA2013" s="201" t="n">
        <v>0</v>
      </c>
    </row>
    <row r="2014" ht="15" customHeight="1" s="104">
      <c r="BA2014" s="201" t="n">
        <v>0</v>
      </c>
    </row>
    <row r="2015" ht="15" customHeight="1" s="104">
      <c r="BA2015" s="201" t="n">
        <v>0</v>
      </c>
    </row>
    <row r="2016" ht="15" customHeight="1" s="104">
      <c r="BA2016" s="201" t="n">
        <v>0</v>
      </c>
    </row>
    <row r="2017" ht="15" customHeight="1" s="104">
      <c r="BA2017" s="201" t="n">
        <v>0</v>
      </c>
    </row>
    <row r="2018" ht="15" customHeight="1" s="104">
      <c r="BA2018" s="201" t="n">
        <v>0</v>
      </c>
    </row>
    <row r="2019" ht="15" customHeight="1" s="104">
      <c r="BA2019" s="201" t="n">
        <v>0</v>
      </c>
    </row>
    <row r="2020" ht="15" customHeight="1" s="104">
      <c r="BA2020" s="201" t="n">
        <v>0</v>
      </c>
    </row>
    <row r="2021" ht="15" customHeight="1" s="104">
      <c r="BA2021" s="201" t="n">
        <v>0</v>
      </c>
    </row>
    <row r="2022" ht="15" customHeight="1" s="104">
      <c r="BA2022" s="201" t="n">
        <v>0</v>
      </c>
    </row>
    <row r="2023" ht="15" customHeight="1" s="104">
      <c r="BA2023" s="201" t="n">
        <v>0</v>
      </c>
    </row>
    <row r="2024" ht="15" customHeight="1" s="104">
      <c r="BA2024" s="201" t="n">
        <v>0</v>
      </c>
    </row>
    <row r="2025" ht="15" customHeight="1" s="104">
      <c r="BA2025" s="201" t="n">
        <v>0</v>
      </c>
    </row>
    <row r="2026" ht="15" customHeight="1" s="104">
      <c r="BA2026" s="201" t="n">
        <v>0</v>
      </c>
    </row>
    <row r="2027" ht="15" customHeight="1" s="104">
      <c r="BA2027" s="201" t="n">
        <v>0</v>
      </c>
    </row>
    <row r="2028" ht="15" customHeight="1" s="104">
      <c r="BA2028" s="201" t="n">
        <v>0</v>
      </c>
    </row>
    <row r="2029" ht="15" customHeight="1" s="104">
      <c r="BA2029" s="201" t="n">
        <v>0</v>
      </c>
    </row>
    <row r="2030" ht="15" customHeight="1" s="104">
      <c r="BA2030" s="201" t="n">
        <v>0</v>
      </c>
    </row>
    <row r="2031" ht="15" customHeight="1" s="104">
      <c r="BA2031" s="201" t="n">
        <v>0</v>
      </c>
    </row>
    <row r="2032" ht="15" customHeight="1" s="104">
      <c r="BA2032" s="201" t="n">
        <v>0</v>
      </c>
    </row>
    <row r="2033" ht="15" customHeight="1" s="104">
      <c r="BA2033" s="201" t="n">
        <v>0</v>
      </c>
    </row>
    <row r="2034" ht="15" customHeight="1" s="104">
      <c r="BA2034" s="201" t="n">
        <v>0</v>
      </c>
    </row>
    <row r="2035" ht="15" customHeight="1" s="104">
      <c r="BA2035" s="201" t="n">
        <v>0</v>
      </c>
    </row>
    <row r="2036" ht="15" customHeight="1" s="104">
      <c r="BA2036" s="201" t="n">
        <v>0</v>
      </c>
    </row>
    <row r="2037" ht="15" customHeight="1" s="104">
      <c r="BA2037" s="201" t="n">
        <v>0</v>
      </c>
    </row>
    <row r="2038" ht="15" customHeight="1" s="104">
      <c r="BA2038" s="201" t="n">
        <v>0</v>
      </c>
    </row>
    <row r="2039" ht="15" customHeight="1" s="104">
      <c r="BA2039" s="201" t="n">
        <v>0</v>
      </c>
    </row>
    <row r="2040" ht="15" customHeight="1" s="104">
      <c r="BA2040" s="201" t="n">
        <v>0</v>
      </c>
    </row>
    <row r="2041" ht="15" customHeight="1" s="104">
      <c r="BA2041" s="201" t="n">
        <v>0</v>
      </c>
    </row>
    <row r="2042" ht="15" customHeight="1" s="104">
      <c r="BA2042" s="201" t="n">
        <v>0</v>
      </c>
    </row>
    <row r="2043" ht="15" customHeight="1" s="104">
      <c r="BA2043" s="201" t="n">
        <v>0</v>
      </c>
    </row>
    <row r="2044" ht="15" customHeight="1" s="104">
      <c r="BA2044" s="201" t="n">
        <v>0</v>
      </c>
    </row>
    <row r="2045" ht="15" customHeight="1" s="104">
      <c r="BA2045" s="201" t="n">
        <v>0</v>
      </c>
    </row>
    <row r="2046" ht="15" customHeight="1" s="104">
      <c r="BA2046" s="201" t="n">
        <v>0</v>
      </c>
    </row>
    <row r="2047" ht="15" customHeight="1" s="104">
      <c r="BA2047" s="201" t="n">
        <v>0</v>
      </c>
    </row>
    <row r="2048" ht="15" customHeight="1" s="104">
      <c r="BA2048" s="201" t="n">
        <v>0</v>
      </c>
    </row>
    <row r="2049" ht="15" customHeight="1" s="104">
      <c r="BA2049" s="201" t="n">
        <v>0</v>
      </c>
    </row>
    <row r="2050" ht="15" customHeight="1" s="104">
      <c r="BA2050" s="201" t="n">
        <v>0</v>
      </c>
    </row>
    <row r="2051" ht="15" customHeight="1" s="104">
      <c r="BA2051" s="201" t="n">
        <v>0</v>
      </c>
    </row>
    <row r="2052" ht="15" customHeight="1" s="104">
      <c r="BA2052" s="201" t="n">
        <v>0</v>
      </c>
    </row>
    <row r="2053" ht="15" customHeight="1" s="104">
      <c r="BA2053" s="201" t="n">
        <v>0</v>
      </c>
    </row>
    <row r="2054" ht="15" customHeight="1" s="104">
      <c r="BA2054" s="201" t="n">
        <v>0</v>
      </c>
    </row>
    <row r="2055" ht="15" customHeight="1" s="104">
      <c r="BA2055" s="201" t="n">
        <v>0</v>
      </c>
    </row>
    <row r="2056" ht="15" customHeight="1" s="104">
      <c r="BA2056" s="201" t="n">
        <v>0</v>
      </c>
    </row>
    <row r="2057" ht="15" customHeight="1" s="104">
      <c r="BA2057" s="201" t="n">
        <v>0</v>
      </c>
    </row>
    <row r="2058" ht="15" customHeight="1" s="104">
      <c r="BA2058" s="201" t="n">
        <v>0</v>
      </c>
    </row>
    <row r="2059" ht="15" customHeight="1" s="104">
      <c r="BA2059" s="201" t="n">
        <v>0</v>
      </c>
    </row>
    <row r="2060" ht="15" customHeight="1" s="104">
      <c r="BA2060" s="201" t="n">
        <v>0</v>
      </c>
    </row>
    <row r="2061" ht="15" customHeight="1" s="104">
      <c r="BA2061" s="201" t="n">
        <v>0</v>
      </c>
    </row>
    <row r="2062" ht="15" customHeight="1" s="104">
      <c r="BA2062" s="201" t="n">
        <v>0</v>
      </c>
    </row>
    <row r="2063" ht="15" customHeight="1" s="104">
      <c r="BA2063" s="201" t="n">
        <v>0</v>
      </c>
    </row>
    <row r="2064" ht="15" customHeight="1" s="104">
      <c r="BA2064" s="201" t="n">
        <v>0</v>
      </c>
    </row>
    <row r="2065" ht="15" customHeight="1" s="104">
      <c r="BA2065" s="201" t="n">
        <v>0</v>
      </c>
    </row>
    <row r="2066" ht="15" customHeight="1" s="104">
      <c r="BA2066" s="201" t="n">
        <v>0</v>
      </c>
    </row>
    <row r="2067" ht="15" customHeight="1" s="104">
      <c r="BA2067" s="201" t="n">
        <v>0</v>
      </c>
    </row>
    <row r="2068" ht="15" customHeight="1" s="104">
      <c r="BA2068" s="201" t="n">
        <v>0</v>
      </c>
    </row>
    <row r="2069" ht="15" customHeight="1" s="104">
      <c r="BA2069" s="201" t="n">
        <v>0</v>
      </c>
    </row>
    <row r="2070" ht="15" customHeight="1" s="104">
      <c r="BA2070" s="201" t="n">
        <v>0</v>
      </c>
    </row>
    <row r="2071" ht="15" customHeight="1" s="104">
      <c r="BA2071" s="201" t="n">
        <v>0</v>
      </c>
    </row>
    <row r="2072" ht="15" customHeight="1" s="104">
      <c r="BA2072" s="201" t="n">
        <v>0</v>
      </c>
    </row>
    <row r="2073" ht="15" customHeight="1" s="104">
      <c r="BA2073" s="201" t="n">
        <v>0</v>
      </c>
    </row>
    <row r="2074" ht="15" customHeight="1" s="104">
      <c r="BA2074" s="201" t="n">
        <v>0</v>
      </c>
    </row>
    <row r="2075" ht="15" customHeight="1" s="104">
      <c r="BA2075" s="201" t="n">
        <v>0</v>
      </c>
    </row>
    <row r="2076" ht="15" customHeight="1" s="104">
      <c r="BA2076" s="201" t="n">
        <v>0</v>
      </c>
    </row>
    <row r="2077" ht="15" customHeight="1" s="104">
      <c r="BA2077" s="201" t="n">
        <v>0</v>
      </c>
    </row>
    <row r="2078" ht="15" customHeight="1" s="104">
      <c r="BA2078" s="201" t="n">
        <v>0</v>
      </c>
    </row>
    <row r="2079" ht="15" customHeight="1" s="104">
      <c r="BA2079" s="201" t="n">
        <v>0</v>
      </c>
    </row>
    <row r="2080" ht="15" customHeight="1" s="104">
      <c r="BA2080" s="201" t="n">
        <v>0</v>
      </c>
    </row>
    <row r="2081" ht="15" customHeight="1" s="104">
      <c r="BA2081" s="201" t="n">
        <v>0</v>
      </c>
    </row>
    <row r="2082" ht="15" customHeight="1" s="104">
      <c r="BA2082" s="201" t="n">
        <v>0</v>
      </c>
    </row>
    <row r="2083" ht="15" customHeight="1" s="104">
      <c r="BA2083" s="201" t="n">
        <v>0</v>
      </c>
    </row>
    <row r="2084" ht="15" customHeight="1" s="104">
      <c r="BA2084" s="201" t="n">
        <v>0</v>
      </c>
    </row>
    <row r="2085" ht="15" customHeight="1" s="104">
      <c r="BA2085" s="201" t="n">
        <v>0</v>
      </c>
    </row>
    <row r="2086" ht="15" customHeight="1" s="104">
      <c r="BA2086" s="201" t="n">
        <v>0</v>
      </c>
    </row>
    <row r="2087" ht="15" customHeight="1" s="104">
      <c r="BA2087" s="201" t="n">
        <v>0</v>
      </c>
    </row>
    <row r="2088" ht="15" customHeight="1" s="104">
      <c r="BA2088" s="201" t="n">
        <v>0</v>
      </c>
    </row>
    <row r="2089" ht="15" customHeight="1" s="104">
      <c r="BA2089" s="201" t="n">
        <v>0</v>
      </c>
    </row>
    <row r="2090" ht="15" customHeight="1" s="104">
      <c r="BA2090" s="201" t="n">
        <v>0</v>
      </c>
    </row>
    <row r="2091" ht="15" customHeight="1" s="104">
      <c r="BA2091" s="201" t="n">
        <v>0</v>
      </c>
    </row>
    <row r="2092" ht="15" customHeight="1" s="104">
      <c r="BA2092" s="201" t="n">
        <v>0</v>
      </c>
    </row>
    <row r="2093" ht="15" customHeight="1" s="104">
      <c r="BA2093" s="201" t="n">
        <v>0</v>
      </c>
    </row>
    <row r="2094" ht="15" customHeight="1" s="104">
      <c r="BA2094" s="201" t="n">
        <v>0</v>
      </c>
    </row>
    <row r="2095" ht="15" customHeight="1" s="104">
      <c r="BA2095" s="201" t="n">
        <v>0</v>
      </c>
    </row>
    <row r="2096" ht="15" customHeight="1" s="104">
      <c r="BA2096" s="201" t="n">
        <v>0</v>
      </c>
    </row>
    <row r="2097" ht="15" customHeight="1" s="104">
      <c r="BA2097" s="201" t="n">
        <v>0</v>
      </c>
    </row>
    <row r="2098" ht="15" customHeight="1" s="104">
      <c r="BA2098" s="201" t="n">
        <v>0</v>
      </c>
    </row>
    <row r="2099" ht="15" customHeight="1" s="104">
      <c r="BA2099" s="201" t="n">
        <v>0</v>
      </c>
    </row>
    <row r="2100" ht="15" customHeight="1" s="104">
      <c r="BA2100" s="201" t="n">
        <v>0</v>
      </c>
    </row>
    <row r="2101" ht="15" customHeight="1" s="104">
      <c r="BA2101" s="201" t="n">
        <v>0</v>
      </c>
    </row>
    <row r="2102" ht="15" customHeight="1" s="104">
      <c r="BA2102" s="201" t="n">
        <v>0</v>
      </c>
    </row>
    <row r="2103" ht="15" customHeight="1" s="104">
      <c r="BA2103" s="201" t="n">
        <v>0</v>
      </c>
    </row>
    <row r="2104" ht="15" customHeight="1" s="104">
      <c r="BA2104" s="201" t="n">
        <v>0</v>
      </c>
    </row>
    <row r="2105" ht="15" customHeight="1" s="104">
      <c r="BA2105" s="201" t="n">
        <v>0</v>
      </c>
    </row>
    <row r="2106" ht="15" customHeight="1" s="104">
      <c r="BA2106" s="201" t="n">
        <v>0</v>
      </c>
    </row>
    <row r="2107" ht="15" customHeight="1" s="104">
      <c r="BA2107" s="201" t="n">
        <v>0</v>
      </c>
    </row>
    <row r="2108" ht="15" customHeight="1" s="104">
      <c r="BA2108" s="201" t="n">
        <v>0</v>
      </c>
    </row>
    <row r="2109" ht="15" customHeight="1" s="104">
      <c r="BA2109" s="201" t="n">
        <v>0</v>
      </c>
    </row>
    <row r="2110" ht="15" customHeight="1" s="104">
      <c r="BA2110" s="201" t="n">
        <v>0</v>
      </c>
    </row>
    <row r="2111" ht="15" customHeight="1" s="104">
      <c r="BA2111" s="201" t="n">
        <v>0</v>
      </c>
    </row>
    <row r="2112" ht="15" customHeight="1" s="104">
      <c r="BA2112" s="201" t="n">
        <v>0</v>
      </c>
    </row>
    <row r="2113" ht="15" customHeight="1" s="104">
      <c r="BA2113" s="201" t="n">
        <v>0</v>
      </c>
    </row>
    <row r="2114" ht="15" customHeight="1" s="104">
      <c r="BA2114" s="201" t="n">
        <v>0</v>
      </c>
    </row>
    <row r="2115" ht="15" customHeight="1" s="104">
      <c r="BA2115" s="201" t="n">
        <v>0</v>
      </c>
    </row>
    <row r="2116" ht="15" customHeight="1" s="104">
      <c r="BA2116" s="201" t="n">
        <v>0</v>
      </c>
    </row>
    <row r="2117" ht="15" customHeight="1" s="104">
      <c r="BA2117" s="201" t="n">
        <v>0</v>
      </c>
    </row>
    <row r="2118" ht="15" customHeight="1" s="104">
      <c r="BA2118" s="201" t="n">
        <v>0</v>
      </c>
    </row>
    <row r="2119" ht="15" customHeight="1" s="104">
      <c r="BA2119" s="201" t="n">
        <v>0</v>
      </c>
    </row>
    <row r="2120" ht="15" customHeight="1" s="104">
      <c r="BA2120" s="201" t="n">
        <v>0</v>
      </c>
    </row>
    <row r="2121" ht="15" customHeight="1" s="104">
      <c r="BA2121" s="201" t="n">
        <v>0</v>
      </c>
    </row>
    <row r="2122" ht="15" customHeight="1" s="104">
      <c r="BA2122" s="201" t="n">
        <v>0</v>
      </c>
    </row>
    <row r="2123" ht="15" customHeight="1" s="104">
      <c r="BA2123" s="201" t="n">
        <v>0</v>
      </c>
    </row>
    <row r="2124" ht="15" customHeight="1" s="104">
      <c r="BA2124" s="201" t="n">
        <v>0</v>
      </c>
    </row>
    <row r="2125" ht="15" customHeight="1" s="104">
      <c r="BA2125" s="201" t="n">
        <v>0</v>
      </c>
    </row>
    <row r="2126" ht="15" customHeight="1" s="104">
      <c r="BA2126" s="201" t="n">
        <v>0</v>
      </c>
    </row>
    <row r="2127" ht="15" customHeight="1" s="104">
      <c r="BA2127" s="201" t="n">
        <v>0</v>
      </c>
    </row>
    <row r="2128" ht="15" customHeight="1" s="104">
      <c r="BA2128" s="201" t="n">
        <v>0</v>
      </c>
    </row>
    <row r="2129" ht="15" customHeight="1" s="104">
      <c r="BA2129" s="201" t="n">
        <v>0</v>
      </c>
    </row>
    <row r="2130" ht="15" customHeight="1" s="104">
      <c r="BA2130" s="201" t="n">
        <v>0</v>
      </c>
    </row>
    <row r="2131" ht="15" customHeight="1" s="104">
      <c r="BA2131" s="201" t="n">
        <v>0</v>
      </c>
    </row>
    <row r="2132" ht="15" customHeight="1" s="104">
      <c r="BA2132" s="201" t="n">
        <v>0</v>
      </c>
    </row>
    <row r="2133" ht="15" customHeight="1" s="104">
      <c r="BA2133" s="201" t="n">
        <v>0</v>
      </c>
    </row>
    <row r="2134" ht="15" customHeight="1" s="104">
      <c r="BA2134" s="201" t="n">
        <v>0</v>
      </c>
    </row>
    <row r="2135" ht="15" customHeight="1" s="104">
      <c r="BA2135" s="201" t="n">
        <v>0</v>
      </c>
    </row>
    <row r="2136" ht="15" customHeight="1" s="104">
      <c r="BA2136" s="201" t="n">
        <v>0</v>
      </c>
    </row>
    <row r="2137" ht="15" customHeight="1" s="104">
      <c r="BA2137" s="201" t="n">
        <v>0</v>
      </c>
    </row>
    <row r="2138" ht="15" customHeight="1" s="104">
      <c r="BA2138" s="201" t="n">
        <v>0</v>
      </c>
    </row>
    <row r="2139" ht="15" customHeight="1" s="104">
      <c r="BA2139" s="201" t="n">
        <v>0</v>
      </c>
    </row>
    <row r="2140" ht="15" customHeight="1" s="104">
      <c r="BA2140" s="201" t="n">
        <v>0</v>
      </c>
    </row>
    <row r="2141" ht="15" customHeight="1" s="104">
      <c r="BA2141" s="201" t="n">
        <v>0</v>
      </c>
    </row>
    <row r="2142" ht="15" customHeight="1" s="104">
      <c r="BA2142" s="201" t="n">
        <v>0</v>
      </c>
    </row>
    <row r="2143" ht="15" customHeight="1" s="104">
      <c r="BA2143" s="201" t="n">
        <v>0</v>
      </c>
    </row>
    <row r="2144" ht="15" customHeight="1" s="104">
      <c r="BA2144" s="201" t="n">
        <v>0</v>
      </c>
    </row>
    <row r="2145" ht="15" customHeight="1" s="104">
      <c r="BA2145" s="201" t="n">
        <v>0</v>
      </c>
    </row>
    <row r="2146" ht="15" customHeight="1" s="104">
      <c r="BA2146" s="201" t="n">
        <v>0</v>
      </c>
    </row>
    <row r="2147" ht="15" customHeight="1" s="104">
      <c r="BA2147" s="201" t="n">
        <v>0</v>
      </c>
    </row>
    <row r="2148" ht="15" customHeight="1" s="104">
      <c r="BA2148" s="201" t="n">
        <v>0</v>
      </c>
    </row>
    <row r="2149" ht="15" customHeight="1" s="104">
      <c r="BA2149" s="201" t="n">
        <v>0</v>
      </c>
    </row>
    <row r="2150" ht="15" customHeight="1" s="104">
      <c r="BA2150" s="201" t="n">
        <v>0</v>
      </c>
    </row>
    <row r="2151" ht="15" customHeight="1" s="104">
      <c r="BA2151" s="201" t="n">
        <v>0</v>
      </c>
    </row>
    <row r="2152" ht="15" customHeight="1" s="104">
      <c r="BA2152" s="201" t="n">
        <v>0</v>
      </c>
    </row>
    <row r="2153" ht="15" customHeight="1" s="104">
      <c r="BA2153" s="201" t="n">
        <v>0</v>
      </c>
    </row>
    <row r="2154" ht="15" customHeight="1" s="104">
      <c r="BA2154" s="201" t="n">
        <v>0</v>
      </c>
    </row>
    <row r="2155" ht="15" customHeight="1" s="104">
      <c r="BA2155" s="201" t="n">
        <v>0</v>
      </c>
    </row>
    <row r="2156" ht="15" customHeight="1" s="104">
      <c r="BA2156" s="201" t="n">
        <v>0</v>
      </c>
    </row>
    <row r="2157" ht="15" customHeight="1" s="104">
      <c r="BA2157" s="201" t="n">
        <v>0</v>
      </c>
    </row>
    <row r="2158" ht="15" customHeight="1" s="104">
      <c r="BA2158" s="201" t="n">
        <v>0</v>
      </c>
    </row>
    <row r="2159" ht="15" customHeight="1" s="104">
      <c r="BA2159" s="201" t="n">
        <v>0</v>
      </c>
    </row>
    <row r="2160" ht="15" customHeight="1" s="104">
      <c r="BA2160" s="201" t="n">
        <v>0</v>
      </c>
    </row>
    <row r="2161" ht="15" customHeight="1" s="104">
      <c r="BA2161" s="201" t="n">
        <v>0</v>
      </c>
    </row>
    <row r="2162" ht="15" customHeight="1" s="104">
      <c r="BA2162" s="201" t="n">
        <v>0</v>
      </c>
    </row>
    <row r="2163" ht="15" customHeight="1" s="104">
      <c r="BA2163" s="201" t="n">
        <v>0</v>
      </c>
    </row>
    <row r="2164" ht="15" customHeight="1" s="104">
      <c r="BA2164" s="201" t="n">
        <v>0</v>
      </c>
    </row>
    <row r="2165" ht="15" customHeight="1" s="104">
      <c r="BA2165" s="201" t="n">
        <v>0</v>
      </c>
    </row>
    <row r="2166" ht="15" customHeight="1" s="104">
      <c r="BA2166" s="201" t="n">
        <v>0</v>
      </c>
    </row>
    <row r="2167" ht="15" customHeight="1" s="104">
      <c r="BA2167" s="201" t="n">
        <v>0</v>
      </c>
    </row>
    <row r="2168" ht="15" customHeight="1" s="104">
      <c r="BA2168" s="201" t="n">
        <v>0</v>
      </c>
    </row>
    <row r="2169" ht="15" customHeight="1" s="104">
      <c r="BA2169" s="201" t="n">
        <v>0</v>
      </c>
    </row>
    <row r="2170" ht="15" customHeight="1" s="104">
      <c r="BA2170" s="201" t="n">
        <v>0</v>
      </c>
    </row>
    <row r="2171" ht="15" customHeight="1" s="104">
      <c r="BA2171" s="201" t="n">
        <v>0</v>
      </c>
    </row>
    <row r="2172" ht="15" customHeight="1" s="104">
      <c r="BA2172" s="201" t="n">
        <v>0</v>
      </c>
    </row>
    <row r="2173" ht="15" customHeight="1" s="104">
      <c r="BA2173" s="201" t="n">
        <v>0</v>
      </c>
    </row>
    <row r="2174" ht="15" customHeight="1" s="104">
      <c r="BA2174" s="201" t="n">
        <v>0</v>
      </c>
    </row>
    <row r="2175" ht="15" customHeight="1" s="104">
      <c r="BA2175" s="201" t="n">
        <v>0</v>
      </c>
    </row>
    <row r="2176" ht="15" customHeight="1" s="104">
      <c r="BA2176" s="201" t="n">
        <v>0</v>
      </c>
    </row>
    <row r="2177" ht="15" customHeight="1" s="104">
      <c r="BA2177" s="201" t="n">
        <v>0</v>
      </c>
    </row>
    <row r="2178" ht="15" customHeight="1" s="104">
      <c r="BA2178" s="201" t="n">
        <v>0</v>
      </c>
    </row>
    <row r="2179" ht="15" customHeight="1" s="104">
      <c r="BA2179" s="201" t="n">
        <v>0</v>
      </c>
    </row>
    <row r="2180" ht="15" customHeight="1" s="104">
      <c r="BA2180" s="201" t="n">
        <v>0</v>
      </c>
    </row>
    <row r="2181" ht="15" customHeight="1" s="104">
      <c r="BA2181" s="201" t="n">
        <v>0</v>
      </c>
    </row>
    <row r="2182" ht="15" customHeight="1" s="104">
      <c r="BA2182" s="201" t="n">
        <v>0</v>
      </c>
    </row>
    <row r="2183" ht="15" customHeight="1" s="104">
      <c r="BA2183" s="201" t="n">
        <v>0</v>
      </c>
    </row>
    <row r="2184" ht="15" customHeight="1" s="104">
      <c r="BA2184" s="201" t="n">
        <v>0</v>
      </c>
    </row>
    <row r="2185" ht="15" customHeight="1" s="104">
      <c r="BA2185" s="201" t="n">
        <v>0</v>
      </c>
    </row>
    <row r="2186" ht="15" customHeight="1" s="104">
      <c r="BA2186" s="201" t="n">
        <v>0</v>
      </c>
    </row>
    <row r="2187" ht="15" customHeight="1" s="104">
      <c r="BA2187" s="201" t="n">
        <v>0</v>
      </c>
    </row>
    <row r="2188" ht="15" customHeight="1" s="104">
      <c r="BA2188" s="201" t="n">
        <v>0</v>
      </c>
    </row>
    <row r="2189" ht="15" customHeight="1" s="104">
      <c r="BA2189" s="201" t="n">
        <v>0</v>
      </c>
    </row>
    <row r="2190" ht="15" customHeight="1" s="104">
      <c r="BA2190" s="201" t="n">
        <v>0</v>
      </c>
    </row>
    <row r="2191" ht="15" customHeight="1" s="104">
      <c r="BA2191" s="201" t="n">
        <v>0</v>
      </c>
    </row>
    <row r="2192" ht="15" customHeight="1" s="104">
      <c r="BA2192" s="201" t="n">
        <v>0</v>
      </c>
    </row>
    <row r="2193" ht="15" customHeight="1" s="104">
      <c r="BA2193" s="201" t="n">
        <v>0</v>
      </c>
    </row>
    <row r="2194" ht="15" customHeight="1" s="104">
      <c r="BA2194" s="201" t="n">
        <v>0</v>
      </c>
    </row>
    <row r="2195" ht="15" customHeight="1" s="104">
      <c r="BA2195" s="201" t="n">
        <v>0</v>
      </c>
    </row>
    <row r="2196" ht="15" customHeight="1" s="104">
      <c r="BA2196" s="201" t="n">
        <v>0</v>
      </c>
    </row>
    <row r="2197" ht="15" customHeight="1" s="104">
      <c r="BA2197" s="201" t="n">
        <v>0</v>
      </c>
    </row>
    <row r="2198" ht="15" customHeight="1" s="104">
      <c r="BA2198" s="201" t="n">
        <v>0</v>
      </c>
    </row>
    <row r="2199" ht="15" customHeight="1" s="104">
      <c r="BA2199" s="201" t="n">
        <v>0</v>
      </c>
    </row>
    <row r="2200" ht="15" customHeight="1" s="104">
      <c r="BA2200" s="201" t="n">
        <v>0</v>
      </c>
    </row>
    <row r="2201" ht="15" customHeight="1" s="104">
      <c r="BA2201" s="201" t="n">
        <v>0</v>
      </c>
    </row>
    <row r="2202" ht="15" customHeight="1" s="104">
      <c r="BA2202" s="201" t="n">
        <v>0</v>
      </c>
    </row>
    <row r="2203" ht="15" customHeight="1" s="104">
      <c r="BA2203" s="201" t="n">
        <v>0</v>
      </c>
    </row>
    <row r="2204" ht="15" customHeight="1" s="104">
      <c r="BA2204" s="201" t="n">
        <v>0</v>
      </c>
    </row>
    <row r="2205" ht="15" customHeight="1" s="104">
      <c r="BA2205" s="201" t="n">
        <v>0</v>
      </c>
    </row>
    <row r="2206" ht="15" customHeight="1" s="104">
      <c r="BA2206" s="201" t="n">
        <v>0</v>
      </c>
    </row>
    <row r="2207" ht="15" customHeight="1" s="104">
      <c r="BA2207" s="201" t="n">
        <v>0</v>
      </c>
    </row>
    <row r="2208" ht="15" customHeight="1" s="104">
      <c r="BA2208" s="201" t="n">
        <v>0</v>
      </c>
    </row>
    <row r="2209" ht="15" customHeight="1" s="104">
      <c r="BA2209" s="201" t="n">
        <v>0</v>
      </c>
    </row>
    <row r="2210" ht="15" customHeight="1" s="104">
      <c r="BA2210" s="201" t="n">
        <v>0</v>
      </c>
    </row>
    <row r="2211" ht="15" customHeight="1" s="104">
      <c r="BA2211" s="201" t="n">
        <v>0</v>
      </c>
    </row>
    <row r="2212" ht="15" customHeight="1" s="104">
      <c r="BA2212" s="201" t="n">
        <v>0</v>
      </c>
    </row>
    <row r="2213" ht="15" customHeight="1" s="104">
      <c r="BA2213" s="201" t="n">
        <v>0</v>
      </c>
    </row>
    <row r="2214" ht="15" customHeight="1" s="104">
      <c r="BA2214" s="201" t="n">
        <v>0</v>
      </c>
    </row>
    <row r="2215" ht="15" customHeight="1" s="104">
      <c r="BA2215" s="201" t="n">
        <v>0</v>
      </c>
    </row>
    <row r="2216" ht="15" customHeight="1" s="104">
      <c r="BA2216" s="201" t="n">
        <v>0</v>
      </c>
    </row>
    <row r="2217" ht="15" customHeight="1" s="104">
      <c r="BA2217" s="201" t="n">
        <v>0</v>
      </c>
    </row>
    <row r="2218" ht="15" customHeight="1" s="104">
      <c r="BA2218" s="201" t="n">
        <v>0</v>
      </c>
    </row>
    <row r="2219" ht="15" customHeight="1" s="104">
      <c r="BA2219" s="201" t="n">
        <v>0</v>
      </c>
    </row>
    <row r="2220" ht="15" customHeight="1" s="104">
      <c r="BA2220" s="201" t="n">
        <v>0</v>
      </c>
    </row>
    <row r="2221" ht="15" customHeight="1" s="104">
      <c r="BA2221" s="201" t="n">
        <v>0</v>
      </c>
    </row>
    <row r="2222" ht="15" customHeight="1" s="104">
      <c r="BA2222" s="201" t="n">
        <v>0</v>
      </c>
    </row>
    <row r="2223" ht="15" customHeight="1" s="104">
      <c r="BA2223" s="201" t="n">
        <v>0</v>
      </c>
    </row>
    <row r="2224" ht="15" customHeight="1" s="104">
      <c r="BA2224" s="201" t="n">
        <v>0</v>
      </c>
    </row>
    <row r="2225" ht="15" customHeight="1" s="104">
      <c r="BA2225" s="201" t="n">
        <v>0</v>
      </c>
    </row>
    <row r="2226" ht="15" customHeight="1" s="104">
      <c r="BA2226" s="201" t="n">
        <v>0</v>
      </c>
    </row>
    <row r="2227" ht="15" customHeight="1" s="104">
      <c r="BA2227" s="201" t="n">
        <v>0</v>
      </c>
    </row>
    <row r="2228" ht="15" customHeight="1" s="104">
      <c r="BA2228" s="201" t="n">
        <v>0</v>
      </c>
    </row>
    <row r="2229" ht="15" customHeight="1" s="104">
      <c r="BA2229" s="201" t="n">
        <v>0</v>
      </c>
    </row>
    <row r="2230" ht="15" customHeight="1" s="104">
      <c r="BA2230" s="201" t="n">
        <v>0</v>
      </c>
    </row>
    <row r="2231" ht="15" customHeight="1" s="104">
      <c r="BA2231" s="201" t="n">
        <v>0</v>
      </c>
    </row>
    <row r="2232" ht="15" customHeight="1" s="104">
      <c r="BA2232" s="201" t="n">
        <v>0</v>
      </c>
    </row>
    <row r="2233" ht="15" customHeight="1" s="104">
      <c r="BA2233" s="201" t="n">
        <v>0</v>
      </c>
    </row>
    <row r="2234" ht="15" customHeight="1" s="104">
      <c r="BA2234" s="201" t="n">
        <v>0</v>
      </c>
    </row>
    <row r="2235" ht="15" customHeight="1" s="104">
      <c r="BA2235" s="201" t="n">
        <v>0</v>
      </c>
    </row>
    <row r="2236" ht="15" customHeight="1" s="104">
      <c r="BA2236" s="201" t="n">
        <v>0</v>
      </c>
    </row>
    <row r="2237" ht="15" customHeight="1" s="104">
      <c r="BA2237" s="201" t="n">
        <v>0</v>
      </c>
    </row>
    <row r="2238" ht="15" customHeight="1" s="104">
      <c r="BA2238" s="201" t="n">
        <v>0</v>
      </c>
    </row>
    <row r="2239" ht="15" customHeight="1" s="104">
      <c r="BA2239" s="201" t="n">
        <v>0</v>
      </c>
    </row>
    <row r="2240" ht="15" customHeight="1" s="104">
      <c r="BA2240" s="201" t="n">
        <v>0</v>
      </c>
    </row>
    <row r="2241" ht="15" customHeight="1" s="104">
      <c r="BA2241" s="201" t="n">
        <v>0</v>
      </c>
    </row>
    <row r="2242" ht="15" customHeight="1" s="104">
      <c r="BA2242" s="201" t="n">
        <v>0</v>
      </c>
    </row>
    <row r="2243" ht="15" customHeight="1" s="104">
      <c r="BA2243" s="201" t="n">
        <v>0</v>
      </c>
    </row>
    <row r="2244" ht="15" customHeight="1" s="104">
      <c r="BA2244" s="201" t="n">
        <v>0</v>
      </c>
    </row>
    <row r="2245" ht="15" customHeight="1" s="104">
      <c r="BA2245" s="201" t="n">
        <v>0</v>
      </c>
    </row>
    <row r="2246" ht="15" customHeight="1" s="104">
      <c r="BA2246" s="201" t="n">
        <v>0</v>
      </c>
    </row>
    <row r="2247" ht="15" customHeight="1" s="104">
      <c r="BA2247" s="201" t="n">
        <v>0</v>
      </c>
    </row>
    <row r="2248" ht="15" customHeight="1" s="104">
      <c r="BA2248" s="201" t="n">
        <v>0</v>
      </c>
    </row>
    <row r="2249" ht="15" customHeight="1" s="104">
      <c r="BA2249" s="201" t="n">
        <v>0</v>
      </c>
    </row>
    <row r="2250" ht="15" customHeight="1" s="104">
      <c r="BA2250" s="201" t="n">
        <v>0</v>
      </c>
    </row>
    <row r="2251" ht="15" customHeight="1" s="104">
      <c r="BA2251" s="201" t="n">
        <v>0</v>
      </c>
    </row>
    <row r="2252" ht="15" customHeight="1" s="104">
      <c r="BA2252" s="201" t="n">
        <v>0</v>
      </c>
    </row>
    <row r="2253" ht="15" customHeight="1" s="104">
      <c r="BA2253" s="201" t="n">
        <v>0</v>
      </c>
    </row>
    <row r="2254" ht="15" customHeight="1" s="104">
      <c r="BA2254" s="201" t="n">
        <v>0</v>
      </c>
    </row>
    <row r="2255" ht="15" customHeight="1" s="104">
      <c r="BA2255" s="201" t="n">
        <v>0</v>
      </c>
    </row>
    <row r="2256" ht="15" customHeight="1" s="104">
      <c r="BA2256" s="201" t="n">
        <v>0</v>
      </c>
    </row>
    <row r="2257" ht="15" customHeight="1" s="104">
      <c r="BA2257" s="201" t="n">
        <v>0</v>
      </c>
    </row>
    <row r="2258" ht="15" customHeight="1" s="104">
      <c r="BA2258" s="201" t="n">
        <v>0</v>
      </c>
    </row>
    <row r="2259" ht="15" customHeight="1" s="104">
      <c r="BA2259" s="201" t="n">
        <v>0</v>
      </c>
    </row>
    <row r="2260" ht="15" customHeight="1" s="104">
      <c r="BA2260" s="201" t="n">
        <v>0</v>
      </c>
    </row>
    <row r="2261" ht="15" customHeight="1" s="104">
      <c r="BA2261" s="201" t="n">
        <v>0</v>
      </c>
    </row>
    <row r="2262" ht="15" customHeight="1" s="104">
      <c r="BA2262" s="201" t="n">
        <v>0</v>
      </c>
    </row>
    <row r="2263" ht="15" customHeight="1" s="104">
      <c r="BA2263" s="201" t="n">
        <v>0</v>
      </c>
    </row>
    <row r="2264" ht="15" customHeight="1" s="104">
      <c r="BA2264" s="201" t="n">
        <v>0</v>
      </c>
    </row>
    <row r="2265" ht="15" customHeight="1" s="104">
      <c r="BA2265" s="201" t="n">
        <v>0</v>
      </c>
    </row>
    <row r="2266" ht="15" customHeight="1" s="104">
      <c r="BA2266" s="201" t="n">
        <v>0</v>
      </c>
    </row>
    <row r="2267" ht="15" customHeight="1" s="104">
      <c r="BA2267" s="201" t="n">
        <v>0</v>
      </c>
    </row>
    <row r="2268" ht="15" customHeight="1" s="104">
      <c r="BA2268" s="201" t="n">
        <v>0</v>
      </c>
    </row>
    <row r="2269" ht="15" customHeight="1" s="104">
      <c r="BA2269" s="201" t="n">
        <v>0</v>
      </c>
    </row>
    <row r="2270" ht="15" customHeight="1" s="104">
      <c r="BA2270" s="201" t="n">
        <v>0</v>
      </c>
    </row>
    <row r="2271" ht="15" customHeight="1" s="104">
      <c r="BA2271" s="201" t="n">
        <v>0</v>
      </c>
    </row>
    <row r="2272" ht="15" customHeight="1" s="104">
      <c r="BA2272" s="201" t="n">
        <v>0</v>
      </c>
    </row>
    <row r="2273" ht="15" customHeight="1" s="104">
      <c r="BA2273" s="201" t="n">
        <v>0</v>
      </c>
    </row>
    <row r="2274" ht="15" customHeight="1" s="104">
      <c r="BA2274" s="201" t="n">
        <v>0</v>
      </c>
    </row>
    <row r="2275" ht="15" customHeight="1" s="104">
      <c r="BA2275" s="201" t="n">
        <v>0</v>
      </c>
    </row>
    <row r="2276" ht="15" customHeight="1" s="104">
      <c r="BA2276" s="201" t="n">
        <v>0</v>
      </c>
    </row>
    <row r="2277" ht="15" customHeight="1" s="104">
      <c r="BA2277" s="201" t="n">
        <v>0</v>
      </c>
    </row>
    <row r="2278" ht="15" customHeight="1" s="104">
      <c r="BA2278" s="201" t="n">
        <v>0</v>
      </c>
    </row>
    <row r="2279" ht="15" customHeight="1" s="104">
      <c r="BA2279" s="201" t="n">
        <v>0</v>
      </c>
    </row>
    <row r="2280" ht="15" customHeight="1" s="104">
      <c r="BA2280" s="201" t="n">
        <v>0</v>
      </c>
    </row>
    <row r="2281" ht="15" customHeight="1" s="104">
      <c r="BA2281" s="201" t="n">
        <v>0</v>
      </c>
    </row>
    <row r="2282" ht="15" customHeight="1" s="104">
      <c r="BA2282" s="201" t="n">
        <v>0</v>
      </c>
    </row>
    <row r="2283" ht="15" customHeight="1" s="104">
      <c r="BA2283" s="201" t="n">
        <v>0</v>
      </c>
    </row>
    <row r="2284" ht="15" customHeight="1" s="104">
      <c r="BA2284" s="201" t="n">
        <v>0</v>
      </c>
    </row>
    <row r="2285" ht="15" customHeight="1" s="104">
      <c r="BA2285" s="201" t="n">
        <v>0</v>
      </c>
    </row>
    <row r="2286" ht="15" customHeight="1" s="104">
      <c r="BA2286" s="201" t="n">
        <v>0</v>
      </c>
    </row>
    <row r="2287" ht="15" customHeight="1" s="104">
      <c r="BA2287" s="201" t="n">
        <v>0</v>
      </c>
    </row>
    <row r="2288" ht="15" customHeight="1" s="104">
      <c r="BA2288" s="201" t="n">
        <v>0</v>
      </c>
    </row>
    <row r="2289" ht="15" customHeight="1" s="104">
      <c r="BA2289" s="201" t="n">
        <v>0</v>
      </c>
    </row>
    <row r="2290" ht="15" customHeight="1" s="104">
      <c r="BA2290" s="201" t="n">
        <v>0</v>
      </c>
    </row>
    <row r="2291" ht="15" customHeight="1" s="104">
      <c r="BA2291" s="201" t="n">
        <v>0</v>
      </c>
    </row>
    <row r="2292" ht="15" customHeight="1" s="104">
      <c r="BA2292" s="201" t="n">
        <v>0</v>
      </c>
    </row>
    <row r="2293" ht="15" customHeight="1" s="104">
      <c r="BA2293" s="201" t="n">
        <v>0</v>
      </c>
    </row>
    <row r="2294" ht="15" customHeight="1" s="104">
      <c r="BA2294" s="201" t="n">
        <v>0</v>
      </c>
    </row>
    <row r="2295" ht="15" customHeight="1" s="104">
      <c r="BA2295" s="201" t="n">
        <v>0</v>
      </c>
    </row>
    <row r="2296" ht="15" customHeight="1" s="104">
      <c r="BA2296" s="201" t="n">
        <v>0</v>
      </c>
    </row>
    <row r="2297" ht="15" customHeight="1" s="104">
      <c r="BA2297" s="201" t="n">
        <v>0</v>
      </c>
    </row>
    <row r="2298" ht="15" customHeight="1" s="104">
      <c r="BA2298" s="201" t="n">
        <v>0</v>
      </c>
    </row>
    <row r="2299" ht="15" customHeight="1" s="104">
      <c r="BA2299" s="201" t="n">
        <v>0</v>
      </c>
    </row>
    <row r="2300" ht="15" customHeight="1" s="104">
      <c r="BA2300" s="201" t="n">
        <v>0</v>
      </c>
    </row>
    <row r="2301" ht="15" customHeight="1" s="104">
      <c r="BA2301" s="201" t="n">
        <v>0</v>
      </c>
    </row>
    <row r="2302" ht="15" customHeight="1" s="104">
      <c r="BA2302" s="201" t="n">
        <v>0</v>
      </c>
    </row>
    <row r="2303" ht="15" customHeight="1" s="104">
      <c r="BA2303" s="201" t="n">
        <v>0</v>
      </c>
    </row>
    <row r="2304" ht="15" customHeight="1" s="104">
      <c r="BA2304" s="201" t="n">
        <v>0</v>
      </c>
    </row>
    <row r="2305" ht="15" customHeight="1" s="104">
      <c r="BA2305" s="201" t="n">
        <v>0</v>
      </c>
    </row>
    <row r="2306" ht="15" customHeight="1" s="104">
      <c r="BA2306" s="201" t="n">
        <v>0</v>
      </c>
    </row>
    <row r="2307" ht="15" customHeight="1" s="104">
      <c r="BA2307" s="201" t="n">
        <v>0</v>
      </c>
    </row>
    <row r="2308" ht="15" customHeight="1" s="104">
      <c r="BA2308" s="201" t="n">
        <v>0</v>
      </c>
    </row>
    <row r="2309" ht="15" customHeight="1" s="104">
      <c r="BA2309" s="201" t="n">
        <v>0</v>
      </c>
    </row>
    <row r="2310" ht="15" customHeight="1" s="104">
      <c r="BA2310" s="201" t="n">
        <v>0</v>
      </c>
    </row>
    <row r="2311" ht="15" customHeight="1" s="104">
      <c r="BA2311" s="201" t="n">
        <v>0</v>
      </c>
    </row>
    <row r="2312" ht="15" customHeight="1" s="104">
      <c r="BA2312" s="201" t="n">
        <v>0</v>
      </c>
    </row>
    <row r="2313" ht="15" customHeight="1" s="104">
      <c r="BA2313" s="201" t="n">
        <v>0</v>
      </c>
    </row>
    <row r="2314" ht="15" customHeight="1" s="104">
      <c r="BA2314" s="201" t="n">
        <v>0</v>
      </c>
    </row>
    <row r="2315" ht="15" customHeight="1" s="104">
      <c r="BA2315" s="201" t="n">
        <v>0</v>
      </c>
    </row>
    <row r="2316" ht="15" customHeight="1" s="104">
      <c r="BA2316" s="201" t="n">
        <v>0</v>
      </c>
    </row>
    <row r="2317" ht="15" customHeight="1" s="104">
      <c r="BA2317" s="201" t="n">
        <v>0</v>
      </c>
    </row>
    <row r="2318" ht="15" customHeight="1" s="104">
      <c r="BA2318" s="201" t="n">
        <v>0</v>
      </c>
    </row>
    <row r="2319" ht="15" customHeight="1" s="104">
      <c r="BA2319" s="201" t="n">
        <v>0</v>
      </c>
    </row>
    <row r="2320" ht="15" customHeight="1" s="104">
      <c r="BA2320" s="201" t="n">
        <v>0</v>
      </c>
    </row>
    <row r="2321" ht="15" customHeight="1" s="104">
      <c r="BA2321" s="201" t="n">
        <v>0</v>
      </c>
    </row>
    <row r="2322" ht="15" customHeight="1" s="104">
      <c r="BA2322" s="201" t="n">
        <v>0</v>
      </c>
    </row>
    <row r="2323" ht="15" customHeight="1" s="104">
      <c r="BA2323" s="201" t="n">
        <v>0</v>
      </c>
    </row>
    <row r="2324" ht="15" customHeight="1" s="104">
      <c r="BA2324" s="201" t="n">
        <v>0</v>
      </c>
    </row>
    <row r="2325" ht="15" customHeight="1" s="104">
      <c r="BA2325" s="201" t="n">
        <v>0</v>
      </c>
    </row>
    <row r="2326" ht="15" customHeight="1" s="104">
      <c r="BA2326" s="201" t="n">
        <v>0</v>
      </c>
    </row>
    <row r="2327" ht="15" customHeight="1" s="104">
      <c r="BA2327" s="201" t="n">
        <v>0</v>
      </c>
    </row>
    <row r="2328" ht="15" customHeight="1" s="104">
      <c r="BA2328" s="201" t="n">
        <v>0</v>
      </c>
    </row>
    <row r="2329" ht="15" customHeight="1" s="104">
      <c r="BA2329" s="201" t="n">
        <v>0</v>
      </c>
    </row>
    <row r="2330" ht="15" customHeight="1" s="104">
      <c r="BA2330" s="201" t="n">
        <v>0</v>
      </c>
    </row>
    <row r="2331" ht="15" customHeight="1" s="104">
      <c r="BA2331" s="201" t="n">
        <v>0</v>
      </c>
    </row>
    <row r="2332" ht="15" customHeight="1" s="104">
      <c r="BA2332" s="201" t="n">
        <v>0</v>
      </c>
    </row>
    <row r="2333" ht="15" customHeight="1" s="104">
      <c r="BA2333" s="201" t="n">
        <v>0</v>
      </c>
    </row>
    <row r="2334" ht="15" customHeight="1" s="104">
      <c r="BA2334" s="201" t="n">
        <v>0</v>
      </c>
    </row>
    <row r="2335" ht="15" customHeight="1" s="104">
      <c r="BA2335" s="201" t="n">
        <v>0</v>
      </c>
    </row>
    <row r="2336" ht="15" customHeight="1" s="104">
      <c r="BA2336" s="201" t="n">
        <v>0</v>
      </c>
    </row>
    <row r="2337" ht="15" customHeight="1" s="104">
      <c r="BA2337" s="201" t="n">
        <v>0</v>
      </c>
    </row>
    <row r="2338" ht="15" customHeight="1" s="104">
      <c r="BA2338" s="201" t="n">
        <v>0</v>
      </c>
    </row>
    <row r="2339" ht="15" customHeight="1" s="104">
      <c r="BA2339" s="201" t="n">
        <v>0</v>
      </c>
    </row>
    <row r="2340" ht="15" customHeight="1" s="104">
      <c r="BA2340" s="201" t="n">
        <v>0</v>
      </c>
    </row>
    <row r="2341" ht="15" customHeight="1" s="104">
      <c r="BA2341" s="201" t="n">
        <v>0</v>
      </c>
    </row>
    <row r="2342" ht="15" customHeight="1" s="104">
      <c r="BA2342" s="201" t="n">
        <v>0</v>
      </c>
    </row>
    <row r="2343" ht="15" customHeight="1" s="104">
      <c r="BA2343" s="201" t="n">
        <v>0</v>
      </c>
    </row>
    <row r="2344" ht="15" customHeight="1" s="104">
      <c r="BA2344" s="201" t="n">
        <v>0</v>
      </c>
    </row>
    <row r="2345" ht="15" customHeight="1" s="104">
      <c r="BA2345" s="201" t="n">
        <v>0</v>
      </c>
    </row>
    <row r="2346" ht="15" customHeight="1" s="104">
      <c r="BA2346" s="201" t="n">
        <v>0</v>
      </c>
    </row>
    <row r="2347" ht="15" customHeight="1" s="104">
      <c r="BA2347" s="201" t="n">
        <v>0</v>
      </c>
    </row>
    <row r="2348" ht="15" customHeight="1" s="104">
      <c r="BA2348" s="201" t="n">
        <v>0</v>
      </c>
    </row>
    <row r="2349" ht="15" customHeight="1" s="104">
      <c r="BA2349" s="201" t="n">
        <v>0</v>
      </c>
    </row>
    <row r="2350" ht="15" customHeight="1" s="104">
      <c r="BA2350" s="201" t="n">
        <v>0</v>
      </c>
    </row>
    <row r="2351" ht="15" customHeight="1" s="104">
      <c r="BA2351" s="201" t="n">
        <v>0</v>
      </c>
    </row>
    <row r="2352" ht="15" customHeight="1" s="104">
      <c r="BA2352" s="201" t="n">
        <v>0</v>
      </c>
    </row>
    <row r="2353" ht="15" customHeight="1" s="104">
      <c r="BA2353" s="201" t="n">
        <v>0</v>
      </c>
    </row>
    <row r="2354" ht="15" customHeight="1" s="104">
      <c r="BA2354" s="201" t="n">
        <v>0</v>
      </c>
    </row>
    <row r="2355" ht="15" customHeight="1" s="104">
      <c r="BA2355" s="201" t="n">
        <v>0</v>
      </c>
    </row>
    <row r="2356" ht="15" customHeight="1" s="104">
      <c r="BA2356" s="201" t="n">
        <v>0</v>
      </c>
    </row>
    <row r="2357" ht="15" customHeight="1" s="104">
      <c r="BA2357" s="201" t="n">
        <v>0</v>
      </c>
    </row>
    <row r="2358" ht="15" customHeight="1" s="104">
      <c r="BA2358" s="201" t="n">
        <v>0</v>
      </c>
    </row>
    <row r="2359" ht="15" customHeight="1" s="104">
      <c r="BA2359" s="201" t="n">
        <v>0</v>
      </c>
    </row>
    <row r="2360" ht="15" customHeight="1" s="104">
      <c r="BA2360" s="201" t="n">
        <v>0</v>
      </c>
    </row>
    <row r="2361" ht="15" customHeight="1" s="104">
      <c r="BA2361" s="201" t="n">
        <v>0</v>
      </c>
    </row>
    <row r="2362" ht="15" customHeight="1" s="104">
      <c r="BA2362" s="201" t="n">
        <v>0</v>
      </c>
    </row>
    <row r="2363" ht="15" customHeight="1" s="104">
      <c r="BA2363" s="201" t="n">
        <v>0</v>
      </c>
    </row>
    <row r="2364" ht="15" customHeight="1" s="104">
      <c r="BA2364" s="201" t="n">
        <v>0</v>
      </c>
    </row>
    <row r="2365" ht="15" customHeight="1" s="104">
      <c r="BA2365" s="201" t="n">
        <v>0</v>
      </c>
    </row>
    <row r="2366" ht="15" customHeight="1" s="104">
      <c r="BA2366" s="201" t="n">
        <v>0</v>
      </c>
    </row>
    <row r="2367" ht="15" customHeight="1" s="104">
      <c r="BA2367" s="201" t="n">
        <v>0</v>
      </c>
    </row>
    <row r="2368" ht="15" customHeight="1" s="104">
      <c r="BA2368" s="201" t="n">
        <v>0</v>
      </c>
    </row>
    <row r="2369" ht="15" customHeight="1" s="104">
      <c r="BA2369" s="201" t="n">
        <v>0</v>
      </c>
    </row>
    <row r="2370" ht="15" customHeight="1" s="104">
      <c r="BA2370" s="201" t="n">
        <v>0</v>
      </c>
    </row>
    <row r="2371" ht="15" customHeight="1" s="104">
      <c r="BA2371" s="201" t="n">
        <v>0</v>
      </c>
    </row>
    <row r="2372" ht="15" customHeight="1" s="104">
      <c r="BA2372" s="201" t="n">
        <v>0</v>
      </c>
    </row>
    <row r="2373" ht="15" customHeight="1" s="104">
      <c r="BA2373" s="201" t="n">
        <v>0</v>
      </c>
    </row>
    <row r="2374" ht="15" customHeight="1" s="104">
      <c r="BA2374" s="201" t="n">
        <v>0</v>
      </c>
    </row>
    <row r="2375" ht="15" customHeight="1" s="104">
      <c r="BA2375" s="201" t="n">
        <v>0</v>
      </c>
    </row>
    <row r="2376" ht="15" customHeight="1" s="104">
      <c r="BA2376" s="201" t="n">
        <v>0</v>
      </c>
    </row>
    <row r="2377" ht="15" customHeight="1" s="104">
      <c r="BA2377" s="201" t="n">
        <v>0</v>
      </c>
    </row>
    <row r="2378" ht="15" customHeight="1" s="104">
      <c r="BA2378" s="201" t="n">
        <v>0</v>
      </c>
    </row>
    <row r="2379" ht="15" customHeight="1" s="104">
      <c r="BA2379" s="201" t="n">
        <v>0</v>
      </c>
    </row>
    <row r="2380" ht="15" customHeight="1" s="104">
      <c r="BA2380" s="201" t="n">
        <v>0</v>
      </c>
    </row>
    <row r="2381" ht="15" customHeight="1" s="104">
      <c r="BA2381" s="201" t="n">
        <v>0</v>
      </c>
    </row>
    <row r="2382" ht="15" customHeight="1" s="104">
      <c r="BA2382" s="201" t="n">
        <v>0</v>
      </c>
    </row>
    <row r="2383" ht="15" customHeight="1" s="104">
      <c r="BA2383" s="201" t="n">
        <v>0</v>
      </c>
    </row>
    <row r="2384" ht="15" customHeight="1" s="104">
      <c r="BA2384" s="201" t="n">
        <v>0</v>
      </c>
    </row>
    <row r="2385" ht="15" customHeight="1" s="104">
      <c r="BA2385" s="201" t="n">
        <v>0</v>
      </c>
    </row>
    <row r="2386" ht="15" customHeight="1" s="104">
      <c r="BA2386" s="201" t="n">
        <v>0</v>
      </c>
    </row>
    <row r="2387" ht="15" customHeight="1" s="104">
      <c r="BA2387" s="201" t="n">
        <v>0</v>
      </c>
    </row>
    <row r="2388" ht="15" customHeight="1" s="104">
      <c r="BA2388" s="201" t="n">
        <v>0</v>
      </c>
    </row>
    <row r="2389" ht="15" customHeight="1" s="104">
      <c r="BA2389" s="201" t="n">
        <v>0</v>
      </c>
    </row>
    <row r="2390" ht="15" customHeight="1" s="104">
      <c r="BA2390" s="201" t="n">
        <v>0</v>
      </c>
    </row>
    <row r="2391" ht="15" customHeight="1" s="104">
      <c r="BA2391" s="201" t="n">
        <v>0</v>
      </c>
    </row>
    <row r="2392" ht="15" customHeight="1" s="104">
      <c r="BA2392" s="201" t="n">
        <v>0</v>
      </c>
    </row>
    <row r="2393" ht="15" customHeight="1" s="104">
      <c r="BA2393" s="201" t="n">
        <v>0</v>
      </c>
    </row>
    <row r="2394" ht="15" customHeight="1" s="104">
      <c r="BA2394" s="201" t="n">
        <v>0</v>
      </c>
    </row>
    <row r="2395" ht="15" customHeight="1" s="104">
      <c r="BA2395" s="201" t="n">
        <v>0</v>
      </c>
    </row>
    <row r="2396" ht="15" customHeight="1" s="104">
      <c r="BA2396" s="201" t="n">
        <v>0</v>
      </c>
    </row>
    <row r="2397" ht="15" customHeight="1" s="104">
      <c r="BA2397" s="201" t="n">
        <v>0</v>
      </c>
    </row>
    <row r="2398" ht="15" customHeight="1" s="104">
      <c r="BA2398" s="201" t="n">
        <v>0</v>
      </c>
    </row>
    <row r="2399" ht="15" customHeight="1" s="104">
      <c r="BA2399" s="201" t="n">
        <v>0</v>
      </c>
    </row>
    <row r="2400" ht="15" customHeight="1" s="104">
      <c r="BA2400" s="201" t="n">
        <v>0</v>
      </c>
    </row>
    <row r="2401" ht="15" customHeight="1" s="104">
      <c r="BA2401" s="201" t="n">
        <v>0</v>
      </c>
    </row>
    <row r="2402" ht="15" customHeight="1" s="104">
      <c r="BA2402" s="201" t="n">
        <v>0</v>
      </c>
    </row>
    <row r="2403" ht="15" customHeight="1" s="104">
      <c r="BA2403" s="201" t="n">
        <v>0</v>
      </c>
    </row>
    <row r="2404" ht="15" customHeight="1" s="104">
      <c r="BA2404" s="201" t="n">
        <v>0</v>
      </c>
    </row>
    <row r="2405" ht="15" customHeight="1" s="104">
      <c r="BA2405" s="201" t="n">
        <v>0</v>
      </c>
    </row>
    <row r="2406" ht="15" customHeight="1" s="104">
      <c r="BA2406" s="201" t="n">
        <v>0</v>
      </c>
    </row>
    <row r="2407" ht="15" customHeight="1" s="104">
      <c r="BA2407" s="201" t="n">
        <v>0</v>
      </c>
    </row>
    <row r="2408" ht="15" customHeight="1" s="104">
      <c r="BA2408" s="201" t="n">
        <v>0</v>
      </c>
    </row>
    <row r="2409" ht="15" customHeight="1" s="104">
      <c r="BA2409" s="201" t="n">
        <v>0</v>
      </c>
    </row>
    <row r="2410" ht="15" customHeight="1" s="104">
      <c r="BA2410" s="201" t="n">
        <v>0</v>
      </c>
    </row>
    <row r="2411" ht="15" customHeight="1" s="104">
      <c r="BA2411" s="201" t="n">
        <v>0</v>
      </c>
    </row>
    <row r="2412" ht="15" customHeight="1" s="104">
      <c r="BA2412" s="201" t="n">
        <v>0</v>
      </c>
    </row>
    <row r="2413" ht="15" customHeight="1" s="104">
      <c r="BA2413" s="201" t="n">
        <v>0</v>
      </c>
    </row>
    <row r="2414" ht="15" customHeight="1" s="104">
      <c r="BA2414" s="201" t="n">
        <v>0</v>
      </c>
    </row>
    <row r="2415" ht="15" customHeight="1" s="104">
      <c r="BA2415" s="201" t="n">
        <v>0</v>
      </c>
    </row>
    <row r="2416" ht="15" customHeight="1" s="104">
      <c r="BA2416" s="201" t="n">
        <v>0</v>
      </c>
    </row>
    <row r="2417" ht="15" customHeight="1" s="104">
      <c r="BA2417" s="201" t="n">
        <v>0</v>
      </c>
    </row>
    <row r="2418" ht="15" customHeight="1" s="104">
      <c r="BA2418" s="201" t="n">
        <v>0</v>
      </c>
    </row>
    <row r="2419" ht="15" customHeight="1" s="104">
      <c r="BA2419" s="201" t="n">
        <v>0</v>
      </c>
    </row>
    <row r="2420" ht="15" customHeight="1" s="104">
      <c r="BA2420" s="201" t="n">
        <v>0</v>
      </c>
    </row>
    <row r="2421" ht="15" customHeight="1" s="104">
      <c r="BA2421" s="201" t="n">
        <v>0</v>
      </c>
    </row>
    <row r="2422" ht="15" customHeight="1" s="104">
      <c r="BA2422" s="201" t="n">
        <v>0</v>
      </c>
    </row>
    <row r="2423" ht="15" customHeight="1" s="104">
      <c r="BA2423" s="201" t="n">
        <v>0</v>
      </c>
    </row>
    <row r="2424" ht="15" customHeight="1" s="104">
      <c r="BA2424" s="201" t="n">
        <v>0</v>
      </c>
    </row>
    <row r="2425" ht="15" customHeight="1" s="104">
      <c r="BA2425" s="201" t="n">
        <v>0</v>
      </c>
    </row>
    <row r="2426" ht="15" customHeight="1" s="104">
      <c r="BA2426" s="201" t="n">
        <v>0</v>
      </c>
    </row>
    <row r="2427" ht="15" customHeight="1" s="104">
      <c r="BA2427" s="201" t="n">
        <v>0</v>
      </c>
    </row>
    <row r="2428" ht="15" customHeight="1" s="104">
      <c r="BA2428" s="201" t="n">
        <v>0</v>
      </c>
    </row>
    <row r="2429" ht="15" customHeight="1" s="104">
      <c r="BA2429" s="201" t="n">
        <v>0</v>
      </c>
    </row>
    <row r="2430" ht="15" customHeight="1" s="104">
      <c r="BA2430" s="201" t="n">
        <v>0</v>
      </c>
    </row>
    <row r="2431" ht="15" customHeight="1" s="104">
      <c r="BA2431" s="201" t="n">
        <v>0</v>
      </c>
    </row>
    <row r="2432" ht="15" customHeight="1" s="104">
      <c r="BA2432" s="201" t="n">
        <v>0</v>
      </c>
    </row>
    <row r="2433" ht="15" customHeight="1" s="104">
      <c r="BA2433" s="201" t="n">
        <v>0</v>
      </c>
    </row>
    <row r="2434" ht="15" customHeight="1" s="104">
      <c r="BA2434" s="201" t="n">
        <v>0</v>
      </c>
    </row>
    <row r="2435" ht="15" customHeight="1" s="104">
      <c r="BA2435" s="201" t="n">
        <v>0</v>
      </c>
    </row>
    <row r="2436" ht="15" customHeight="1" s="104">
      <c r="BA2436" s="201" t="n">
        <v>0</v>
      </c>
    </row>
    <row r="2437" ht="15" customHeight="1" s="104">
      <c r="BA2437" s="201" t="n">
        <v>0</v>
      </c>
    </row>
    <row r="2438" ht="15" customHeight="1" s="104">
      <c r="BA2438" s="201" t="n">
        <v>0</v>
      </c>
    </row>
    <row r="2439" ht="15" customHeight="1" s="104">
      <c r="BA2439" s="201" t="n">
        <v>0</v>
      </c>
    </row>
    <row r="2440" ht="15" customHeight="1" s="104">
      <c r="BA2440" s="201" t="n">
        <v>0</v>
      </c>
    </row>
    <row r="2441" ht="15" customHeight="1" s="104">
      <c r="BA2441" s="201" t="n">
        <v>0</v>
      </c>
    </row>
    <row r="2442" ht="15" customHeight="1" s="104">
      <c r="BA2442" s="201" t="n">
        <v>0</v>
      </c>
    </row>
    <row r="2443" ht="15" customHeight="1" s="104">
      <c r="BA2443" s="201" t="n">
        <v>0</v>
      </c>
    </row>
    <row r="2444" ht="15" customHeight="1" s="104">
      <c r="BA2444" s="201" t="n">
        <v>0</v>
      </c>
    </row>
    <row r="2445" ht="15" customHeight="1" s="104">
      <c r="BA2445" s="201" t="n">
        <v>0</v>
      </c>
    </row>
    <row r="2446" ht="15" customHeight="1" s="104">
      <c r="BA2446" s="201" t="n">
        <v>0</v>
      </c>
    </row>
    <row r="2447" ht="15" customHeight="1" s="104">
      <c r="BA2447" s="201" t="n">
        <v>0</v>
      </c>
    </row>
    <row r="2448" ht="15" customHeight="1" s="104">
      <c r="BA2448" s="201" t="n">
        <v>0</v>
      </c>
    </row>
    <row r="2449" ht="15" customHeight="1" s="104">
      <c r="BA2449" s="201" t="n">
        <v>0</v>
      </c>
    </row>
    <row r="2450" ht="15" customHeight="1" s="104">
      <c r="BA2450" s="201" t="n">
        <v>0</v>
      </c>
    </row>
    <row r="2451" ht="15" customHeight="1" s="104">
      <c r="BA2451" s="201" t="n">
        <v>0</v>
      </c>
    </row>
    <row r="2452" ht="15" customHeight="1" s="104">
      <c r="BA2452" s="201" t="n">
        <v>0</v>
      </c>
    </row>
    <row r="2453" ht="15" customHeight="1" s="104">
      <c r="BA2453" s="201" t="n">
        <v>0</v>
      </c>
    </row>
    <row r="2454" ht="15" customHeight="1" s="104">
      <c r="BA2454" s="201" t="n">
        <v>0</v>
      </c>
    </row>
    <row r="2455" ht="15" customHeight="1" s="104">
      <c r="BA2455" s="201" t="n">
        <v>0</v>
      </c>
    </row>
    <row r="2456" ht="15" customHeight="1" s="104">
      <c r="BA2456" s="201" t="n">
        <v>0</v>
      </c>
    </row>
    <row r="2457" ht="15" customHeight="1" s="104">
      <c r="BA2457" s="201" t="n">
        <v>0</v>
      </c>
    </row>
    <row r="2458" ht="15" customHeight="1" s="104">
      <c r="BA2458" s="201" t="n">
        <v>0</v>
      </c>
    </row>
    <row r="2459" ht="15" customHeight="1" s="104">
      <c r="BA2459" s="201" t="n">
        <v>0</v>
      </c>
    </row>
    <row r="2460" ht="15" customHeight="1" s="104">
      <c r="BA2460" s="201" t="n">
        <v>0</v>
      </c>
    </row>
    <row r="2461" ht="15" customHeight="1" s="104">
      <c r="BA2461" s="201" t="n">
        <v>0</v>
      </c>
    </row>
    <row r="2462" ht="15" customHeight="1" s="104">
      <c r="BA2462" s="201" t="n">
        <v>0</v>
      </c>
    </row>
    <row r="2463" ht="15" customHeight="1" s="104">
      <c r="BA2463" s="201" t="n">
        <v>0</v>
      </c>
    </row>
    <row r="2464" ht="15" customHeight="1" s="104">
      <c r="BA2464" s="201" t="n">
        <v>0</v>
      </c>
    </row>
    <row r="2465" ht="15" customHeight="1" s="104">
      <c r="BA2465" s="201" t="n">
        <v>0</v>
      </c>
    </row>
    <row r="2466" ht="15" customHeight="1" s="104">
      <c r="BA2466" s="201" t="n">
        <v>0</v>
      </c>
    </row>
    <row r="2467" ht="15" customHeight="1" s="104">
      <c r="BA2467" s="201" t="n">
        <v>0</v>
      </c>
    </row>
    <row r="2468" ht="15" customHeight="1" s="104">
      <c r="BA2468" s="201" t="n">
        <v>0</v>
      </c>
    </row>
    <row r="2469" ht="15" customHeight="1" s="104">
      <c r="BA2469" s="201" t="n">
        <v>0</v>
      </c>
    </row>
    <row r="2470" ht="15" customHeight="1" s="104">
      <c r="BA2470" s="201" t="n">
        <v>0</v>
      </c>
    </row>
    <row r="2471" ht="15" customHeight="1" s="104">
      <c r="BA2471" s="201" t="n">
        <v>0</v>
      </c>
    </row>
    <row r="2472" ht="15" customHeight="1" s="104">
      <c r="BA2472" s="201" t="n">
        <v>0</v>
      </c>
    </row>
    <row r="2473" ht="15" customHeight="1" s="104">
      <c r="BA2473" s="201" t="n">
        <v>0</v>
      </c>
    </row>
    <row r="2474" ht="15" customHeight="1" s="104">
      <c r="BA2474" s="201" t="n">
        <v>0</v>
      </c>
    </row>
    <row r="2475" ht="15" customHeight="1" s="104">
      <c r="BA2475" s="201" t="n">
        <v>0</v>
      </c>
    </row>
    <row r="2476" ht="15" customHeight="1" s="104">
      <c r="BA2476" s="201" t="n">
        <v>0</v>
      </c>
    </row>
    <row r="2477" ht="15" customHeight="1" s="104">
      <c r="BA2477" s="201" t="n">
        <v>0</v>
      </c>
    </row>
    <row r="2478" ht="15" customHeight="1" s="104">
      <c r="BA2478" s="201" t="n">
        <v>0</v>
      </c>
    </row>
    <row r="2479" ht="15" customHeight="1" s="104">
      <c r="BA2479" s="201" t="n">
        <v>0</v>
      </c>
    </row>
    <row r="2480" ht="15" customHeight="1" s="104">
      <c r="BA2480" s="201" t="n">
        <v>0</v>
      </c>
    </row>
    <row r="2481" ht="15" customHeight="1" s="104">
      <c r="BA2481" s="201" t="n">
        <v>0</v>
      </c>
    </row>
    <row r="2482" ht="15" customHeight="1" s="104">
      <c r="BA2482" s="201" t="n">
        <v>0</v>
      </c>
    </row>
    <row r="2483" ht="15" customHeight="1" s="104">
      <c r="BA2483" s="201" t="n">
        <v>0</v>
      </c>
    </row>
    <row r="2484" ht="15" customHeight="1" s="104">
      <c r="BA2484" s="201" t="n">
        <v>0</v>
      </c>
    </row>
    <row r="2485" ht="15" customHeight="1" s="104">
      <c r="BA2485" s="201" t="n">
        <v>0</v>
      </c>
    </row>
    <row r="2486" ht="15" customHeight="1" s="104">
      <c r="BA2486" s="201" t="n">
        <v>0</v>
      </c>
    </row>
    <row r="2487" ht="15" customHeight="1" s="104">
      <c r="BA2487" s="201" t="n">
        <v>0</v>
      </c>
    </row>
    <row r="2488" ht="15" customHeight="1" s="104">
      <c r="BA2488" s="201" t="n">
        <v>0</v>
      </c>
    </row>
    <row r="2489" ht="15" customHeight="1" s="104">
      <c r="BA2489" s="201" t="n">
        <v>0</v>
      </c>
    </row>
    <row r="2490" ht="15" customHeight="1" s="104">
      <c r="BA2490" s="201" t="n">
        <v>0</v>
      </c>
    </row>
    <row r="2491" ht="15" customHeight="1" s="104">
      <c r="BA2491" s="201" t="n">
        <v>0</v>
      </c>
    </row>
    <row r="2492" ht="15" customHeight="1" s="104">
      <c r="BA2492" s="201" t="n">
        <v>0</v>
      </c>
    </row>
    <row r="2493" ht="15" customHeight="1" s="104">
      <c r="BA2493" s="201" t="n">
        <v>0</v>
      </c>
    </row>
    <row r="2494" ht="15" customHeight="1" s="104">
      <c r="BA2494" s="201" t="n">
        <v>0</v>
      </c>
    </row>
    <row r="2495" ht="15" customHeight="1" s="104">
      <c r="BA2495" s="201" t="n">
        <v>0</v>
      </c>
    </row>
    <row r="2496" ht="15" customHeight="1" s="104">
      <c r="BA2496" s="201" t="n">
        <v>0</v>
      </c>
    </row>
    <row r="2497" ht="15" customHeight="1" s="104">
      <c r="BA2497" s="201" t="n">
        <v>0</v>
      </c>
    </row>
    <row r="2498" ht="15" customHeight="1" s="104">
      <c r="BA2498" s="201" t="n">
        <v>0</v>
      </c>
    </row>
    <row r="2499" ht="15" customHeight="1" s="104">
      <c r="BA2499" s="201" t="n">
        <v>0</v>
      </c>
    </row>
    <row r="2500" ht="15" customHeight="1" s="104">
      <c r="BA2500" s="201" t="n">
        <v>0</v>
      </c>
    </row>
    <row r="2501" ht="15" customHeight="1" s="104">
      <c r="BA2501" s="201" t="n">
        <v>0</v>
      </c>
    </row>
    <row r="2502" ht="15" customHeight="1" s="104">
      <c r="BA2502" s="201" t="n">
        <v>0</v>
      </c>
    </row>
    <row r="2503" ht="15" customHeight="1" s="104">
      <c r="BA2503" s="201" t="n">
        <v>0</v>
      </c>
    </row>
    <row r="2504" ht="15" customHeight="1" s="104">
      <c r="BA2504" s="201" t="n">
        <v>0</v>
      </c>
    </row>
    <row r="2505" ht="15" customHeight="1" s="104">
      <c r="BA2505" s="201" t="n">
        <v>0</v>
      </c>
    </row>
    <row r="2506" ht="15" customHeight="1" s="104">
      <c r="BA2506" s="201" t="n">
        <v>0</v>
      </c>
    </row>
    <row r="2507" ht="15" customHeight="1" s="104">
      <c r="BA2507" s="201" t="n">
        <v>0</v>
      </c>
    </row>
    <row r="2508" ht="15" customHeight="1" s="104">
      <c r="BA2508" s="201" t="n">
        <v>0</v>
      </c>
    </row>
    <row r="2509" ht="15" customHeight="1" s="104">
      <c r="BA2509" s="201" t="n">
        <v>0</v>
      </c>
    </row>
    <row r="2510" ht="15" customHeight="1" s="104">
      <c r="BA2510" s="201" t="n">
        <v>0</v>
      </c>
    </row>
    <row r="2511" ht="15" customHeight="1" s="104">
      <c r="BA2511" s="201" t="n">
        <v>0</v>
      </c>
    </row>
    <row r="2512" ht="15" customHeight="1" s="104">
      <c r="BA2512" s="201" t="n">
        <v>0</v>
      </c>
    </row>
    <row r="2513" ht="15" customHeight="1" s="104">
      <c r="BA2513" s="201" t="n">
        <v>0</v>
      </c>
    </row>
    <row r="2514" ht="15" customHeight="1" s="104">
      <c r="BA2514" s="201" t="n">
        <v>0</v>
      </c>
    </row>
    <row r="2515" ht="15" customHeight="1" s="104">
      <c r="BA2515" s="201" t="n">
        <v>0</v>
      </c>
    </row>
    <row r="2516" ht="15" customHeight="1" s="104">
      <c r="BA2516" s="201" t="n">
        <v>0</v>
      </c>
    </row>
    <row r="2517" ht="15" customHeight="1" s="104">
      <c r="BA2517" s="201" t="n">
        <v>0</v>
      </c>
    </row>
    <row r="2518" ht="15" customHeight="1" s="104">
      <c r="BA2518" s="201" t="n">
        <v>0</v>
      </c>
    </row>
    <row r="2519" ht="15" customHeight="1" s="104">
      <c r="BA2519" s="201" t="n">
        <v>0</v>
      </c>
    </row>
    <row r="2520" ht="15" customHeight="1" s="104">
      <c r="BA2520" s="201" t="n">
        <v>0</v>
      </c>
    </row>
    <row r="2521" ht="15" customHeight="1" s="104">
      <c r="BA2521" s="201" t="n">
        <v>0</v>
      </c>
    </row>
    <row r="2522" ht="15" customHeight="1" s="104">
      <c r="BA2522" s="201" t="n">
        <v>0</v>
      </c>
    </row>
    <row r="2523" ht="15" customHeight="1" s="104">
      <c r="BA2523" s="201" t="n">
        <v>0</v>
      </c>
    </row>
    <row r="2524" ht="15" customHeight="1" s="104">
      <c r="BA2524" s="201" t="n">
        <v>0</v>
      </c>
    </row>
    <row r="2525" ht="15" customHeight="1" s="104">
      <c r="BA2525" s="201" t="n">
        <v>0</v>
      </c>
    </row>
    <row r="2526" ht="15" customHeight="1" s="104">
      <c r="BA2526" s="201" t="n">
        <v>0</v>
      </c>
    </row>
    <row r="2527" ht="15" customHeight="1" s="104">
      <c r="BA2527" s="201" t="n">
        <v>0</v>
      </c>
    </row>
    <row r="2528" ht="15" customHeight="1" s="104">
      <c r="BA2528" s="201" t="n">
        <v>0</v>
      </c>
    </row>
    <row r="2529" ht="15" customHeight="1" s="104">
      <c r="BA2529" s="201" t="n">
        <v>0</v>
      </c>
    </row>
    <row r="2530" ht="15" customHeight="1" s="104">
      <c r="BA2530" s="201" t="n">
        <v>0</v>
      </c>
    </row>
    <row r="2531" ht="15" customHeight="1" s="104">
      <c r="BA2531" s="201" t="n">
        <v>0</v>
      </c>
    </row>
    <row r="2532" ht="15" customHeight="1" s="104">
      <c r="BA2532" s="201" t="n">
        <v>0</v>
      </c>
    </row>
    <row r="2533" ht="15" customHeight="1" s="104">
      <c r="BA2533" s="201" t="n">
        <v>0</v>
      </c>
    </row>
    <row r="2534" ht="15" customHeight="1" s="104">
      <c r="BA2534" s="201" t="n">
        <v>0</v>
      </c>
    </row>
    <row r="2535" ht="15" customHeight="1" s="104">
      <c r="BA2535" s="201" t="n">
        <v>0</v>
      </c>
    </row>
    <row r="2536" ht="15" customHeight="1" s="104">
      <c r="BA2536" s="201" t="n">
        <v>0</v>
      </c>
    </row>
    <row r="2537" ht="15" customHeight="1" s="104">
      <c r="BA2537" s="201" t="n">
        <v>0</v>
      </c>
    </row>
    <row r="2538" ht="15" customHeight="1" s="104">
      <c r="BA2538" s="201" t="n">
        <v>0</v>
      </c>
    </row>
    <row r="2539" ht="15" customHeight="1" s="104">
      <c r="BA2539" s="201" t="n">
        <v>0</v>
      </c>
    </row>
    <row r="2540" ht="15" customHeight="1" s="104">
      <c r="BA2540" s="201" t="n">
        <v>0</v>
      </c>
    </row>
    <row r="2541" ht="15" customHeight="1" s="104">
      <c r="BA2541" s="201" t="n">
        <v>0</v>
      </c>
    </row>
    <row r="2542" ht="15" customHeight="1" s="104">
      <c r="BA2542" s="201" t="n">
        <v>0</v>
      </c>
    </row>
    <row r="2543" ht="15" customHeight="1" s="104">
      <c r="BA2543" s="201" t="n">
        <v>0</v>
      </c>
    </row>
    <row r="2544" ht="15" customHeight="1" s="104">
      <c r="BA2544" s="201" t="n">
        <v>0</v>
      </c>
    </row>
    <row r="2545" ht="15" customHeight="1" s="104">
      <c r="BA2545" s="201" t="n">
        <v>0</v>
      </c>
    </row>
    <row r="2546" ht="15" customHeight="1" s="104">
      <c r="BA2546" s="201" t="n">
        <v>0</v>
      </c>
    </row>
    <row r="2547" ht="15" customHeight="1" s="104">
      <c r="BA2547" s="201" t="n">
        <v>0</v>
      </c>
    </row>
    <row r="2548" ht="15" customHeight="1" s="104">
      <c r="BA2548" s="201" t="n">
        <v>0</v>
      </c>
    </row>
    <row r="2549" ht="15" customHeight="1" s="104">
      <c r="BA2549" s="201" t="n">
        <v>0</v>
      </c>
    </row>
    <row r="2550" ht="15" customHeight="1" s="104">
      <c r="BA2550" s="201" t="n">
        <v>0</v>
      </c>
    </row>
    <row r="2551" ht="15" customHeight="1" s="104">
      <c r="BA2551" s="201" t="n">
        <v>0</v>
      </c>
    </row>
    <row r="2552" ht="15" customHeight="1" s="104">
      <c r="BA2552" s="201" t="n">
        <v>0</v>
      </c>
    </row>
    <row r="2553" ht="15" customHeight="1" s="104">
      <c r="BA2553" s="201" t="n">
        <v>0</v>
      </c>
    </row>
    <row r="2554" ht="15" customHeight="1" s="104">
      <c r="BA2554" s="201" t="n">
        <v>0</v>
      </c>
    </row>
    <row r="2555" ht="15" customHeight="1" s="104">
      <c r="BA2555" s="201" t="n">
        <v>0</v>
      </c>
    </row>
    <row r="2556" ht="15" customHeight="1" s="104">
      <c r="BA2556" s="201" t="n">
        <v>0</v>
      </c>
    </row>
    <row r="2557" ht="15" customHeight="1" s="104">
      <c r="BA2557" s="201" t="n">
        <v>0</v>
      </c>
    </row>
    <row r="2558" ht="15" customHeight="1" s="104">
      <c r="BA2558" s="201" t="n">
        <v>0</v>
      </c>
    </row>
    <row r="2559" ht="15" customHeight="1" s="104">
      <c r="BA2559" s="201" t="n">
        <v>0</v>
      </c>
    </row>
    <row r="2560" ht="15" customHeight="1" s="104">
      <c r="BA2560" s="201" t="n">
        <v>0</v>
      </c>
    </row>
    <row r="2561" ht="15" customHeight="1" s="104">
      <c r="BA2561" s="201" t="n">
        <v>0</v>
      </c>
    </row>
    <row r="2562" ht="15" customHeight="1" s="104">
      <c r="BA2562" s="201" t="n">
        <v>0</v>
      </c>
    </row>
    <row r="2563" ht="15" customHeight="1" s="104">
      <c r="BA2563" s="201" t="n">
        <v>0</v>
      </c>
    </row>
    <row r="2564" ht="15" customHeight="1" s="104">
      <c r="BA2564" s="201" t="n">
        <v>0</v>
      </c>
    </row>
    <row r="2565" ht="15" customHeight="1" s="104">
      <c r="BA2565" s="201" t="n">
        <v>0</v>
      </c>
    </row>
    <row r="2566" ht="15" customHeight="1" s="104">
      <c r="BA2566" s="201" t="n">
        <v>0</v>
      </c>
    </row>
    <row r="2567" ht="15" customHeight="1" s="104">
      <c r="BA2567" s="201" t="n">
        <v>0</v>
      </c>
    </row>
    <row r="2568" ht="15" customHeight="1" s="104">
      <c r="BA2568" s="201" t="n">
        <v>0</v>
      </c>
    </row>
    <row r="2569" ht="15" customHeight="1" s="104">
      <c r="BA2569" s="201" t="n">
        <v>0</v>
      </c>
    </row>
    <row r="2570" ht="15" customHeight="1" s="104">
      <c r="BA2570" s="201" t="n">
        <v>0</v>
      </c>
    </row>
    <row r="2571" ht="15" customHeight="1" s="104">
      <c r="BA2571" s="201" t="n">
        <v>0</v>
      </c>
    </row>
    <row r="2572" ht="15" customHeight="1" s="104">
      <c r="BA2572" s="201" t="n">
        <v>0</v>
      </c>
    </row>
    <row r="2573" ht="15" customHeight="1" s="104">
      <c r="BA2573" s="201" t="n">
        <v>0</v>
      </c>
    </row>
    <row r="2574" ht="15" customHeight="1" s="104">
      <c r="BA2574" s="201" t="n">
        <v>0</v>
      </c>
    </row>
    <row r="2575" ht="15" customHeight="1" s="104">
      <c r="BA2575" s="201" t="n">
        <v>0</v>
      </c>
    </row>
    <row r="2576" ht="15" customHeight="1" s="104">
      <c r="BA2576" s="201" t="n">
        <v>0</v>
      </c>
    </row>
    <row r="2577" ht="15" customHeight="1" s="104">
      <c r="BA2577" s="201" t="n">
        <v>0</v>
      </c>
    </row>
    <row r="2578" ht="15" customHeight="1" s="104">
      <c r="BA2578" s="201" t="n">
        <v>0</v>
      </c>
    </row>
    <row r="2579" ht="15" customHeight="1" s="104">
      <c r="BA2579" s="201" t="n">
        <v>0</v>
      </c>
    </row>
    <row r="2580" ht="15" customHeight="1" s="104">
      <c r="BA2580" s="201" t="n">
        <v>0</v>
      </c>
    </row>
    <row r="2581" ht="15" customHeight="1" s="104">
      <c r="BA2581" s="201" t="n">
        <v>0</v>
      </c>
    </row>
    <row r="2582" ht="15" customHeight="1" s="104">
      <c r="BA2582" s="201" t="n">
        <v>0</v>
      </c>
    </row>
    <row r="2583" ht="15" customHeight="1" s="104">
      <c r="BA2583" s="201" t="n">
        <v>0</v>
      </c>
    </row>
    <row r="2584" ht="15" customHeight="1" s="104">
      <c r="BA2584" s="201" t="n">
        <v>0</v>
      </c>
    </row>
    <row r="2585" ht="15" customHeight="1" s="104">
      <c r="BA2585" s="201" t="n">
        <v>0</v>
      </c>
    </row>
    <row r="2586" ht="15" customHeight="1" s="104">
      <c r="BA2586" s="201" t="n">
        <v>0</v>
      </c>
    </row>
    <row r="2587" ht="15" customHeight="1" s="104">
      <c r="BA2587" s="201" t="n">
        <v>0</v>
      </c>
    </row>
    <row r="2588" ht="15" customHeight="1" s="104">
      <c r="BA2588" s="201" t="n">
        <v>0</v>
      </c>
    </row>
    <row r="2589" ht="15" customHeight="1" s="104">
      <c r="BA2589" s="201" t="n">
        <v>0</v>
      </c>
    </row>
    <row r="2590" ht="15" customHeight="1" s="104">
      <c r="BA2590" s="201" t="n">
        <v>0</v>
      </c>
    </row>
    <row r="2591" ht="15" customHeight="1" s="104">
      <c r="BA2591" s="201" t="n">
        <v>0</v>
      </c>
    </row>
    <row r="2592" ht="15" customHeight="1" s="104">
      <c r="BA2592" s="201" t="n">
        <v>0</v>
      </c>
    </row>
    <row r="2593" ht="15" customHeight="1" s="104">
      <c r="BA2593" s="201" t="n">
        <v>0</v>
      </c>
    </row>
    <row r="2594" ht="15" customHeight="1" s="104">
      <c r="BA2594" s="201" t="n">
        <v>0</v>
      </c>
    </row>
    <row r="2595" ht="15" customHeight="1" s="104">
      <c r="BA2595" s="201" t="n">
        <v>0</v>
      </c>
    </row>
    <row r="2596" ht="15" customHeight="1" s="104">
      <c r="BA2596" s="201" t="n">
        <v>0</v>
      </c>
    </row>
    <row r="2597" ht="15" customHeight="1" s="104">
      <c r="BA2597" s="201" t="n">
        <v>0</v>
      </c>
    </row>
    <row r="2598" ht="15" customHeight="1" s="104">
      <c r="BA2598" s="201" t="n">
        <v>0</v>
      </c>
    </row>
    <row r="2599" ht="15" customHeight="1" s="104">
      <c r="BA2599" s="201" t="n">
        <v>0</v>
      </c>
    </row>
    <row r="2600" ht="15" customHeight="1" s="104">
      <c r="BA2600" s="201" t="n">
        <v>0</v>
      </c>
    </row>
    <row r="2601" ht="15" customHeight="1" s="104">
      <c r="BA2601" s="201" t="n">
        <v>0</v>
      </c>
    </row>
    <row r="2602" ht="15" customHeight="1" s="104">
      <c r="BA2602" s="201" t="n">
        <v>0</v>
      </c>
    </row>
    <row r="2603" ht="15" customHeight="1" s="104">
      <c r="BA2603" s="201" t="n">
        <v>0</v>
      </c>
    </row>
    <row r="2604" ht="15" customHeight="1" s="104">
      <c r="BA2604" s="201" t="n">
        <v>0</v>
      </c>
    </row>
    <row r="2605" ht="15" customHeight="1" s="104">
      <c r="BA2605" s="201" t="n">
        <v>0</v>
      </c>
    </row>
    <row r="2606" ht="15" customHeight="1" s="104">
      <c r="BA2606" s="201" t="n">
        <v>0</v>
      </c>
    </row>
    <row r="2607" ht="15" customHeight="1" s="104">
      <c r="BA2607" s="201" t="n">
        <v>0</v>
      </c>
    </row>
    <row r="2608" ht="15" customHeight="1" s="104">
      <c r="BA2608" s="201" t="n">
        <v>0</v>
      </c>
    </row>
    <row r="2609" ht="15" customHeight="1" s="104">
      <c r="BA2609" s="201" t="n">
        <v>0</v>
      </c>
    </row>
    <row r="2610" ht="15" customHeight="1" s="104">
      <c r="BA2610" s="201" t="n">
        <v>0</v>
      </c>
    </row>
    <row r="2611" ht="15" customHeight="1" s="104">
      <c r="BA2611" s="201" t="n">
        <v>0</v>
      </c>
    </row>
    <row r="2612" ht="15" customHeight="1" s="104">
      <c r="BA2612" s="201" t="n">
        <v>0</v>
      </c>
    </row>
    <row r="2613" ht="15" customHeight="1" s="104">
      <c r="BA2613" s="201" t="n">
        <v>0</v>
      </c>
    </row>
    <row r="2614" ht="15" customHeight="1" s="104">
      <c r="BA2614" s="201" t="n">
        <v>0</v>
      </c>
    </row>
    <row r="2615" ht="15" customHeight="1" s="104">
      <c r="BA2615" s="201" t="n">
        <v>0</v>
      </c>
    </row>
    <row r="2616" ht="15" customHeight="1" s="104">
      <c r="BA2616" s="201" t="n">
        <v>0</v>
      </c>
    </row>
    <row r="2617" ht="15" customHeight="1" s="104">
      <c r="BA2617" s="201" t="n">
        <v>0</v>
      </c>
    </row>
    <row r="2618" ht="15" customHeight="1" s="104">
      <c r="BA2618" s="201" t="n">
        <v>0</v>
      </c>
    </row>
    <row r="2619" ht="15" customHeight="1" s="104">
      <c r="BA2619" s="201" t="n">
        <v>0</v>
      </c>
    </row>
    <row r="2620" ht="15" customHeight="1" s="104">
      <c r="BA2620" s="201" t="n">
        <v>0</v>
      </c>
    </row>
    <row r="2621" ht="15" customHeight="1" s="104">
      <c r="BA2621" s="201" t="n">
        <v>0</v>
      </c>
    </row>
    <row r="2622" ht="15" customHeight="1" s="104">
      <c r="BA2622" s="201" t="n">
        <v>0</v>
      </c>
    </row>
    <row r="2623" ht="15" customHeight="1" s="104">
      <c r="BA2623" s="201" t="n">
        <v>0</v>
      </c>
    </row>
    <row r="2624" ht="15" customHeight="1" s="104">
      <c r="BA2624" s="201" t="n">
        <v>0</v>
      </c>
    </row>
    <row r="2625" ht="15" customHeight="1" s="104">
      <c r="BA2625" s="201" t="n">
        <v>0</v>
      </c>
    </row>
    <row r="2626" ht="15" customHeight="1" s="104">
      <c r="BA2626" s="201" t="n">
        <v>0</v>
      </c>
    </row>
    <row r="2627" ht="15" customHeight="1" s="104">
      <c r="BA2627" s="201" t="n">
        <v>0</v>
      </c>
    </row>
    <row r="2628" ht="15" customHeight="1" s="104">
      <c r="BA2628" s="201" t="n">
        <v>0</v>
      </c>
    </row>
    <row r="2629" ht="15" customHeight="1" s="104">
      <c r="BA2629" s="201" t="n">
        <v>0</v>
      </c>
    </row>
    <row r="2630" ht="15" customHeight="1" s="104">
      <c r="BA2630" s="201" t="n">
        <v>0</v>
      </c>
    </row>
    <row r="2631" ht="15" customHeight="1" s="104">
      <c r="BA2631" s="201" t="n">
        <v>0</v>
      </c>
    </row>
    <row r="2632" ht="15" customHeight="1" s="104">
      <c r="BA2632" s="201" t="n">
        <v>0</v>
      </c>
    </row>
    <row r="2633" ht="15" customHeight="1" s="104">
      <c r="BA2633" s="201" t="n">
        <v>0</v>
      </c>
    </row>
    <row r="2634" ht="15" customHeight="1" s="104">
      <c r="BA2634" s="201" t="n">
        <v>0</v>
      </c>
    </row>
    <row r="2635" ht="15" customHeight="1" s="104">
      <c r="BA2635" s="201" t="n">
        <v>0</v>
      </c>
    </row>
    <row r="2636" ht="15" customHeight="1" s="104">
      <c r="BA2636" s="201" t="n">
        <v>0</v>
      </c>
    </row>
    <row r="2637" ht="15" customHeight="1" s="104">
      <c r="BA2637" s="201" t="n">
        <v>0</v>
      </c>
    </row>
    <row r="2638" ht="15" customHeight="1" s="104">
      <c r="BA2638" s="201" t="n">
        <v>0</v>
      </c>
    </row>
    <row r="2639" ht="15" customHeight="1" s="104">
      <c r="BA2639" s="201" t="n">
        <v>0</v>
      </c>
    </row>
    <row r="2640" ht="15" customHeight="1" s="104">
      <c r="BA2640" s="201" t="n">
        <v>0</v>
      </c>
    </row>
    <row r="2641" ht="15" customHeight="1" s="104">
      <c r="BA2641" s="201" t="n">
        <v>0</v>
      </c>
    </row>
    <row r="2642" ht="15" customHeight="1" s="104">
      <c r="BA2642" s="201" t="n">
        <v>0</v>
      </c>
    </row>
    <row r="2643" ht="15" customHeight="1" s="104">
      <c r="BA2643" s="201" t="n">
        <v>0</v>
      </c>
    </row>
    <row r="2644" ht="15" customHeight="1" s="104">
      <c r="BA2644" s="201" t="n">
        <v>0</v>
      </c>
    </row>
    <row r="2645" ht="15" customHeight="1" s="104">
      <c r="BA2645" s="201" t="n">
        <v>0</v>
      </c>
    </row>
    <row r="2646" ht="15" customHeight="1" s="104">
      <c r="BA2646" s="201" t="n">
        <v>0</v>
      </c>
    </row>
    <row r="2647" ht="15" customHeight="1" s="104">
      <c r="BA2647" s="201" t="n">
        <v>0</v>
      </c>
    </row>
    <row r="2648" ht="15" customHeight="1" s="104">
      <c r="BA2648" s="201" t="n">
        <v>0</v>
      </c>
    </row>
    <row r="2649" ht="15" customHeight="1" s="104">
      <c r="BA2649" s="201" t="n">
        <v>0</v>
      </c>
    </row>
    <row r="2650" ht="15" customHeight="1" s="104">
      <c r="BA2650" s="201" t="n">
        <v>0</v>
      </c>
    </row>
    <row r="2651" ht="15" customHeight="1" s="104">
      <c r="BA2651" s="201" t="n">
        <v>0</v>
      </c>
    </row>
    <row r="2652" ht="15" customHeight="1" s="104">
      <c r="BA2652" s="201" t="n">
        <v>0</v>
      </c>
    </row>
    <row r="2653" ht="15" customHeight="1" s="104">
      <c r="BA2653" s="201" t="n">
        <v>0</v>
      </c>
    </row>
    <row r="2654" ht="15" customHeight="1" s="104">
      <c r="BA2654" s="201" t="n">
        <v>0</v>
      </c>
    </row>
    <row r="2655" ht="15" customHeight="1" s="104">
      <c r="BA2655" s="201" t="n">
        <v>0</v>
      </c>
    </row>
    <row r="2656" ht="15" customHeight="1" s="104">
      <c r="BA2656" s="201" t="n">
        <v>0</v>
      </c>
    </row>
    <row r="2657" ht="15" customHeight="1" s="104">
      <c r="BA2657" s="201" t="n">
        <v>0</v>
      </c>
    </row>
    <row r="2658" ht="15" customHeight="1" s="104">
      <c r="BA2658" s="201" t="n">
        <v>0</v>
      </c>
    </row>
    <row r="2659" ht="15" customHeight="1" s="104">
      <c r="BA2659" s="201" t="n">
        <v>0</v>
      </c>
    </row>
    <row r="2660" ht="15" customHeight="1" s="104">
      <c r="BA2660" s="201" t="n">
        <v>0</v>
      </c>
    </row>
    <row r="2661" ht="15" customHeight="1" s="104">
      <c r="BA2661" s="201" t="n">
        <v>0</v>
      </c>
    </row>
    <row r="2662" ht="15" customHeight="1" s="104">
      <c r="BA2662" s="201" t="n">
        <v>0</v>
      </c>
    </row>
    <row r="2663" ht="15" customHeight="1" s="104">
      <c r="BA2663" s="201" t="n">
        <v>0</v>
      </c>
    </row>
    <row r="2664" ht="15" customHeight="1" s="104">
      <c r="BA2664" s="201" t="n">
        <v>0</v>
      </c>
    </row>
    <row r="2665" ht="15" customHeight="1" s="104">
      <c r="BA2665" s="201" t="n">
        <v>0</v>
      </c>
    </row>
    <row r="2666" ht="15" customHeight="1" s="104">
      <c r="BA2666" s="201" t="n">
        <v>0</v>
      </c>
    </row>
    <row r="2667" ht="15" customHeight="1" s="104">
      <c r="BA2667" s="201" t="n">
        <v>0</v>
      </c>
    </row>
    <row r="2668" ht="15" customHeight="1" s="104">
      <c r="BA2668" s="201" t="n">
        <v>0</v>
      </c>
    </row>
    <row r="2669" ht="15" customHeight="1" s="104">
      <c r="BA2669" s="201" t="n">
        <v>0</v>
      </c>
    </row>
    <row r="2670" ht="15" customHeight="1" s="104">
      <c r="BA2670" s="201" t="n">
        <v>0</v>
      </c>
    </row>
    <row r="2671" ht="15" customHeight="1" s="104">
      <c r="BA2671" s="201" t="n">
        <v>0</v>
      </c>
    </row>
    <row r="2672" ht="15" customHeight="1" s="104">
      <c r="BA2672" s="201" t="n">
        <v>0</v>
      </c>
    </row>
    <row r="2673" ht="15" customHeight="1" s="104">
      <c r="BA2673" s="201" t="n">
        <v>0</v>
      </c>
    </row>
    <row r="2674" ht="15" customHeight="1" s="104">
      <c r="BA2674" s="201" t="n">
        <v>0</v>
      </c>
    </row>
    <row r="2675" ht="15" customHeight="1" s="104">
      <c r="BA2675" s="201" t="n">
        <v>0</v>
      </c>
    </row>
    <row r="2676" ht="15" customHeight="1" s="104">
      <c r="BA2676" s="201" t="n">
        <v>0</v>
      </c>
    </row>
    <row r="2677" ht="15" customHeight="1" s="104">
      <c r="BA2677" s="201" t="n">
        <v>0</v>
      </c>
    </row>
    <row r="2678" ht="15" customHeight="1" s="104">
      <c r="BA2678" s="201" t="n">
        <v>0</v>
      </c>
    </row>
    <row r="2679" ht="15" customHeight="1" s="104">
      <c r="BA2679" s="201" t="n">
        <v>0</v>
      </c>
    </row>
    <row r="2680" ht="15" customHeight="1" s="104">
      <c r="BA2680" s="201" t="n">
        <v>0</v>
      </c>
    </row>
    <row r="2681" ht="15" customHeight="1" s="104">
      <c r="BA2681" s="201" t="n">
        <v>0</v>
      </c>
    </row>
    <row r="2682" ht="15" customHeight="1" s="104">
      <c r="BA2682" s="201" t="n">
        <v>0</v>
      </c>
    </row>
    <row r="2683" ht="15" customHeight="1" s="104">
      <c r="BA2683" s="201" t="n">
        <v>0</v>
      </c>
    </row>
    <row r="2684" ht="15" customHeight="1" s="104">
      <c r="BA2684" s="201" t="n">
        <v>0</v>
      </c>
    </row>
    <row r="2685" ht="15" customHeight="1" s="104">
      <c r="BA2685" s="201" t="n">
        <v>0</v>
      </c>
    </row>
    <row r="2686" ht="15" customHeight="1" s="104">
      <c r="BA2686" s="201" t="n">
        <v>0</v>
      </c>
    </row>
    <row r="2687" ht="15" customHeight="1" s="104">
      <c r="BA2687" s="201" t="n">
        <v>0</v>
      </c>
    </row>
    <row r="2688" ht="15" customHeight="1" s="104">
      <c r="BA2688" s="201" t="n">
        <v>0</v>
      </c>
    </row>
    <row r="2689" ht="15" customHeight="1" s="104">
      <c r="BA2689" s="201" t="n">
        <v>0</v>
      </c>
    </row>
    <row r="2690" ht="15" customHeight="1" s="104">
      <c r="BA2690" s="201" t="n">
        <v>0</v>
      </c>
    </row>
    <row r="2691" ht="15" customHeight="1" s="104">
      <c r="BA2691" s="201" t="n">
        <v>0</v>
      </c>
    </row>
    <row r="2692" ht="15" customHeight="1" s="104">
      <c r="BA2692" s="201" t="n">
        <v>0</v>
      </c>
    </row>
    <row r="2693" ht="15" customHeight="1" s="104">
      <c r="BA2693" s="201" t="n">
        <v>0</v>
      </c>
    </row>
    <row r="2694" ht="15" customHeight="1" s="104">
      <c r="BA2694" s="201" t="n">
        <v>0</v>
      </c>
    </row>
    <row r="2695" ht="15" customHeight="1" s="104">
      <c r="BA2695" s="201" t="n">
        <v>0</v>
      </c>
    </row>
    <row r="2696" ht="15" customHeight="1" s="104">
      <c r="BA2696" s="201" t="n">
        <v>0</v>
      </c>
    </row>
    <row r="2697" ht="15" customHeight="1" s="104">
      <c r="BA2697" s="201" t="n">
        <v>0</v>
      </c>
    </row>
    <row r="2698" ht="15" customHeight="1" s="104">
      <c r="BA2698" s="201" t="n">
        <v>0</v>
      </c>
    </row>
    <row r="2699" ht="15" customHeight="1" s="104">
      <c r="BA2699" s="201" t="n">
        <v>0</v>
      </c>
    </row>
    <row r="2700" ht="15" customHeight="1" s="104">
      <c r="BA2700" s="201" t="n">
        <v>0</v>
      </c>
    </row>
    <row r="2701" ht="15" customHeight="1" s="104">
      <c r="BA2701" s="201" t="n">
        <v>0</v>
      </c>
    </row>
    <row r="2702" ht="15" customHeight="1" s="104">
      <c r="BA2702" s="201" t="n">
        <v>0</v>
      </c>
    </row>
    <row r="2703" ht="15" customHeight="1" s="104">
      <c r="BA2703" s="201" t="n">
        <v>0</v>
      </c>
    </row>
    <row r="2704" ht="15" customHeight="1" s="104">
      <c r="BA2704" s="201" t="n">
        <v>0</v>
      </c>
    </row>
    <row r="2705" ht="15" customHeight="1" s="104">
      <c r="BA2705" s="201" t="n">
        <v>0</v>
      </c>
    </row>
    <row r="2706" ht="15" customHeight="1" s="104">
      <c r="BA2706" s="201" t="n">
        <v>0</v>
      </c>
    </row>
    <row r="2707" ht="15" customHeight="1" s="104">
      <c r="BA2707" s="201" t="n">
        <v>0</v>
      </c>
    </row>
    <row r="2708" ht="15" customHeight="1" s="104">
      <c r="BA2708" s="201" t="n">
        <v>0</v>
      </c>
    </row>
    <row r="2709" ht="15" customHeight="1" s="104">
      <c r="BA2709" s="201" t="n">
        <v>0</v>
      </c>
    </row>
    <row r="2710" ht="15" customHeight="1" s="104">
      <c r="BA2710" s="201" t="n">
        <v>0</v>
      </c>
    </row>
    <row r="2711" ht="15" customHeight="1" s="104">
      <c r="BA2711" s="201" t="n">
        <v>0</v>
      </c>
    </row>
    <row r="2712" ht="15" customHeight="1" s="104">
      <c r="BA2712" s="201" t="n">
        <v>0</v>
      </c>
    </row>
    <row r="2713" ht="15" customHeight="1" s="104">
      <c r="BA2713" s="201" t="n">
        <v>0</v>
      </c>
    </row>
    <row r="2714" ht="15" customHeight="1" s="104">
      <c r="BA2714" s="201" t="n">
        <v>0</v>
      </c>
    </row>
    <row r="2715" ht="15" customHeight="1" s="104">
      <c r="BA2715" s="201" t="n">
        <v>0</v>
      </c>
    </row>
    <row r="2716" ht="15" customHeight="1" s="104">
      <c r="BA2716" s="201" t="n">
        <v>0</v>
      </c>
    </row>
    <row r="2717" ht="15" customHeight="1" s="104">
      <c r="BA2717" s="201" t="n">
        <v>0</v>
      </c>
    </row>
    <row r="2718" ht="15" customHeight="1" s="104">
      <c r="BA2718" s="201" t="n">
        <v>0</v>
      </c>
    </row>
    <row r="2719" ht="15" customHeight="1" s="104">
      <c r="BA2719" s="201" t="n">
        <v>0</v>
      </c>
    </row>
    <row r="2720" ht="15" customHeight="1" s="104">
      <c r="BA2720" s="201" t="n">
        <v>0</v>
      </c>
    </row>
    <row r="2721" ht="15" customHeight="1" s="104">
      <c r="BA2721" s="201" t="n">
        <v>0</v>
      </c>
    </row>
    <row r="2722" ht="15" customHeight="1" s="104">
      <c r="BA2722" s="201" t="n">
        <v>0</v>
      </c>
    </row>
    <row r="2723" ht="15" customHeight="1" s="104">
      <c r="BA2723" s="201" t="n">
        <v>0</v>
      </c>
    </row>
    <row r="2724" ht="15" customHeight="1" s="104">
      <c r="BA2724" s="201" t="n">
        <v>0</v>
      </c>
    </row>
    <row r="2725" ht="15" customHeight="1" s="104">
      <c r="BA2725" s="201" t="n">
        <v>0</v>
      </c>
    </row>
    <row r="2726" ht="15" customHeight="1" s="104">
      <c r="BA2726" s="201" t="n">
        <v>0</v>
      </c>
    </row>
    <row r="2727" ht="15" customHeight="1" s="104">
      <c r="BA2727" s="201" t="n">
        <v>0</v>
      </c>
    </row>
    <row r="2728" ht="15" customHeight="1" s="104">
      <c r="BA2728" s="201" t="n">
        <v>0</v>
      </c>
    </row>
    <row r="2729" ht="15" customHeight="1" s="104">
      <c r="BA2729" s="201" t="n">
        <v>0</v>
      </c>
    </row>
    <row r="2730" ht="15" customHeight="1" s="104">
      <c r="BA2730" s="201" t="n">
        <v>0</v>
      </c>
    </row>
    <row r="2731" ht="15" customHeight="1" s="104">
      <c r="BA2731" s="201" t="n">
        <v>0</v>
      </c>
    </row>
    <row r="2732" ht="15" customHeight="1" s="104">
      <c r="BA2732" s="201" t="n">
        <v>0</v>
      </c>
    </row>
    <row r="2733" ht="15" customHeight="1" s="104">
      <c r="BA2733" s="201" t="n">
        <v>0</v>
      </c>
    </row>
    <row r="2734" ht="15" customHeight="1" s="104">
      <c r="BA2734" s="201" t="n">
        <v>0</v>
      </c>
    </row>
    <row r="2735" ht="15" customHeight="1" s="104">
      <c r="BA2735" s="201" t="n">
        <v>0</v>
      </c>
    </row>
    <row r="2736" ht="15" customHeight="1" s="104">
      <c r="BA2736" s="201" t="n">
        <v>0</v>
      </c>
    </row>
    <row r="2737" ht="15" customHeight="1" s="104">
      <c r="BA2737" s="201" t="n">
        <v>0</v>
      </c>
    </row>
    <row r="2738" ht="15" customHeight="1" s="104">
      <c r="BA2738" s="201" t="n">
        <v>0</v>
      </c>
    </row>
    <row r="2739" ht="15" customHeight="1" s="104">
      <c r="BA2739" s="201" t="n">
        <v>0</v>
      </c>
    </row>
    <row r="2740" ht="15" customHeight="1" s="104">
      <c r="BA2740" s="201" t="n">
        <v>0</v>
      </c>
    </row>
    <row r="2741" ht="15" customHeight="1" s="104">
      <c r="BA2741" s="201" t="n">
        <v>0</v>
      </c>
    </row>
    <row r="2742" ht="15" customHeight="1" s="104">
      <c r="BA2742" s="201" t="n">
        <v>0</v>
      </c>
    </row>
    <row r="2743" ht="15" customHeight="1" s="104">
      <c r="BA2743" s="201" t="n">
        <v>0</v>
      </c>
    </row>
    <row r="2744" ht="15" customHeight="1" s="104">
      <c r="BA2744" s="201" t="n">
        <v>0</v>
      </c>
    </row>
    <row r="2745" ht="15" customHeight="1" s="104">
      <c r="BA2745" s="201" t="n">
        <v>0</v>
      </c>
    </row>
    <row r="2746" ht="15" customHeight="1" s="104">
      <c r="BA2746" s="201" t="n">
        <v>0</v>
      </c>
    </row>
    <row r="2747" ht="15" customHeight="1" s="104">
      <c r="BA2747" s="201" t="n">
        <v>0</v>
      </c>
    </row>
    <row r="2748" ht="15" customHeight="1" s="104">
      <c r="BA2748" s="201" t="n">
        <v>0</v>
      </c>
    </row>
    <row r="2749" ht="15" customHeight="1" s="104">
      <c r="BA2749" s="201" t="n">
        <v>0</v>
      </c>
    </row>
    <row r="2750" ht="15" customHeight="1" s="104">
      <c r="BA2750" s="201" t="n">
        <v>0</v>
      </c>
    </row>
    <row r="2751" ht="15" customHeight="1" s="104">
      <c r="BA2751" s="201" t="n">
        <v>0</v>
      </c>
    </row>
    <row r="2752" ht="15" customHeight="1" s="104">
      <c r="BA2752" s="201" t="n">
        <v>0</v>
      </c>
    </row>
    <row r="2753" ht="15" customHeight="1" s="104">
      <c r="BA2753" s="201" t="n">
        <v>0</v>
      </c>
    </row>
    <row r="2754" ht="15" customHeight="1" s="104">
      <c r="BA2754" s="201" t="n">
        <v>0</v>
      </c>
    </row>
    <row r="2755" ht="15" customHeight="1" s="104">
      <c r="BA2755" s="201" t="n">
        <v>0</v>
      </c>
    </row>
    <row r="2756" ht="15" customHeight="1" s="104">
      <c r="BA2756" s="201" t="n">
        <v>0</v>
      </c>
    </row>
    <row r="2757" ht="15" customHeight="1" s="104">
      <c r="BA2757" s="201" t="n">
        <v>0</v>
      </c>
    </row>
    <row r="2758" ht="15" customHeight="1" s="104">
      <c r="BA2758" s="201" t="n">
        <v>0</v>
      </c>
    </row>
    <row r="2759" ht="15" customHeight="1" s="104">
      <c r="BA2759" s="201" t="n">
        <v>0</v>
      </c>
    </row>
    <row r="2760" ht="15" customHeight="1" s="104">
      <c r="BA2760" s="201" t="n">
        <v>0</v>
      </c>
    </row>
    <row r="2761" ht="15" customHeight="1" s="104">
      <c r="BA2761" s="201" t="n">
        <v>0</v>
      </c>
    </row>
    <row r="2762" ht="15" customHeight="1" s="104">
      <c r="BA2762" s="201" t="n">
        <v>0</v>
      </c>
    </row>
    <row r="2763" ht="15" customHeight="1" s="104">
      <c r="BA2763" s="201" t="n">
        <v>0</v>
      </c>
    </row>
    <row r="2764" ht="15" customHeight="1" s="104">
      <c r="BA2764" s="201" t="n">
        <v>0</v>
      </c>
    </row>
    <row r="2765" ht="15" customHeight="1" s="104">
      <c r="BA2765" s="201" t="n">
        <v>0</v>
      </c>
    </row>
    <row r="2766" ht="15" customHeight="1" s="104">
      <c r="BA2766" s="201" t="n">
        <v>0</v>
      </c>
    </row>
    <row r="2767" ht="15" customHeight="1" s="104">
      <c r="BA2767" s="201" t="n">
        <v>0</v>
      </c>
    </row>
    <row r="2768" ht="15" customHeight="1" s="104">
      <c r="BA2768" s="201" t="n">
        <v>0</v>
      </c>
    </row>
    <row r="2769" ht="15" customHeight="1" s="104">
      <c r="BA2769" s="201" t="n">
        <v>0</v>
      </c>
    </row>
    <row r="2770" ht="15" customHeight="1" s="104">
      <c r="BA2770" s="201" t="n">
        <v>0</v>
      </c>
    </row>
    <row r="2771" ht="15" customHeight="1" s="104">
      <c r="BA2771" s="201" t="n">
        <v>0</v>
      </c>
    </row>
    <row r="2772" ht="15" customHeight="1" s="104">
      <c r="BA2772" s="201" t="n">
        <v>0</v>
      </c>
    </row>
    <row r="2773" ht="15" customHeight="1" s="104">
      <c r="BA2773" s="201" t="n">
        <v>0</v>
      </c>
    </row>
    <row r="2774" ht="15" customHeight="1" s="104">
      <c r="BA2774" s="201" t="n">
        <v>0</v>
      </c>
    </row>
    <row r="2775" ht="15" customHeight="1" s="104">
      <c r="BA2775" s="201" t="n">
        <v>0</v>
      </c>
    </row>
    <row r="2776" ht="15" customHeight="1" s="104">
      <c r="BA2776" s="201" t="n">
        <v>0</v>
      </c>
    </row>
    <row r="2777" ht="15" customHeight="1" s="104">
      <c r="BA2777" s="201" t="n">
        <v>0</v>
      </c>
    </row>
    <row r="2778" ht="15" customHeight="1" s="104">
      <c r="BA2778" s="201" t="n">
        <v>0</v>
      </c>
    </row>
    <row r="2779" ht="15" customHeight="1" s="104">
      <c r="BA2779" s="201" t="n">
        <v>0</v>
      </c>
    </row>
    <row r="2780" ht="15" customHeight="1" s="104">
      <c r="BA2780" s="201" t="n">
        <v>0</v>
      </c>
    </row>
    <row r="2781" ht="15" customHeight="1" s="104">
      <c r="BA2781" s="201" t="n">
        <v>0</v>
      </c>
    </row>
    <row r="2782" ht="15" customHeight="1" s="104">
      <c r="BA2782" s="201" t="n">
        <v>0</v>
      </c>
    </row>
    <row r="2783" ht="15" customHeight="1" s="104">
      <c r="BA2783" s="201" t="n">
        <v>0</v>
      </c>
    </row>
    <row r="2784" ht="15" customHeight="1" s="104">
      <c r="BA2784" s="201" t="n">
        <v>0</v>
      </c>
    </row>
    <row r="2785" ht="15" customHeight="1" s="104">
      <c r="BA2785" s="201" t="n">
        <v>0</v>
      </c>
    </row>
    <row r="2786" ht="15" customHeight="1" s="104">
      <c r="BA2786" s="201" t="n">
        <v>0</v>
      </c>
    </row>
    <row r="2787" ht="15" customHeight="1" s="104">
      <c r="BA2787" s="201" t="n">
        <v>0</v>
      </c>
    </row>
    <row r="2788" ht="15" customHeight="1" s="104">
      <c r="BA2788" s="201" t="n">
        <v>0</v>
      </c>
    </row>
    <row r="2789" ht="15" customHeight="1" s="104">
      <c r="BA2789" s="201" t="n">
        <v>0</v>
      </c>
    </row>
    <row r="2790" ht="15" customHeight="1" s="104">
      <c r="BA2790" s="201" t="n">
        <v>0</v>
      </c>
    </row>
    <row r="2791" ht="15" customHeight="1" s="104">
      <c r="BA2791" s="201" t="n">
        <v>0</v>
      </c>
    </row>
    <row r="2792" ht="15" customHeight="1" s="104">
      <c r="BA2792" s="201" t="n">
        <v>0</v>
      </c>
    </row>
    <row r="2793" ht="15" customHeight="1" s="104">
      <c r="BA2793" s="201" t="n">
        <v>0</v>
      </c>
    </row>
    <row r="2794" ht="15" customHeight="1" s="104">
      <c r="BA2794" s="201" t="n">
        <v>0</v>
      </c>
    </row>
    <row r="2795" ht="15" customHeight="1" s="104">
      <c r="BA2795" s="201" t="n">
        <v>0</v>
      </c>
    </row>
    <row r="2796" ht="15" customHeight="1" s="104">
      <c r="BA2796" s="201" t="n">
        <v>0</v>
      </c>
    </row>
    <row r="2797" ht="15" customHeight="1" s="104">
      <c r="BA2797" s="201" t="n">
        <v>0</v>
      </c>
    </row>
    <row r="2798" ht="15" customHeight="1" s="104">
      <c r="BA2798" s="201" t="n">
        <v>0</v>
      </c>
    </row>
    <row r="2799" ht="15" customHeight="1" s="104">
      <c r="BA2799" s="201" t="n">
        <v>0</v>
      </c>
    </row>
    <row r="2800" ht="15" customHeight="1" s="104">
      <c r="BA2800" s="201" t="n">
        <v>0</v>
      </c>
    </row>
    <row r="2801" ht="15" customHeight="1" s="104">
      <c r="BA2801" s="201" t="n">
        <v>0</v>
      </c>
    </row>
    <row r="2802" ht="15" customHeight="1" s="104">
      <c r="BA2802" s="201" t="n">
        <v>0</v>
      </c>
    </row>
    <row r="2803" ht="15" customHeight="1" s="104">
      <c r="BA2803" s="201" t="n">
        <v>0</v>
      </c>
    </row>
    <row r="2804" ht="15" customHeight="1" s="104">
      <c r="BA2804" s="201" t="n">
        <v>0</v>
      </c>
    </row>
    <row r="2805" ht="15" customHeight="1" s="104">
      <c r="BA2805" s="201" t="n">
        <v>0</v>
      </c>
    </row>
    <row r="2806" ht="15" customHeight="1" s="104">
      <c r="BA2806" s="201" t="n">
        <v>0</v>
      </c>
    </row>
    <row r="2807" ht="15" customHeight="1" s="104">
      <c r="BA2807" s="201" t="n">
        <v>0</v>
      </c>
    </row>
    <row r="2808" ht="15" customHeight="1" s="104">
      <c r="BA2808" s="201" t="n">
        <v>0</v>
      </c>
    </row>
    <row r="2809" ht="15" customHeight="1" s="104">
      <c r="BA2809" s="201" t="n">
        <v>0</v>
      </c>
    </row>
    <row r="2810" ht="15" customHeight="1" s="104">
      <c r="BA2810" s="201" t="n">
        <v>0</v>
      </c>
    </row>
    <row r="2811" ht="15" customHeight="1" s="104">
      <c r="BA2811" s="201" t="n">
        <v>0</v>
      </c>
    </row>
    <row r="2812" ht="15" customHeight="1" s="104">
      <c r="BA2812" s="201" t="n">
        <v>0</v>
      </c>
    </row>
    <row r="2813" ht="15" customHeight="1" s="104">
      <c r="BA2813" s="201" t="n">
        <v>0</v>
      </c>
    </row>
    <row r="2814" ht="15" customHeight="1" s="104">
      <c r="BA2814" s="201" t="n">
        <v>0</v>
      </c>
    </row>
    <row r="2815" ht="15" customHeight="1" s="104">
      <c r="BA2815" s="201" t="n">
        <v>0</v>
      </c>
    </row>
    <row r="2816" ht="15" customHeight="1" s="104">
      <c r="BA2816" s="201" t="n">
        <v>0</v>
      </c>
    </row>
    <row r="2817" ht="15" customHeight="1" s="104">
      <c r="BA2817" s="201" t="n">
        <v>0</v>
      </c>
    </row>
    <row r="2818" ht="15" customHeight="1" s="104">
      <c r="BA2818" s="201" t="n">
        <v>0</v>
      </c>
    </row>
    <row r="2819" ht="15" customHeight="1" s="104">
      <c r="BA2819" s="201" t="n">
        <v>0</v>
      </c>
    </row>
    <row r="2820" ht="15" customHeight="1" s="104">
      <c r="BA2820" s="201" t="n">
        <v>0</v>
      </c>
    </row>
    <row r="2821" ht="15" customHeight="1" s="104">
      <c r="BA2821" s="201" t="n">
        <v>0</v>
      </c>
    </row>
    <row r="2822" ht="15" customHeight="1" s="104">
      <c r="BA2822" s="201" t="n">
        <v>0</v>
      </c>
    </row>
    <row r="2823" ht="15" customHeight="1" s="104">
      <c r="BA2823" s="201" t="n">
        <v>0</v>
      </c>
    </row>
    <row r="2824" ht="15" customHeight="1" s="104">
      <c r="BA2824" s="201" t="n">
        <v>0</v>
      </c>
    </row>
    <row r="2825" ht="15" customHeight="1" s="104">
      <c r="BA2825" s="201" t="n">
        <v>0</v>
      </c>
    </row>
    <row r="2826" ht="15" customHeight="1" s="104">
      <c r="BA2826" s="201" t="n">
        <v>0</v>
      </c>
    </row>
    <row r="2827" ht="15" customHeight="1" s="104">
      <c r="BA2827" s="201" t="n">
        <v>0</v>
      </c>
    </row>
    <row r="2828" ht="15" customHeight="1" s="104">
      <c r="BA2828" s="201" t="n">
        <v>0</v>
      </c>
    </row>
    <row r="2829" ht="15" customHeight="1" s="104">
      <c r="BA2829" s="201" t="n">
        <v>0</v>
      </c>
    </row>
    <row r="2830" ht="15" customHeight="1" s="104">
      <c r="BA2830" s="201" t="n">
        <v>0</v>
      </c>
    </row>
    <row r="2831" ht="15" customHeight="1" s="104">
      <c r="BA2831" s="201" t="n">
        <v>0</v>
      </c>
    </row>
    <row r="2832" ht="15" customHeight="1" s="104">
      <c r="BA2832" s="201" t="n">
        <v>0</v>
      </c>
    </row>
    <row r="2833" ht="15" customHeight="1" s="104">
      <c r="BA2833" s="201" t="n">
        <v>0</v>
      </c>
    </row>
    <row r="2834" ht="15" customHeight="1" s="104">
      <c r="BA2834" s="201" t="n">
        <v>0</v>
      </c>
    </row>
    <row r="2835" ht="15" customHeight="1" s="104">
      <c r="BA2835" s="201" t="n">
        <v>0</v>
      </c>
    </row>
    <row r="2836" ht="15" customHeight="1" s="104">
      <c r="BA2836" s="201" t="n">
        <v>0</v>
      </c>
    </row>
    <row r="2837" ht="15" customHeight="1" s="104">
      <c r="BA2837" s="201" t="n">
        <v>0</v>
      </c>
    </row>
    <row r="2838" ht="15" customHeight="1" s="104">
      <c r="BA2838" s="201" t="n">
        <v>0</v>
      </c>
    </row>
    <row r="2839" ht="15" customHeight="1" s="104">
      <c r="BA2839" s="201" t="n">
        <v>0</v>
      </c>
    </row>
    <row r="2840" ht="15" customHeight="1" s="104">
      <c r="BA2840" s="201" t="n">
        <v>0</v>
      </c>
    </row>
    <row r="2841" ht="15" customHeight="1" s="104">
      <c r="BA2841" s="201" t="n">
        <v>0</v>
      </c>
    </row>
    <row r="2842" ht="15" customHeight="1" s="104">
      <c r="BA2842" s="201" t="n">
        <v>0</v>
      </c>
    </row>
    <row r="2843" ht="15" customHeight="1" s="104">
      <c r="BA2843" s="201" t="n">
        <v>0</v>
      </c>
    </row>
    <row r="2844" ht="15" customHeight="1" s="104">
      <c r="BA2844" s="201" t="n">
        <v>0</v>
      </c>
    </row>
    <row r="2845" ht="15" customHeight="1" s="104">
      <c r="BA2845" s="201" t="n">
        <v>0</v>
      </c>
    </row>
    <row r="2846" ht="15" customHeight="1" s="104">
      <c r="BA2846" s="201" t="n">
        <v>0</v>
      </c>
    </row>
    <row r="2847" ht="15" customHeight="1" s="104">
      <c r="BA2847" s="201" t="n">
        <v>0</v>
      </c>
    </row>
    <row r="2848" ht="15" customHeight="1" s="104">
      <c r="BA2848" s="201" t="n">
        <v>0</v>
      </c>
    </row>
    <row r="2849" ht="15" customHeight="1" s="104">
      <c r="BA2849" s="201" t="n">
        <v>0</v>
      </c>
    </row>
    <row r="2850" ht="15" customHeight="1" s="104">
      <c r="BA2850" s="201" t="n">
        <v>0</v>
      </c>
    </row>
    <row r="2851" ht="15" customHeight="1" s="104">
      <c r="BA2851" s="201" t="n">
        <v>0</v>
      </c>
    </row>
    <row r="2852" ht="15" customHeight="1" s="104">
      <c r="BA2852" s="201" t="n">
        <v>0</v>
      </c>
    </row>
    <row r="2853" ht="15" customHeight="1" s="104">
      <c r="BA2853" s="201" t="n">
        <v>0</v>
      </c>
    </row>
    <row r="2854" ht="15" customHeight="1" s="104">
      <c r="BA2854" s="201" t="n">
        <v>0</v>
      </c>
    </row>
    <row r="2855" ht="15" customHeight="1" s="104">
      <c r="BA2855" s="201" t="n">
        <v>0</v>
      </c>
    </row>
    <row r="2856" ht="15" customHeight="1" s="104">
      <c r="BA2856" s="201" t="n">
        <v>0</v>
      </c>
    </row>
    <row r="2857" ht="15" customHeight="1" s="104">
      <c r="BA2857" s="201" t="n">
        <v>0</v>
      </c>
    </row>
    <row r="2858" ht="15" customHeight="1" s="104">
      <c r="BA2858" s="201" t="n">
        <v>0</v>
      </c>
    </row>
    <row r="2859" ht="15" customHeight="1" s="104">
      <c r="BA2859" s="201" t="n">
        <v>0</v>
      </c>
    </row>
    <row r="2860" ht="15" customHeight="1" s="104">
      <c r="BA2860" s="201" t="n">
        <v>0</v>
      </c>
    </row>
    <row r="2861" ht="15" customHeight="1" s="104">
      <c r="BA2861" s="201" t="n">
        <v>0</v>
      </c>
    </row>
    <row r="2862" ht="15" customHeight="1" s="104">
      <c r="BA2862" s="201" t="n">
        <v>0</v>
      </c>
    </row>
    <row r="2863" ht="15" customHeight="1" s="104">
      <c r="BA2863" s="201" t="n">
        <v>0</v>
      </c>
    </row>
    <row r="2864" ht="15" customHeight="1" s="104">
      <c r="BA2864" s="201" t="n">
        <v>0</v>
      </c>
    </row>
    <row r="2865" ht="15" customHeight="1" s="104">
      <c r="BA2865" s="201" t="n">
        <v>0</v>
      </c>
    </row>
    <row r="2866" ht="15" customHeight="1" s="104">
      <c r="BA2866" s="201" t="n">
        <v>0</v>
      </c>
    </row>
    <row r="2867" ht="15" customHeight="1" s="104">
      <c r="BA2867" s="201" t="n">
        <v>0</v>
      </c>
    </row>
    <row r="2868" ht="15" customHeight="1" s="104">
      <c r="BA2868" s="201" t="n">
        <v>0</v>
      </c>
    </row>
    <row r="2869" ht="15" customHeight="1" s="104">
      <c r="BA2869" s="201" t="n">
        <v>0</v>
      </c>
    </row>
    <row r="2870" ht="15" customHeight="1" s="104">
      <c r="BA2870" s="201" t="n">
        <v>0</v>
      </c>
    </row>
    <row r="2871" ht="15" customHeight="1" s="104">
      <c r="BA2871" s="201" t="n">
        <v>0</v>
      </c>
    </row>
    <row r="2872" ht="15" customHeight="1" s="104">
      <c r="BA2872" s="201" t="n">
        <v>0</v>
      </c>
    </row>
    <row r="2873" ht="15" customHeight="1" s="104">
      <c r="BA2873" s="201" t="n">
        <v>0</v>
      </c>
    </row>
    <row r="2874" ht="15" customHeight="1" s="104">
      <c r="BA2874" s="201" t="n">
        <v>0</v>
      </c>
    </row>
    <row r="2875" ht="15" customHeight="1" s="104">
      <c r="BA2875" s="201" t="n">
        <v>0</v>
      </c>
    </row>
    <row r="2876" ht="15" customHeight="1" s="104">
      <c r="BA2876" s="201" t="n">
        <v>0</v>
      </c>
    </row>
    <row r="2877" ht="15" customHeight="1" s="104">
      <c r="BA2877" s="201" t="n">
        <v>0</v>
      </c>
    </row>
    <row r="2878" ht="15" customHeight="1" s="104">
      <c r="BA2878" s="201" t="n">
        <v>0</v>
      </c>
    </row>
    <row r="2879" ht="15" customHeight="1" s="104">
      <c r="BA2879" s="201" t="n">
        <v>0</v>
      </c>
    </row>
    <row r="2880" ht="15" customHeight="1" s="104">
      <c r="BA2880" s="201" t="n">
        <v>0</v>
      </c>
    </row>
    <row r="2881" ht="15" customHeight="1" s="104">
      <c r="BA2881" s="201" t="n">
        <v>0</v>
      </c>
    </row>
    <row r="2882" ht="15" customHeight="1" s="104">
      <c r="BA2882" s="201" t="n">
        <v>0</v>
      </c>
    </row>
    <row r="2883" ht="15" customHeight="1" s="104">
      <c r="BA2883" s="201" t="n">
        <v>0</v>
      </c>
    </row>
    <row r="2884" ht="15" customHeight="1" s="104">
      <c r="BA2884" s="201" t="n">
        <v>0</v>
      </c>
    </row>
    <row r="2885" ht="15" customHeight="1" s="104">
      <c r="BA2885" s="201" t="n">
        <v>0</v>
      </c>
    </row>
    <row r="2886" ht="15" customHeight="1" s="104">
      <c r="BA2886" s="201" t="n">
        <v>0</v>
      </c>
    </row>
    <row r="2887" ht="15" customHeight="1" s="104">
      <c r="BA2887" s="201" t="n">
        <v>0</v>
      </c>
    </row>
    <row r="2888" ht="15" customHeight="1" s="104">
      <c r="BA2888" s="201" t="n">
        <v>0</v>
      </c>
    </row>
    <row r="2889" ht="15" customHeight="1" s="104">
      <c r="BA2889" s="201" t="n">
        <v>0</v>
      </c>
    </row>
    <row r="2890" ht="15" customHeight="1" s="104">
      <c r="BA2890" s="201" t="n">
        <v>0</v>
      </c>
    </row>
    <row r="2891" ht="15" customHeight="1" s="104">
      <c r="BA2891" s="201" t="n">
        <v>0</v>
      </c>
    </row>
    <row r="2892" ht="15" customHeight="1" s="104">
      <c r="BA2892" s="201" t="n">
        <v>0</v>
      </c>
    </row>
    <row r="2893" ht="15" customHeight="1" s="104">
      <c r="BA2893" s="201" t="n">
        <v>0</v>
      </c>
    </row>
    <row r="2894" ht="15" customHeight="1" s="104">
      <c r="BA2894" s="201" t="n">
        <v>0</v>
      </c>
    </row>
    <row r="2895" ht="15" customHeight="1" s="104">
      <c r="BA2895" s="201" t="n">
        <v>0</v>
      </c>
    </row>
    <row r="2896" ht="15" customHeight="1" s="104">
      <c r="BA2896" s="201" t="n">
        <v>0</v>
      </c>
    </row>
    <row r="2897" ht="15" customHeight="1" s="104">
      <c r="BA2897" s="201" t="n">
        <v>0</v>
      </c>
    </row>
    <row r="2898" ht="15" customHeight="1" s="104">
      <c r="BA2898" s="201" t="n">
        <v>0</v>
      </c>
    </row>
    <row r="2899" ht="15" customHeight="1" s="104">
      <c r="BA2899" s="201" t="n">
        <v>0</v>
      </c>
    </row>
    <row r="2900" ht="15" customHeight="1" s="104">
      <c r="BA2900" s="201" t="n">
        <v>0</v>
      </c>
    </row>
    <row r="2901" ht="15" customHeight="1" s="104">
      <c r="BA2901" s="201" t="n">
        <v>0</v>
      </c>
    </row>
    <row r="2902" ht="15" customHeight="1" s="104">
      <c r="BA2902" s="201" t="n">
        <v>0</v>
      </c>
    </row>
    <row r="2903" ht="15" customHeight="1" s="104">
      <c r="BA2903" s="201" t="n">
        <v>0</v>
      </c>
    </row>
    <row r="2904" ht="15" customHeight="1" s="104">
      <c r="BA2904" s="201" t="n">
        <v>0</v>
      </c>
    </row>
    <row r="2905" ht="15" customHeight="1" s="104">
      <c r="BA2905" s="201" t="n">
        <v>0</v>
      </c>
    </row>
    <row r="2906" ht="15" customHeight="1" s="104">
      <c r="BA2906" s="201" t="n">
        <v>0</v>
      </c>
    </row>
    <row r="2907" ht="15" customHeight="1" s="104">
      <c r="BA2907" s="201" t="n">
        <v>0</v>
      </c>
    </row>
    <row r="2908" ht="15" customHeight="1" s="104">
      <c r="BA2908" s="201" t="n">
        <v>0</v>
      </c>
    </row>
    <row r="2909" ht="15" customHeight="1" s="104">
      <c r="BA2909" s="201" t="n">
        <v>0</v>
      </c>
    </row>
    <row r="2910" ht="15" customHeight="1" s="104">
      <c r="BA2910" s="201" t="n">
        <v>0</v>
      </c>
    </row>
    <row r="2911" ht="15" customHeight="1" s="104">
      <c r="BA2911" s="201" t="n">
        <v>0</v>
      </c>
    </row>
    <row r="2912" ht="15" customHeight="1" s="104">
      <c r="BA2912" s="201" t="n">
        <v>0</v>
      </c>
    </row>
    <row r="2913" ht="15" customHeight="1" s="104">
      <c r="BA2913" s="201" t="n">
        <v>0</v>
      </c>
    </row>
    <row r="2914" ht="15" customHeight="1" s="104">
      <c r="BA2914" s="201" t="n">
        <v>0</v>
      </c>
    </row>
    <row r="2915" ht="15" customHeight="1" s="104">
      <c r="BA2915" s="201" t="n">
        <v>0</v>
      </c>
    </row>
    <row r="2916" ht="15" customHeight="1" s="104">
      <c r="BA2916" s="201" t="n">
        <v>0</v>
      </c>
    </row>
    <row r="2917" ht="15" customHeight="1" s="104">
      <c r="BA2917" s="201" t="n">
        <v>0</v>
      </c>
    </row>
    <row r="2918" ht="15" customHeight="1" s="104">
      <c r="BA2918" s="201" t="n">
        <v>0</v>
      </c>
    </row>
    <row r="2919" ht="15" customHeight="1" s="104">
      <c r="BA2919" s="201" t="n">
        <v>0</v>
      </c>
    </row>
    <row r="2920" ht="15" customHeight="1" s="104">
      <c r="BA2920" s="201" t="n">
        <v>0</v>
      </c>
    </row>
    <row r="2921" ht="15" customHeight="1" s="104">
      <c r="BA2921" s="201" t="n">
        <v>0</v>
      </c>
    </row>
    <row r="2922" ht="15" customHeight="1" s="104">
      <c r="BA2922" s="201" t="n">
        <v>0</v>
      </c>
    </row>
    <row r="2923" ht="15" customHeight="1" s="104">
      <c r="BA2923" s="201" t="n">
        <v>0</v>
      </c>
    </row>
    <row r="2924" ht="15" customHeight="1" s="104">
      <c r="BA2924" s="201" t="n">
        <v>0</v>
      </c>
    </row>
    <row r="2925" ht="15" customHeight="1" s="104">
      <c r="BA2925" s="201" t="n">
        <v>0</v>
      </c>
    </row>
    <row r="2926" ht="15" customHeight="1" s="104">
      <c r="BA2926" s="201" t="n">
        <v>0</v>
      </c>
    </row>
    <row r="2927" ht="15" customHeight="1" s="104">
      <c r="BA2927" s="201" t="n">
        <v>0</v>
      </c>
    </row>
    <row r="2928" ht="15" customHeight="1" s="104">
      <c r="BA2928" s="201" t="n">
        <v>0</v>
      </c>
    </row>
    <row r="2929" ht="15" customHeight="1" s="104">
      <c r="BA2929" s="201" t="n">
        <v>0</v>
      </c>
    </row>
    <row r="2930" ht="15" customHeight="1" s="104">
      <c r="BA2930" s="201" t="n">
        <v>0</v>
      </c>
    </row>
    <row r="2931" ht="15" customHeight="1" s="104">
      <c r="BA2931" s="201" t="n">
        <v>0</v>
      </c>
    </row>
    <row r="2932" ht="15" customHeight="1" s="104">
      <c r="BA2932" s="201" t="n">
        <v>0</v>
      </c>
    </row>
    <row r="2933" ht="15" customHeight="1" s="104">
      <c r="BA2933" s="201" t="n">
        <v>0</v>
      </c>
    </row>
    <row r="2934" ht="15" customHeight="1" s="104">
      <c r="BA2934" s="201" t="n">
        <v>0</v>
      </c>
    </row>
    <row r="2935" ht="15" customHeight="1" s="104">
      <c r="BA2935" s="201" t="n">
        <v>0</v>
      </c>
    </row>
    <row r="2936" ht="15" customHeight="1" s="104">
      <c r="BA2936" s="201" t="n">
        <v>0</v>
      </c>
    </row>
    <row r="2937" ht="15" customHeight="1" s="104">
      <c r="BA2937" s="201" t="n">
        <v>0</v>
      </c>
    </row>
    <row r="2938" ht="15" customHeight="1" s="104">
      <c r="BA2938" s="201" t="n">
        <v>0</v>
      </c>
    </row>
    <row r="2939" ht="15" customHeight="1" s="104">
      <c r="BA2939" s="201" t="n">
        <v>0</v>
      </c>
    </row>
    <row r="2940" ht="15" customHeight="1" s="104">
      <c r="BA2940" s="201" t="n">
        <v>0</v>
      </c>
    </row>
    <row r="2941" ht="15" customHeight="1" s="104">
      <c r="BA2941" s="201" t="n">
        <v>0</v>
      </c>
    </row>
    <row r="2942" ht="15" customHeight="1" s="104">
      <c r="BA2942" s="201" t="n">
        <v>0</v>
      </c>
    </row>
    <row r="2943" ht="15" customHeight="1" s="104">
      <c r="BA2943" s="201" t="n">
        <v>0</v>
      </c>
    </row>
    <row r="2944" ht="15" customHeight="1" s="104">
      <c r="BA2944" s="201" t="n">
        <v>0</v>
      </c>
    </row>
    <row r="2945" ht="15" customHeight="1" s="104">
      <c r="BA2945" s="201" t="n">
        <v>0</v>
      </c>
    </row>
    <row r="2946" ht="15" customHeight="1" s="104">
      <c r="BA2946" s="201" t="n">
        <v>0</v>
      </c>
    </row>
    <row r="2947" ht="15" customHeight="1" s="104">
      <c r="BA2947" s="201" t="n">
        <v>0</v>
      </c>
    </row>
    <row r="2948" ht="15" customHeight="1" s="104">
      <c r="BA2948" s="201" t="n">
        <v>0</v>
      </c>
    </row>
    <row r="2949" ht="15" customHeight="1" s="104">
      <c r="BA2949" s="201" t="n">
        <v>0</v>
      </c>
    </row>
    <row r="2950" ht="15" customHeight="1" s="104">
      <c r="BA2950" s="201" t="n">
        <v>0</v>
      </c>
    </row>
    <row r="2951" ht="15" customHeight="1" s="104">
      <c r="BA2951" s="201" t="n">
        <v>0</v>
      </c>
    </row>
    <row r="2952" ht="15" customHeight="1" s="104">
      <c r="BA2952" s="201" t="n">
        <v>0</v>
      </c>
    </row>
    <row r="2953" ht="15" customHeight="1" s="104">
      <c r="BA2953" s="201" t="n">
        <v>0</v>
      </c>
    </row>
    <row r="2954" ht="15" customHeight="1" s="104">
      <c r="BA2954" s="201" t="n">
        <v>0</v>
      </c>
    </row>
    <row r="2955" ht="15" customHeight="1" s="104">
      <c r="BA2955" s="201" t="n">
        <v>0</v>
      </c>
    </row>
    <row r="2956" ht="15" customHeight="1" s="104">
      <c r="BA2956" s="201" t="n">
        <v>0</v>
      </c>
    </row>
    <row r="2957" ht="15" customHeight="1" s="104">
      <c r="BA2957" s="201" t="n">
        <v>0</v>
      </c>
    </row>
    <row r="2958" ht="15" customHeight="1" s="104">
      <c r="BA2958" s="201" t="n">
        <v>0</v>
      </c>
    </row>
    <row r="2959" ht="15" customHeight="1" s="104">
      <c r="BA2959" s="201" t="n">
        <v>0</v>
      </c>
    </row>
    <row r="2960" ht="15" customHeight="1" s="104">
      <c r="BA2960" s="201" t="n">
        <v>0</v>
      </c>
    </row>
    <row r="2961" ht="15" customHeight="1" s="104">
      <c r="BA2961" s="201" t="n">
        <v>0</v>
      </c>
    </row>
    <row r="2962" ht="15" customHeight="1" s="104">
      <c r="BA2962" s="201" t="n">
        <v>0</v>
      </c>
    </row>
    <row r="2963" ht="15" customHeight="1" s="104">
      <c r="BA2963" s="201" t="n">
        <v>0</v>
      </c>
    </row>
    <row r="2964" ht="15" customHeight="1" s="104">
      <c r="BA2964" s="201" t="n">
        <v>0</v>
      </c>
    </row>
    <row r="2965" ht="15" customHeight="1" s="104">
      <c r="BA2965" s="201" t="n">
        <v>0</v>
      </c>
    </row>
    <row r="2966" ht="15" customHeight="1" s="104">
      <c r="BA2966" s="201" t="n">
        <v>0</v>
      </c>
    </row>
    <row r="2967" ht="15" customHeight="1" s="104">
      <c r="BA2967" s="201" t="n">
        <v>0</v>
      </c>
    </row>
    <row r="2968" ht="15" customHeight="1" s="104">
      <c r="BA2968" s="201" t="n">
        <v>0</v>
      </c>
    </row>
    <row r="2969" ht="15" customHeight="1" s="104">
      <c r="BA2969" s="201" t="n">
        <v>0</v>
      </c>
    </row>
    <row r="2970" ht="15" customHeight="1" s="104">
      <c r="BA2970" s="201" t="n">
        <v>0</v>
      </c>
    </row>
    <row r="2971" ht="15" customHeight="1" s="104">
      <c r="BA2971" s="201" t="n">
        <v>0</v>
      </c>
    </row>
    <row r="2972" ht="15" customHeight="1" s="104">
      <c r="BA2972" s="201" t="n">
        <v>0</v>
      </c>
    </row>
    <row r="2973" ht="15" customHeight="1" s="104">
      <c r="BA2973" s="201" t="n">
        <v>0</v>
      </c>
    </row>
    <row r="2974" ht="15" customHeight="1" s="104">
      <c r="BA2974" s="201" t="n">
        <v>0</v>
      </c>
    </row>
    <row r="2975" ht="15" customHeight="1" s="104">
      <c r="BA2975" s="201" t="n">
        <v>0</v>
      </c>
    </row>
    <row r="2976" ht="15" customHeight="1" s="104">
      <c r="BA2976" s="201" t="n">
        <v>0</v>
      </c>
    </row>
    <row r="2977" ht="15" customHeight="1" s="104">
      <c r="BA2977" s="201" t="n">
        <v>0</v>
      </c>
    </row>
    <row r="2978" ht="15" customHeight="1" s="104">
      <c r="BA2978" s="201" t="n">
        <v>0</v>
      </c>
    </row>
    <row r="2979" ht="15" customHeight="1" s="104">
      <c r="BA2979" s="201" t="n">
        <v>0</v>
      </c>
    </row>
    <row r="2980" ht="15" customHeight="1" s="104">
      <c r="BA2980" s="201" t="n">
        <v>0</v>
      </c>
    </row>
    <row r="2981" ht="15" customHeight="1" s="104">
      <c r="BA2981" s="201" t="n">
        <v>0</v>
      </c>
    </row>
    <row r="2982" ht="15" customHeight="1" s="104">
      <c r="BA2982" s="201" t="n">
        <v>0</v>
      </c>
    </row>
    <row r="2983" ht="15" customHeight="1" s="104">
      <c r="BA2983" s="201" t="n">
        <v>0</v>
      </c>
    </row>
    <row r="2984" ht="15" customHeight="1" s="104">
      <c r="BA2984" s="201" t="n">
        <v>0</v>
      </c>
    </row>
    <row r="2985" ht="15" customHeight="1" s="104">
      <c r="BA2985" s="201" t="n">
        <v>0</v>
      </c>
    </row>
    <row r="2986" ht="15" customHeight="1" s="104">
      <c r="BA2986" s="201" t="n">
        <v>0</v>
      </c>
    </row>
    <row r="2987" ht="15" customHeight="1" s="104">
      <c r="BA2987" s="201" t="n">
        <v>0</v>
      </c>
    </row>
    <row r="2988" ht="15" customHeight="1" s="104">
      <c r="BA2988" s="201" t="n">
        <v>0</v>
      </c>
    </row>
    <row r="2989" ht="15" customHeight="1" s="104">
      <c r="BA2989" s="201" t="n">
        <v>0</v>
      </c>
    </row>
    <row r="2990" ht="15" customHeight="1" s="104">
      <c r="BA2990" s="201" t="n">
        <v>0</v>
      </c>
    </row>
    <row r="2991" ht="15" customHeight="1" s="104">
      <c r="BA2991" s="201" t="n">
        <v>0</v>
      </c>
    </row>
    <row r="2992" ht="15" customHeight="1" s="104">
      <c r="BA2992" s="201" t="n">
        <v>0</v>
      </c>
    </row>
    <row r="2993" ht="15" customHeight="1" s="104">
      <c r="BA2993" s="201" t="n">
        <v>0</v>
      </c>
    </row>
    <row r="2994" ht="15" customHeight="1" s="104">
      <c r="BA2994" s="201" t="n">
        <v>0</v>
      </c>
    </row>
    <row r="2995" ht="15" customHeight="1" s="104">
      <c r="BA2995" s="201" t="n">
        <v>0</v>
      </c>
    </row>
    <row r="2996" ht="15" customHeight="1" s="104">
      <c r="BA2996" s="201" t="n">
        <v>0</v>
      </c>
    </row>
    <row r="2997" ht="15" customHeight="1" s="104">
      <c r="BA2997" s="201" t="n">
        <v>0</v>
      </c>
    </row>
    <row r="2998" ht="15" customHeight="1" s="104">
      <c r="BA2998" s="201" t="n">
        <v>0</v>
      </c>
    </row>
    <row r="2999" ht="15" customHeight="1" s="104">
      <c r="BA2999" s="201" t="n">
        <v>0</v>
      </c>
    </row>
    <row r="3000" ht="15" customHeight="1" s="104">
      <c r="BA3000" s="201" t="n">
        <v>0</v>
      </c>
    </row>
    <row r="3001" ht="15" customHeight="1" s="104">
      <c r="BA3001" s="201" t="n">
        <v>0</v>
      </c>
    </row>
    <row r="3002" ht="15" customHeight="1" s="104">
      <c r="BA3002" s="201" t="n">
        <v>0</v>
      </c>
    </row>
    <row r="3003" ht="15" customHeight="1" s="104">
      <c r="BA3003" s="201" t="n">
        <v>0</v>
      </c>
    </row>
    <row r="3004" ht="15" customHeight="1" s="104">
      <c r="BA3004" s="201" t="n">
        <v>0</v>
      </c>
    </row>
    <row r="3005" ht="15" customHeight="1" s="104">
      <c r="BA3005" s="201" t="n">
        <v>0</v>
      </c>
    </row>
    <row r="3006" ht="15" customHeight="1" s="104">
      <c r="BA3006" s="201" t="n">
        <v>0</v>
      </c>
    </row>
    <row r="3007" ht="15" customHeight="1" s="104">
      <c r="BA3007" s="201" t="n">
        <v>0</v>
      </c>
    </row>
    <row r="3008" ht="15" customHeight="1" s="104">
      <c r="BA3008" s="201" t="n">
        <v>0</v>
      </c>
    </row>
    <row r="3009" ht="15" customHeight="1" s="104">
      <c r="BA3009" s="201" t="n">
        <v>0</v>
      </c>
    </row>
    <row r="3010" ht="15" customHeight="1" s="104">
      <c r="BA3010" s="201" t="n">
        <v>0</v>
      </c>
    </row>
    <row r="3011" ht="15" customHeight="1" s="104">
      <c r="BA3011" s="201" t="n">
        <v>0</v>
      </c>
    </row>
    <row r="3012" ht="15" customHeight="1" s="104">
      <c r="BA3012" s="201" t="n">
        <v>0</v>
      </c>
    </row>
    <row r="3013" ht="15" customHeight="1" s="104">
      <c r="BA3013" s="201" t="n">
        <v>0</v>
      </c>
    </row>
    <row r="3014" ht="15" customHeight="1" s="104">
      <c r="BA3014" s="201" t="n">
        <v>0</v>
      </c>
    </row>
    <row r="3015" ht="15" customHeight="1" s="104">
      <c r="BA3015" s="201" t="n">
        <v>0</v>
      </c>
    </row>
    <row r="3016" ht="15" customHeight="1" s="104">
      <c r="BA3016" s="201" t="n">
        <v>0</v>
      </c>
    </row>
    <row r="3017" ht="15" customHeight="1" s="104">
      <c r="BA3017" s="201" t="n">
        <v>0</v>
      </c>
    </row>
    <row r="3018" ht="15" customHeight="1" s="104">
      <c r="BA3018" s="201" t="n">
        <v>0</v>
      </c>
    </row>
    <row r="3019" ht="15" customHeight="1" s="104">
      <c r="BA3019" s="201" t="n">
        <v>0</v>
      </c>
    </row>
    <row r="3020" ht="15" customHeight="1" s="104">
      <c r="BA3020" s="201" t="n">
        <v>0</v>
      </c>
    </row>
    <row r="3021" ht="15" customHeight="1" s="104">
      <c r="BA3021" s="201" t="n">
        <v>0</v>
      </c>
    </row>
    <row r="3022" ht="15" customHeight="1" s="104">
      <c r="BA3022" s="201" t="n">
        <v>0</v>
      </c>
    </row>
    <row r="3023" ht="15" customHeight="1" s="104">
      <c r="BA3023" s="201" t="n">
        <v>0</v>
      </c>
    </row>
    <row r="3024" ht="15" customHeight="1" s="104">
      <c r="BA3024" s="201" t="n">
        <v>0</v>
      </c>
    </row>
    <row r="3025" ht="15" customHeight="1" s="104">
      <c r="BA3025" s="201" t="n">
        <v>0</v>
      </c>
    </row>
    <row r="3026" ht="15" customHeight="1" s="104">
      <c r="BA3026" s="201" t="n">
        <v>0</v>
      </c>
    </row>
    <row r="3027" ht="15" customHeight="1" s="104">
      <c r="BA3027" s="201" t="n">
        <v>0</v>
      </c>
    </row>
    <row r="3028" ht="15" customHeight="1" s="104">
      <c r="BA3028" s="201" t="n">
        <v>0</v>
      </c>
    </row>
    <row r="3029" ht="15" customHeight="1" s="104">
      <c r="BA3029" s="201" t="n">
        <v>0</v>
      </c>
    </row>
    <row r="3030" ht="15" customHeight="1" s="104">
      <c r="BA3030" s="201" t="n">
        <v>0</v>
      </c>
    </row>
    <row r="3031" ht="15" customHeight="1" s="104">
      <c r="BA3031" s="201" t="n">
        <v>0</v>
      </c>
    </row>
    <row r="3032" ht="15" customHeight="1" s="104">
      <c r="BA3032" s="201" t="n">
        <v>0</v>
      </c>
    </row>
    <row r="3033" ht="15" customHeight="1" s="104">
      <c r="BA3033" s="201" t="n">
        <v>0</v>
      </c>
    </row>
    <row r="3034" ht="15" customHeight="1" s="104">
      <c r="BA3034" s="201" t="n">
        <v>0</v>
      </c>
    </row>
    <row r="3035" ht="15" customHeight="1" s="104">
      <c r="BA3035" s="201" t="n">
        <v>0</v>
      </c>
    </row>
    <row r="3036" ht="15" customHeight="1" s="104">
      <c r="BA3036" s="201" t="n">
        <v>0</v>
      </c>
    </row>
    <row r="3037" ht="15" customHeight="1" s="104">
      <c r="BA3037" s="201" t="n">
        <v>0</v>
      </c>
    </row>
    <row r="3038" ht="15" customHeight="1" s="104">
      <c r="BA3038" s="201" t="n">
        <v>0</v>
      </c>
    </row>
    <row r="3039" ht="15" customHeight="1" s="104">
      <c r="BA3039" s="201" t="n">
        <v>0</v>
      </c>
    </row>
    <row r="3040" ht="15" customHeight="1" s="104">
      <c r="BA3040" s="201" t="n">
        <v>0</v>
      </c>
    </row>
    <row r="3041" ht="15" customHeight="1" s="104">
      <c r="BA3041" s="201" t="n">
        <v>0</v>
      </c>
    </row>
    <row r="3042" ht="15" customHeight="1" s="104">
      <c r="BA3042" s="201" t="n">
        <v>0</v>
      </c>
    </row>
    <row r="3043" ht="15" customHeight="1" s="104">
      <c r="BA3043" s="201" t="n">
        <v>0</v>
      </c>
    </row>
    <row r="3044" ht="15" customHeight="1" s="104">
      <c r="BA3044" s="201" t="n">
        <v>0</v>
      </c>
    </row>
    <row r="3045" ht="15" customHeight="1" s="104">
      <c r="BA3045" s="201" t="n">
        <v>0</v>
      </c>
    </row>
    <row r="3046" ht="15" customHeight="1" s="104">
      <c r="BA3046" s="201" t="n">
        <v>0</v>
      </c>
    </row>
    <row r="3047" ht="15" customHeight="1" s="104">
      <c r="BA3047" s="201" t="n">
        <v>0</v>
      </c>
    </row>
    <row r="3048" ht="15" customHeight="1" s="104">
      <c r="BA3048" s="201" t="n">
        <v>0</v>
      </c>
    </row>
    <row r="3049" ht="15" customHeight="1" s="104">
      <c r="BA3049" s="201" t="n">
        <v>0</v>
      </c>
    </row>
    <row r="3050" ht="15" customHeight="1" s="104">
      <c r="BA3050" s="201" t="n">
        <v>0</v>
      </c>
    </row>
    <row r="3051" ht="15" customHeight="1" s="104">
      <c r="BA3051" s="201" t="n">
        <v>0</v>
      </c>
    </row>
    <row r="3052" ht="15" customHeight="1" s="104">
      <c r="BA3052" s="201" t="n">
        <v>0</v>
      </c>
    </row>
    <row r="3053" ht="15" customHeight="1" s="104">
      <c r="BA3053" s="201" t="n">
        <v>0</v>
      </c>
    </row>
    <row r="3054" ht="15" customHeight="1" s="104">
      <c r="BA3054" s="201" t="n">
        <v>0</v>
      </c>
    </row>
    <row r="3055" ht="15" customHeight="1" s="104">
      <c r="BA3055" s="201" t="n">
        <v>0</v>
      </c>
    </row>
    <row r="3056" ht="15" customHeight="1" s="104">
      <c r="BA3056" s="201" t="n">
        <v>0</v>
      </c>
    </row>
    <row r="3057" ht="15" customHeight="1" s="104">
      <c r="BA3057" s="201" t="n">
        <v>0</v>
      </c>
    </row>
    <row r="3058" ht="15" customHeight="1" s="104">
      <c r="BA3058" s="201" t="n">
        <v>0</v>
      </c>
    </row>
    <row r="3059" ht="15" customHeight="1" s="104">
      <c r="BA3059" s="201" t="n">
        <v>0</v>
      </c>
    </row>
    <row r="3060" ht="15" customHeight="1" s="104">
      <c r="BA3060" s="201" t="n">
        <v>0</v>
      </c>
    </row>
    <row r="3061" ht="15" customHeight="1" s="104">
      <c r="BA3061" s="201" t="n">
        <v>0</v>
      </c>
    </row>
    <row r="3062" ht="15" customHeight="1" s="104">
      <c r="BA3062" s="201" t="n">
        <v>0</v>
      </c>
    </row>
    <row r="3063" ht="15" customHeight="1" s="104">
      <c r="BA3063" s="201" t="n">
        <v>0</v>
      </c>
    </row>
    <row r="3064" ht="15" customHeight="1" s="104">
      <c r="BA3064" s="201" t="n">
        <v>0</v>
      </c>
    </row>
    <row r="3065" ht="15" customHeight="1" s="104">
      <c r="BA3065" s="201" t="n">
        <v>0</v>
      </c>
    </row>
    <row r="3066" ht="15" customHeight="1" s="104">
      <c r="BA3066" s="201" t="n">
        <v>0</v>
      </c>
    </row>
    <row r="3067" ht="15" customHeight="1" s="104">
      <c r="BA3067" s="201" t="n">
        <v>0</v>
      </c>
    </row>
    <row r="3068" ht="15" customHeight="1" s="104">
      <c r="BA3068" s="201" t="n">
        <v>0</v>
      </c>
    </row>
    <row r="3069" ht="15" customHeight="1" s="104">
      <c r="BA3069" s="201" t="n">
        <v>0</v>
      </c>
    </row>
    <row r="3070" ht="15" customHeight="1" s="104">
      <c r="BA3070" s="201" t="n">
        <v>0</v>
      </c>
    </row>
    <row r="3071" ht="15" customHeight="1" s="104">
      <c r="BA3071" s="201" t="n">
        <v>0</v>
      </c>
    </row>
    <row r="3072" ht="15" customHeight="1" s="104">
      <c r="BA3072" s="201" t="n">
        <v>0</v>
      </c>
    </row>
    <row r="3073" ht="15" customHeight="1" s="104">
      <c r="BA3073" s="201" t="n">
        <v>0</v>
      </c>
    </row>
    <row r="3074" ht="15" customHeight="1" s="104">
      <c r="BA3074" s="201" t="n">
        <v>0</v>
      </c>
    </row>
    <row r="3075" ht="15" customHeight="1" s="104">
      <c r="BA3075" s="201" t="n">
        <v>0</v>
      </c>
    </row>
    <row r="3076" ht="15" customHeight="1" s="104">
      <c r="BA3076" s="201" t="n">
        <v>0</v>
      </c>
    </row>
    <row r="3077" ht="15" customHeight="1" s="104">
      <c r="BA3077" s="201" t="n">
        <v>0</v>
      </c>
    </row>
    <row r="3078" ht="15" customHeight="1" s="104">
      <c r="BA3078" s="201" t="n">
        <v>0</v>
      </c>
    </row>
    <row r="3079" ht="15" customHeight="1" s="104">
      <c r="BA3079" s="201" t="n">
        <v>0</v>
      </c>
    </row>
    <row r="3080" ht="15" customHeight="1" s="104">
      <c r="BA3080" s="201" t="n">
        <v>0</v>
      </c>
    </row>
    <row r="3081" ht="15" customHeight="1" s="104">
      <c r="BA3081" s="201" t="n">
        <v>0</v>
      </c>
    </row>
    <row r="3082" ht="15" customHeight="1" s="104">
      <c r="BA3082" s="201" t="n">
        <v>0</v>
      </c>
    </row>
    <row r="3083" ht="15" customHeight="1" s="104">
      <c r="BA3083" s="201" t="n">
        <v>0</v>
      </c>
    </row>
    <row r="3084" ht="15" customHeight="1" s="104">
      <c r="BA3084" s="201" t="n">
        <v>0</v>
      </c>
    </row>
    <row r="3085" ht="15" customHeight="1" s="104">
      <c r="BA3085" s="201" t="n">
        <v>0</v>
      </c>
    </row>
    <row r="3086" ht="15" customHeight="1" s="104">
      <c r="BA3086" s="201" t="n">
        <v>0</v>
      </c>
    </row>
    <row r="3087" ht="15" customHeight="1" s="104">
      <c r="BA3087" s="201" t="n">
        <v>0</v>
      </c>
    </row>
    <row r="3088" ht="15" customHeight="1" s="104">
      <c r="BA3088" s="201" t="n">
        <v>0</v>
      </c>
    </row>
    <row r="3089" ht="15" customHeight="1" s="104">
      <c r="BA3089" s="201" t="n">
        <v>0</v>
      </c>
    </row>
    <row r="3090" ht="15" customHeight="1" s="104">
      <c r="BA3090" s="201" t="n">
        <v>0</v>
      </c>
    </row>
    <row r="3091" ht="15" customHeight="1" s="104">
      <c r="BA3091" s="201" t="n">
        <v>0</v>
      </c>
    </row>
    <row r="3092" ht="15" customHeight="1" s="104">
      <c r="BA3092" s="201" t="n">
        <v>0</v>
      </c>
    </row>
    <row r="3093" ht="15" customHeight="1" s="104">
      <c r="BA3093" s="201" t="n">
        <v>0</v>
      </c>
    </row>
    <row r="3094" ht="15" customHeight="1" s="104">
      <c r="BA3094" s="201" t="n">
        <v>0</v>
      </c>
    </row>
    <row r="3095" ht="15" customHeight="1" s="104">
      <c r="BA3095" s="201" t="n">
        <v>0</v>
      </c>
    </row>
    <row r="3096" ht="15" customHeight="1" s="104">
      <c r="BA3096" s="201" t="n">
        <v>0</v>
      </c>
    </row>
    <row r="3097" ht="15" customHeight="1" s="104">
      <c r="BA3097" s="201" t="n">
        <v>0</v>
      </c>
    </row>
    <row r="3098" ht="15" customHeight="1" s="104">
      <c r="BA3098" s="201" t="n">
        <v>0</v>
      </c>
    </row>
    <row r="3099" ht="15" customHeight="1" s="104">
      <c r="BA3099" s="201" t="n">
        <v>0</v>
      </c>
    </row>
    <row r="3100" ht="15" customHeight="1" s="104">
      <c r="BA3100" s="201" t="n">
        <v>0</v>
      </c>
    </row>
    <row r="3101" ht="15" customHeight="1" s="104">
      <c r="BA3101" s="201" t="n">
        <v>0</v>
      </c>
    </row>
    <row r="3102" ht="15" customHeight="1" s="104">
      <c r="BA3102" s="201" t="n">
        <v>0</v>
      </c>
    </row>
    <row r="3103" ht="15" customHeight="1" s="104">
      <c r="BA3103" s="201" t="n">
        <v>0</v>
      </c>
    </row>
    <row r="3104" ht="15" customHeight="1" s="104">
      <c r="BA3104" s="201" t="n">
        <v>0</v>
      </c>
    </row>
    <row r="3105" ht="15" customHeight="1" s="104">
      <c r="BA3105" s="201" t="n">
        <v>0</v>
      </c>
    </row>
    <row r="3106" ht="15" customHeight="1" s="104">
      <c r="BA3106" s="201" t="n">
        <v>0</v>
      </c>
    </row>
    <row r="3107" ht="15" customHeight="1" s="104">
      <c r="BA3107" s="201" t="n">
        <v>0</v>
      </c>
    </row>
    <row r="3108" ht="15" customHeight="1" s="104">
      <c r="BA3108" s="201" t="n">
        <v>0</v>
      </c>
    </row>
    <row r="3109" ht="15" customHeight="1" s="104">
      <c r="BA3109" s="201" t="n">
        <v>0</v>
      </c>
    </row>
    <row r="3110" ht="15" customHeight="1" s="104">
      <c r="BA3110" s="201" t="n">
        <v>0</v>
      </c>
    </row>
    <row r="3111" ht="15" customHeight="1" s="104">
      <c r="BA3111" s="201" t="n">
        <v>0</v>
      </c>
    </row>
    <row r="3112" ht="15" customHeight="1" s="104">
      <c r="BA3112" s="201" t="n">
        <v>0</v>
      </c>
    </row>
    <row r="3113" ht="15" customHeight="1" s="104">
      <c r="BA3113" s="201" t="n">
        <v>0</v>
      </c>
    </row>
    <row r="3114" ht="15" customHeight="1" s="104">
      <c r="BA3114" s="201" t="n">
        <v>0</v>
      </c>
    </row>
    <row r="3115" ht="15" customHeight="1" s="104">
      <c r="BA3115" s="201" t="n">
        <v>0</v>
      </c>
    </row>
    <row r="3116" ht="15" customHeight="1" s="104">
      <c r="BA3116" s="201" t="n">
        <v>0</v>
      </c>
    </row>
    <row r="3117" ht="15" customHeight="1" s="104">
      <c r="BA3117" s="201" t="n">
        <v>0</v>
      </c>
    </row>
    <row r="3118" ht="15" customHeight="1" s="104">
      <c r="BA3118" s="201" t="n">
        <v>0</v>
      </c>
    </row>
    <row r="3119" ht="15" customHeight="1" s="104">
      <c r="BA3119" s="201" t="n">
        <v>0</v>
      </c>
    </row>
    <row r="3120" ht="15" customHeight="1" s="104">
      <c r="BA3120" s="201" t="n">
        <v>0</v>
      </c>
    </row>
    <row r="3121" ht="15" customHeight="1" s="104">
      <c r="BA3121" s="201" t="n">
        <v>0</v>
      </c>
    </row>
    <row r="3122" ht="15" customHeight="1" s="104">
      <c r="BA3122" s="201" t="n">
        <v>0</v>
      </c>
    </row>
    <row r="3123" ht="15" customHeight="1" s="104">
      <c r="BA3123" s="201" t="n">
        <v>0</v>
      </c>
    </row>
    <row r="3124" ht="15" customHeight="1" s="104">
      <c r="BA3124" s="201" t="n">
        <v>0</v>
      </c>
    </row>
    <row r="3125" ht="15" customHeight="1" s="104">
      <c r="BA3125" s="201" t="n">
        <v>0</v>
      </c>
    </row>
    <row r="3126" ht="15" customHeight="1" s="104">
      <c r="BA3126" s="201" t="n">
        <v>0</v>
      </c>
    </row>
    <row r="3127" ht="15" customHeight="1" s="104">
      <c r="BA3127" s="201" t="n">
        <v>0</v>
      </c>
    </row>
    <row r="3128" ht="15" customHeight="1" s="104">
      <c r="BA3128" s="201" t="n">
        <v>0</v>
      </c>
    </row>
    <row r="3129" ht="15" customHeight="1" s="104">
      <c r="BA3129" s="201" t="n">
        <v>0</v>
      </c>
    </row>
    <row r="3130" ht="15" customHeight="1" s="104">
      <c r="BA3130" s="201" t="n">
        <v>0</v>
      </c>
    </row>
    <row r="3131" ht="15" customHeight="1" s="104">
      <c r="BA3131" s="201" t="n">
        <v>0</v>
      </c>
    </row>
    <row r="3132" ht="15" customHeight="1" s="104">
      <c r="BA3132" s="201" t="n">
        <v>0</v>
      </c>
    </row>
    <row r="3133" ht="15" customHeight="1" s="104">
      <c r="BA3133" s="201" t="n">
        <v>0</v>
      </c>
    </row>
    <row r="3134" ht="15" customHeight="1" s="104">
      <c r="BA3134" s="201" t="n">
        <v>0</v>
      </c>
    </row>
    <row r="3135" ht="15" customHeight="1" s="104">
      <c r="BA3135" s="201" t="n">
        <v>0</v>
      </c>
    </row>
    <row r="3136" ht="15" customHeight="1" s="104">
      <c r="BA3136" s="201" t="n">
        <v>0</v>
      </c>
    </row>
    <row r="3137" ht="15" customHeight="1" s="104">
      <c r="BA3137" s="201" t="n">
        <v>0</v>
      </c>
    </row>
    <row r="3138" ht="15" customHeight="1" s="104">
      <c r="BA3138" s="201" t="n">
        <v>0</v>
      </c>
    </row>
    <row r="3139" ht="15" customHeight="1" s="104">
      <c r="BA3139" s="201" t="n">
        <v>0</v>
      </c>
    </row>
    <row r="3140" ht="15" customHeight="1" s="104">
      <c r="BA3140" s="201" t="n">
        <v>0</v>
      </c>
    </row>
    <row r="3141" ht="15" customHeight="1" s="104">
      <c r="BA3141" s="201" t="n">
        <v>0</v>
      </c>
    </row>
    <row r="3142" ht="15" customHeight="1" s="104">
      <c r="BA3142" s="201" t="n">
        <v>0</v>
      </c>
    </row>
    <row r="3143" ht="15" customHeight="1" s="104">
      <c r="BA3143" s="201" t="n">
        <v>0</v>
      </c>
    </row>
    <row r="3144" ht="15" customHeight="1" s="104">
      <c r="BA3144" s="201" t="n">
        <v>0</v>
      </c>
    </row>
    <row r="3145" ht="15" customHeight="1" s="104">
      <c r="BA3145" s="201" t="n">
        <v>0</v>
      </c>
    </row>
    <row r="3146" ht="15" customHeight="1" s="104">
      <c r="BA3146" s="201" t="n">
        <v>0</v>
      </c>
    </row>
    <row r="3147" ht="15" customHeight="1" s="104">
      <c r="BA3147" s="201" t="n">
        <v>0</v>
      </c>
    </row>
    <row r="3148" ht="15" customHeight="1" s="104">
      <c r="BA3148" s="201" t="n">
        <v>0</v>
      </c>
    </row>
    <row r="3149" ht="15" customHeight="1" s="104">
      <c r="BA3149" s="201" t="n">
        <v>0</v>
      </c>
    </row>
    <row r="3150" ht="15" customHeight="1" s="104">
      <c r="BA3150" s="201" t="n">
        <v>0</v>
      </c>
    </row>
    <row r="3151" ht="15" customHeight="1" s="104">
      <c r="BA3151" s="201" t="n">
        <v>0</v>
      </c>
    </row>
    <row r="3152" ht="15" customHeight="1" s="104">
      <c r="BA3152" s="201" t="n">
        <v>0</v>
      </c>
    </row>
    <row r="3153" ht="15" customHeight="1" s="104">
      <c r="BA3153" s="201" t="n">
        <v>0</v>
      </c>
    </row>
    <row r="3154" ht="15" customHeight="1" s="104">
      <c r="BA3154" s="201" t="n">
        <v>0</v>
      </c>
    </row>
    <row r="3155" ht="15" customHeight="1" s="104">
      <c r="BA3155" s="201" t="n">
        <v>0</v>
      </c>
    </row>
    <row r="3156" ht="15" customHeight="1" s="104">
      <c r="BA3156" s="201" t="n">
        <v>0</v>
      </c>
    </row>
    <row r="3157" ht="15" customHeight="1" s="104">
      <c r="BA3157" s="201" t="n">
        <v>0</v>
      </c>
    </row>
    <row r="3158" ht="15" customHeight="1" s="104">
      <c r="BA3158" s="201" t="n">
        <v>0</v>
      </c>
    </row>
    <row r="3159" ht="15" customHeight="1" s="104">
      <c r="BA3159" s="201" t="n">
        <v>0</v>
      </c>
    </row>
    <row r="3160" ht="15" customHeight="1" s="104">
      <c r="BA3160" s="201" t="n">
        <v>0</v>
      </c>
    </row>
    <row r="3161" ht="15" customHeight="1" s="104">
      <c r="BA3161" s="201" t="n">
        <v>0</v>
      </c>
    </row>
    <row r="3162" ht="15" customHeight="1" s="104">
      <c r="BA3162" s="201" t="n">
        <v>0</v>
      </c>
    </row>
    <row r="3163" ht="15" customHeight="1" s="104">
      <c r="BA3163" s="201" t="n">
        <v>0</v>
      </c>
    </row>
    <row r="3164" ht="15" customHeight="1" s="104">
      <c r="BA3164" s="201" t="n">
        <v>0</v>
      </c>
    </row>
    <row r="3165" ht="15" customHeight="1" s="104">
      <c r="BA3165" s="201" t="n">
        <v>0</v>
      </c>
    </row>
    <row r="3166" ht="15" customHeight="1" s="104">
      <c r="BA3166" s="201" t="n">
        <v>0</v>
      </c>
    </row>
    <row r="3167" ht="15" customHeight="1" s="104">
      <c r="BA3167" s="201" t="n">
        <v>0</v>
      </c>
    </row>
    <row r="3168" ht="15" customHeight="1" s="104">
      <c r="BA3168" s="201" t="n">
        <v>0</v>
      </c>
    </row>
    <row r="3169" ht="15" customHeight="1" s="104">
      <c r="BA3169" s="201" t="n">
        <v>0</v>
      </c>
    </row>
    <row r="3170" ht="15" customHeight="1" s="104">
      <c r="BA3170" s="201" t="n">
        <v>0</v>
      </c>
    </row>
    <row r="3171" ht="15" customHeight="1" s="104">
      <c r="BA3171" s="201" t="n">
        <v>0</v>
      </c>
    </row>
    <row r="3172" ht="15" customHeight="1" s="104">
      <c r="BA3172" s="201" t="n">
        <v>0</v>
      </c>
    </row>
    <row r="3173" ht="15" customHeight="1" s="104">
      <c r="BA3173" s="201" t="n">
        <v>0</v>
      </c>
    </row>
    <row r="3174" ht="15" customHeight="1" s="104">
      <c r="BA3174" s="201" t="n">
        <v>0</v>
      </c>
    </row>
    <row r="3175" ht="15" customHeight="1" s="104">
      <c r="BA3175" s="201" t="n">
        <v>0</v>
      </c>
    </row>
    <row r="3176" ht="15" customHeight="1" s="104">
      <c r="BA3176" s="201" t="n">
        <v>0</v>
      </c>
    </row>
    <row r="3177" ht="15" customHeight="1" s="104">
      <c r="BA3177" s="201" t="n">
        <v>0</v>
      </c>
    </row>
    <row r="3178" ht="15" customHeight="1" s="104">
      <c r="BA3178" s="201" t="n">
        <v>0</v>
      </c>
    </row>
    <row r="3179" ht="15" customHeight="1" s="104">
      <c r="BA3179" s="201" t="n">
        <v>0</v>
      </c>
    </row>
    <row r="3180" ht="15" customHeight="1" s="104">
      <c r="BA3180" s="201" t="n">
        <v>0</v>
      </c>
    </row>
    <row r="3181" ht="15" customHeight="1" s="104">
      <c r="BA3181" s="201" t="n">
        <v>0</v>
      </c>
    </row>
    <row r="3182" ht="15" customHeight="1" s="104">
      <c r="BA3182" s="201" t="n">
        <v>0</v>
      </c>
    </row>
    <row r="3183" ht="15" customHeight="1" s="104">
      <c r="BA3183" s="201" t="n">
        <v>0</v>
      </c>
    </row>
    <row r="3184" ht="15" customHeight="1" s="104">
      <c r="BA3184" s="201" t="n">
        <v>0</v>
      </c>
    </row>
    <row r="3185" ht="15" customHeight="1" s="104">
      <c r="BA3185" s="201" t="n">
        <v>0</v>
      </c>
    </row>
    <row r="3186" ht="15" customHeight="1" s="104">
      <c r="BA3186" s="201" t="n">
        <v>0</v>
      </c>
    </row>
    <row r="3187" ht="15" customHeight="1" s="104">
      <c r="BA3187" s="201" t="n">
        <v>0</v>
      </c>
    </row>
    <row r="3188" ht="15" customHeight="1" s="104">
      <c r="BA3188" s="201" t="n">
        <v>0</v>
      </c>
    </row>
    <row r="3189" ht="15" customHeight="1" s="104">
      <c r="BA3189" s="201" t="n">
        <v>0</v>
      </c>
    </row>
    <row r="3190" ht="15" customHeight="1" s="104">
      <c r="BA3190" s="201" t="n">
        <v>0</v>
      </c>
    </row>
    <row r="3191" ht="15" customHeight="1" s="104">
      <c r="BA3191" s="201" t="n">
        <v>0</v>
      </c>
    </row>
    <row r="3192" ht="15" customHeight="1" s="104">
      <c r="BA3192" s="201" t="n">
        <v>0</v>
      </c>
    </row>
    <row r="3193" ht="15" customHeight="1" s="104">
      <c r="BA3193" s="201" t="n">
        <v>0</v>
      </c>
    </row>
    <row r="3194" ht="15" customHeight="1" s="104">
      <c r="BA3194" s="201" t="n">
        <v>0</v>
      </c>
    </row>
    <row r="3195" ht="15" customHeight="1" s="104">
      <c r="BA3195" s="201" t="n">
        <v>0</v>
      </c>
    </row>
    <row r="3196" ht="15" customHeight="1" s="104">
      <c r="BA3196" s="201" t="n">
        <v>0</v>
      </c>
    </row>
    <row r="3197" ht="15" customHeight="1" s="104">
      <c r="BA3197" s="201" t="n">
        <v>0</v>
      </c>
    </row>
    <row r="3198" ht="15" customHeight="1" s="104">
      <c r="BA3198" s="201" t="n">
        <v>0</v>
      </c>
    </row>
    <row r="3199" ht="15" customHeight="1" s="104">
      <c r="BA3199" s="201" t="n">
        <v>0</v>
      </c>
    </row>
    <row r="3200" ht="15" customHeight="1" s="104">
      <c r="BA3200" s="201" t="n">
        <v>0</v>
      </c>
    </row>
    <row r="3201" ht="15" customHeight="1" s="104">
      <c r="BA3201" s="201" t="n">
        <v>0</v>
      </c>
    </row>
    <row r="3202" ht="15" customHeight="1" s="104">
      <c r="BA3202" s="201" t="n">
        <v>0</v>
      </c>
    </row>
    <row r="3203" ht="15" customHeight="1" s="104">
      <c r="BA3203" s="201" t="n">
        <v>0</v>
      </c>
    </row>
    <row r="3204" ht="15" customHeight="1" s="104">
      <c r="BA3204" s="201" t="n">
        <v>0</v>
      </c>
    </row>
    <row r="3205" ht="15" customHeight="1" s="104">
      <c r="BA3205" s="201" t="n">
        <v>0</v>
      </c>
    </row>
    <row r="3206" ht="15" customHeight="1" s="104">
      <c r="BA3206" s="201" t="n">
        <v>0</v>
      </c>
    </row>
    <row r="3207" ht="15" customHeight="1" s="104">
      <c r="BA3207" s="201" t="n">
        <v>0</v>
      </c>
    </row>
    <row r="3208" ht="15" customHeight="1" s="104">
      <c r="BA3208" s="201" t="n">
        <v>0</v>
      </c>
    </row>
    <row r="3209" ht="15" customHeight="1" s="104">
      <c r="BA3209" s="201" t="n">
        <v>0</v>
      </c>
    </row>
    <row r="3210" ht="15" customHeight="1" s="104">
      <c r="BA3210" s="201" t="n">
        <v>0</v>
      </c>
    </row>
    <row r="3211" ht="15" customHeight="1" s="104">
      <c r="BA3211" s="201" t="n">
        <v>0</v>
      </c>
    </row>
    <row r="3212" ht="15" customHeight="1" s="104">
      <c r="BA3212" s="201" t="n">
        <v>0</v>
      </c>
    </row>
    <row r="3213" ht="15" customHeight="1" s="104">
      <c r="BA3213" s="201" t="n">
        <v>0</v>
      </c>
    </row>
    <row r="3214" ht="15" customHeight="1" s="104">
      <c r="BA3214" s="201" t="n">
        <v>0</v>
      </c>
    </row>
    <row r="3215" ht="15" customHeight="1" s="104">
      <c r="BA3215" s="201" t="n">
        <v>0</v>
      </c>
    </row>
    <row r="3216" ht="15" customHeight="1" s="104">
      <c r="BA3216" s="201" t="n">
        <v>0</v>
      </c>
    </row>
    <row r="3217" ht="15" customHeight="1" s="104">
      <c r="BA3217" s="201" t="n">
        <v>0</v>
      </c>
    </row>
    <row r="3218" ht="15" customHeight="1" s="104">
      <c r="BA3218" s="201" t="n">
        <v>0</v>
      </c>
    </row>
    <row r="3219" ht="15" customHeight="1" s="104">
      <c r="BA3219" s="201" t="n">
        <v>0</v>
      </c>
    </row>
    <row r="3220" ht="15" customHeight="1" s="104">
      <c r="BA3220" s="201" t="n">
        <v>0</v>
      </c>
    </row>
    <row r="3221" ht="15" customHeight="1" s="104">
      <c r="BA3221" s="201" t="n">
        <v>0</v>
      </c>
    </row>
    <row r="3222" ht="15" customHeight="1" s="104">
      <c r="BA3222" s="201" t="n">
        <v>0</v>
      </c>
    </row>
    <row r="3223" ht="15" customHeight="1" s="104">
      <c r="BA3223" s="201" t="n">
        <v>0</v>
      </c>
    </row>
    <row r="3224" ht="15" customHeight="1" s="104">
      <c r="BA3224" s="201" t="n">
        <v>0</v>
      </c>
    </row>
    <row r="3225" ht="15" customHeight="1" s="104">
      <c r="BA3225" s="201" t="n">
        <v>0</v>
      </c>
    </row>
    <row r="3226" ht="15" customHeight="1" s="104">
      <c r="BA3226" s="201" t="n">
        <v>0</v>
      </c>
    </row>
    <row r="3227" ht="15" customHeight="1" s="104">
      <c r="BA3227" s="201" t="n">
        <v>0</v>
      </c>
    </row>
    <row r="3228" ht="15" customHeight="1" s="104">
      <c r="BA3228" s="201" t="n">
        <v>0</v>
      </c>
    </row>
    <row r="3229" ht="15" customHeight="1" s="104">
      <c r="BA3229" s="201" t="n">
        <v>0</v>
      </c>
    </row>
    <row r="3230" ht="15" customHeight="1" s="104">
      <c r="BA3230" s="201" t="n">
        <v>0</v>
      </c>
    </row>
    <row r="3231" ht="15" customHeight="1" s="104">
      <c r="BA3231" s="201" t="n">
        <v>0</v>
      </c>
    </row>
    <row r="3232" ht="15" customHeight="1" s="104">
      <c r="BA3232" s="201" t="n">
        <v>0</v>
      </c>
    </row>
    <row r="3233" ht="15" customHeight="1" s="104">
      <c r="BA3233" s="201" t="n">
        <v>0</v>
      </c>
    </row>
    <row r="3234" ht="15" customHeight="1" s="104">
      <c r="BA3234" s="201" t="n">
        <v>0</v>
      </c>
    </row>
    <row r="3235" ht="15" customHeight="1" s="104">
      <c r="BA3235" s="201" t="n">
        <v>0</v>
      </c>
    </row>
    <row r="3236" ht="15" customHeight="1" s="104">
      <c r="BA3236" s="201" t="n">
        <v>0</v>
      </c>
    </row>
    <row r="3237" ht="15" customHeight="1" s="104">
      <c r="BA3237" s="201" t="n">
        <v>0</v>
      </c>
    </row>
    <row r="3238" ht="15" customHeight="1" s="104">
      <c r="BA3238" s="201" t="n">
        <v>0</v>
      </c>
    </row>
    <row r="3239" ht="15" customHeight="1" s="104">
      <c r="BA3239" s="201" t="n">
        <v>0</v>
      </c>
    </row>
    <row r="3240" ht="15" customHeight="1" s="104">
      <c r="BA3240" s="201" t="n">
        <v>0</v>
      </c>
    </row>
    <row r="3241" ht="15" customHeight="1" s="104">
      <c r="BA3241" s="201" t="n">
        <v>0</v>
      </c>
    </row>
    <row r="3242" ht="15" customHeight="1" s="104">
      <c r="BA3242" s="201" t="n">
        <v>0</v>
      </c>
    </row>
    <row r="3243" ht="15" customHeight="1" s="104">
      <c r="BA3243" s="201" t="n">
        <v>0</v>
      </c>
    </row>
    <row r="3244" ht="15" customHeight="1" s="104">
      <c r="BA3244" s="201" t="n">
        <v>0</v>
      </c>
    </row>
    <row r="3245" ht="15" customHeight="1" s="104">
      <c r="BA3245" s="201" t="n">
        <v>0</v>
      </c>
    </row>
    <row r="3246" ht="15" customHeight="1" s="104">
      <c r="BA3246" s="201" t="n">
        <v>0</v>
      </c>
    </row>
    <row r="3247" ht="15" customHeight="1" s="104">
      <c r="BA3247" s="201" t="n">
        <v>0</v>
      </c>
    </row>
    <row r="3248" ht="15" customHeight="1" s="104">
      <c r="BA3248" s="201" t="n">
        <v>0</v>
      </c>
    </row>
    <row r="3249" ht="15" customHeight="1" s="104">
      <c r="BA3249" s="201" t="n">
        <v>0</v>
      </c>
    </row>
    <row r="3250" ht="15" customHeight="1" s="104">
      <c r="BA3250" s="201" t="n">
        <v>0</v>
      </c>
    </row>
    <row r="3251" ht="15" customHeight="1" s="104">
      <c r="BA3251" s="201" t="n">
        <v>0</v>
      </c>
    </row>
    <row r="3252" ht="15" customHeight="1" s="104">
      <c r="BA3252" s="201" t="n">
        <v>0</v>
      </c>
    </row>
    <row r="3253" ht="15" customHeight="1" s="104">
      <c r="BA3253" s="201" t="n">
        <v>0</v>
      </c>
    </row>
    <row r="3254" ht="15" customHeight="1" s="104">
      <c r="BA3254" s="201" t="n">
        <v>0</v>
      </c>
    </row>
    <row r="3255" ht="15" customHeight="1" s="104">
      <c r="BA3255" s="201" t="n">
        <v>0</v>
      </c>
    </row>
    <row r="3256" ht="15" customHeight="1" s="104">
      <c r="BA3256" s="201" t="n">
        <v>0</v>
      </c>
    </row>
    <row r="3257" ht="15" customHeight="1" s="104">
      <c r="BA3257" s="201" t="n">
        <v>0</v>
      </c>
    </row>
    <row r="3258" ht="15" customHeight="1" s="104">
      <c r="BA3258" s="201" t="n">
        <v>0</v>
      </c>
    </row>
    <row r="3259" ht="15" customHeight="1" s="104">
      <c r="BA3259" s="201" t="n">
        <v>0</v>
      </c>
    </row>
    <row r="3260" ht="15" customHeight="1" s="104">
      <c r="BA3260" s="201" t="n">
        <v>0</v>
      </c>
    </row>
    <row r="3261" ht="15" customHeight="1" s="104">
      <c r="BA3261" s="201" t="n">
        <v>0</v>
      </c>
    </row>
    <row r="3262" ht="15" customHeight="1" s="104">
      <c r="BA3262" s="201" t="n">
        <v>0</v>
      </c>
    </row>
    <row r="3263" ht="15" customHeight="1" s="104">
      <c r="BA3263" s="201" t="n">
        <v>0</v>
      </c>
    </row>
    <row r="3264" ht="15" customHeight="1" s="104">
      <c r="BA3264" s="201" t="n">
        <v>0</v>
      </c>
    </row>
    <row r="3265" ht="15" customHeight="1" s="104">
      <c r="BA3265" s="201" t="n">
        <v>0</v>
      </c>
    </row>
    <row r="3266" ht="15" customHeight="1" s="104">
      <c r="BA3266" s="201" t="n">
        <v>0</v>
      </c>
    </row>
    <row r="3267" ht="15" customHeight="1" s="104">
      <c r="BA3267" s="201" t="n">
        <v>0</v>
      </c>
    </row>
    <row r="3268" ht="15" customHeight="1" s="104">
      <c r="BA3268" s="201" t="n">
        <v>0</v>
      </c>
    </row>
    <row r="3269" ht="15" customHeight="1" s="104">
      <c r="BA3269" s="201" t="n">
        <v>0</v>
      </c>
    </row>
    <row r="3270" ht="15" customHeight="1" s="104">
      <c r="BA3270" s="201" t="n">
        <v>0</v>
      </c>
    </row>
    <row r="3271" ht="15" customHeight="1" s="104">
      <c r="BA3271" s="201" t="n">
        <v>0</v>
      </c>
    </row>
    <row r="3272" ht="15" customHeight="1" s="104">
      <c r="BA3272" s="201" t="n">
        <v>0</v>
      </c>
    </row>
    <row r="3273" ht="15" customHeight="1" s="104">
      <c r="BA3273" s="201" t="n">
        <v>0</v>
      </c>
    </row>
    <row r="3274" ht="15" customHeight="1" s="104">
      <c r="BA3274" s="201" t="n">
        <v>0</v>
      </c>
    </row>
    <row r="3275" ht="15" customHeight="1" s="104">
      <c r="BA3275" s="201" t="n">
        <v>0</v>
      </c>
    </row>
    <row r="3276" ht="15" customHeight="1" s="104">
      <c r="BA3276" s="201" t="n">
        <v>0</v>
      </c>
    </row>
    <row r="3277" ht="15" customHeight="1" s="104">
      <c r="BA3277" s="201" t="n">
        <v>0</v>
      </c>
    </row>
    <row r="3278" ht="15" customHeight="1" s="104">
      <c r="BA3278" s="201" t="n">
        <v>0</v>
      </c>
    </row>
    <row r="3279" ht="15" customHeight="1" s="104">
      <c r="BA3279" s="201" t="n">
        <v>0</v>
      </c>
    </row>
    <row r="3280" ht="15" customHeight="1" s="104">
      <c r="BA3280" s="201" t="n">
        <v>0</v>
      </c>
    </row>
    <row r="3281" ht="15" customHeight="1" s="104">
      <c r="BA3281" s="201" t="n">
        <v>0</v>
      </c>
    </row>
    <row r="3282" ht="15" customHeight="1" s="104">
      <c r="BA3282" s="201" t="n">
        <v>0</v>
      </c>
    </row>
    <row r="3283" ht="15" customHeight="1" s="104">
      <c r="BA3283" s="201" t="n">
        <v>0</v>
      </c>
    </row>
    <row r="3284" ht="15" customHeight="1" s="104">
      <c r="BA3284" s="201" t="n">
        <v>0</v>
      </c>
    </row>
    <row r="3285" ht="15" customHeight="1" s="104">
      <c r="BA3285" s="201" t="n">
        <v>0</v>
      </c>
    </row>
    <row r="3286" ht="15" customHeight="1" s="104">
      <c r="BA3286" s="201" t="n">
        <v>0</v>
      </c>
    </row>
    <row r="3287" ht="15" customHeight="1" s="104">
      <c r="BA3287" s="201" t="n">
        <v>0</v>
      </c>
    </row>
    <row r="3288" ht="15" customHeight="1" s="104">
      <c r="BA3288" s="201" t="n">
        <v>0</v>
      </c>
    </row>
    <row r="3289" ht="15" customHeight="1" s="104">
      <c r="BA3289" s="201" t="n">
        <v>0</v>
      </c>
    </row>
    <row r="3290" ht="15" customHeight="1" s="104">
      <c r="BA3290" s="201" t="n">
        <v>0</v>
      </c>
    </row>
    <row r="3291" ht="15" customHeight="1" s="104">
      <c r="BA3291" s="201" t="n">
        <v>0</v>
      </c>
    </row>
    <row r="3292" ht="15" customHeight="1" s="104">
      <c r="BA3292" s="201" t="n">
        <v>0</v>
      </c>
    </row>
    <row r="3293" ht="15" customHeight="1" s="104">
      <c r="BA3293" s="201" t="n">
        <v>0</v>
      </c>
    </row>
    <row r="3294" ht="15" customHeight="1" s="104">
      <c r="BA3294" s="201" t="n">
        <v>0</v>
      </c>
    </row>
    <row r="3295" ht="15" customHeight="1" s="104">
      <c r="BA3295" s="201" t="n">
        <v>0</v>
      </c>
    </row>
    <row r="3296" ht="15" customHeight="1" s="104">
      <c r="BA3296" s="201" t="n">
        <v>0</v>
      </c>
    </row>
    <row r="3297" ht="15" customHeight="1" s="104">
      <c r="BA3297" s="201" t="n">
        <v>0</v>
      </c>
    </row>
    <row r="3298" ht="15" customHeight="1" s="104">
      <c r="BA3298" s="201" t="n">
        <v>0</v>
      </c>
    </row>
    <row r="3299" ht="15" customHeight="1" s="104">
      <c r="BA3299" s="201" t="n">
        <v>0</v>
      </c>
    </row>
    <row r="3300" ht="15" customHeight="1" s="104">
      <c r="BA3300" s="201" t="n">
        <v>0</v>
      </c>
    </row>
    <row r="3301" ht="15" customHeight="1" s="104">
      <c r="BA3301" s="201" t="n">
        <v>0</v>
      </c>
    </row>
    <row r="3302" ht="15" customHeight="1" s="104">
      <c r="BA3302" s="201" t="n">
        <v>0</v>
      </c>
    </row>
    <row r="3303" ht="15" customHeight="1" s="104">
      <c r="BA3303" s="201" t="n">
        <v>0</v>
      </c>
    </row>
    <row r="3304" ht="15" customHeight="1" s="104">
      <c r="BA3304" s="201" t="n">
        <v>0</v>
      </c>
    </row>
    <row r="3305" ht="15" customHeight="1" s="104">
      <c r="BA3305" s="201" t="n">
        <v>0</v>
      </c>
    </row>
    <row r="3306" ht="15" customHeight="1" s="104">
      <c r="BA3306" s="201" t="n">
        <v>0</v>
      </c>
    </row>
    <row r="3307" ht="15" customHeight="1" s="104">
      <c r="BA3307" s="201" t="n">
        <v>0</v>
      </c>
    </row>
    <row r="3308" ht="15" customHeight="1" s="104">
      <c r="BA3308" s="201" t="n">
        <v>0</v>
      </c>
    </row>
    <row r="3309" ht="15" customHeight="1" s="104">
      <c r="BA3309" s="201" t="n">
        <v>0</v>
      </c>
    </row>
    <row r="3310" ht="15" customHeight="1" s="104">
      <c r="BA3310" s="201" t="n">
        <v>0</v>
      </c>
    </row>
    <row r="3311" ht="15" customHeight="1" s="104">
      <c r="BA3311" s="201" t="n">
        <v>0</v>
      </c>
    </row>
    <row r="3312" ht="15" customHeight="1" s="104">
      <c r="BA3312" s="201" t="n">
        <v>0</v>
      </c>
    </row>
    <row r="3313" ht="15" customHeight="1" s="104">
      <c r="BA3313" s="201" t="n">
        <v>0</v>
      </c>
    </row>
    <row r="3314" ht="15" customHeight="1" s="104">
      <c r="BA3314" s="201" t="n">
        <v>0</v>
      </c>
    </row>
    <row r="3315" ht="15" customHeight="1" s="104">
      <c r="BA3315" s="201" t="n">
        <v>0</v>
      </c>
    </row>
    <row r="3316" ht="15" customHeight="1" s="104">
      <c r="BA3316" s="201" t="n">
        <v>0</v>
      </c>
    </row>
    <row r="3317" ht="15" customHeight="1" s="104">
      <c r="BA3317" s="201" t="n">
        <v>0</v>
      </c>
    </row>
    <row r="3318" ht="15" customHeight="1" s="104">
      <c r="BA3318" s="201" t="n">
        <v>0</v>
      </c>
    </row>
    <row r="3319" ht="15" customHeight="1" s="104">
      <c r="BA3319" s="201" t="n">
        <v>0</v>
      </c>
    </row>
    <row r="3320" ht="15" customHeight="1" s="104">
      <c r="BA3320" s="201" t="n">
        <v>0</v>
      </c>
    </row>
    <row r="3321" ht="15" customHeight="1" s="104">
      <c r="BA3321" s="201" t="n">
        <v>0</v>
      </c>
    </row>
    <row r="3322" ht="15" customHeight="1" s="104">
      <c r="BA3322" s="201" t="n">
        <v>0</v>
      </c>
    </row>
    <row r="3323" ht="15" customHeight="1" s="104">
      <c r="BA3323" s="201" t="n">
        <v>0</v>
      </c>
    </row>
    <row r="3324" ht="15" customHeight="1" s="104">
      <c r="BA3324" s="201" t="n">
        <v>0</v>
      </c>
    </row>
    <row r="3325" ht="15" customHeight="1" s="104">
      <c r="BA3325" s="201" t="n">
        <v>0</v>
      </c>
    </row>
    <row r="3326" ht="15" customHeight="1" s="104">
      <c r="BA3326" s="201" t="n">
        <v>0</v>
      </c>
    </row>
    <row r="3327" ht="15" customHeight="1" s="104">
      <c r="BA3327" s="201" t="n">
        <v>0</v>
      </c>
    </row>
    <row r="3328" ht="15" customHeight="1" s="104">
      <c r="BA3328" s="201" t="n">
        <v>0</v>
      </c>
    </row>
    <row r="3329" ht="15" customHeight="1" s="104">
      <c r="BA3329" s="201" t="n">
        <v>0</v>
      </c>
    </row>
    <row r="3330" ht="15" customHeight="1" s="104">
      <c r="BA3330" s="201" t="n">
        <v>0</v>
      </c>
    </row>
    <row r="3331" ht="15" customHeight="1" s="104">
      <c r="BA3331" s="201" t="n">
        <v>0</v>
      </c>
    </row>
    <row r="3332" ht="15" customHeight="1" s="104">
      <c r="BA3332" s="201" t="n">
        <v>0</v>
      </c>
    </row>
    <row r="3333" ht="15" customHeight="1" s="104">
      <c r="BA3333" s="201" t="n">
        <v>0</v>
      </c>
    </row>
    <row r="3334" ht="15" customHeight="1" s="104">
      <c r="BA3334" s="201" t="n">
        <v>0</v>
      </c>
    </row>
    <row r="3335" ht="15" customHeight="1" s="104">
      <c r="BA3335" s="201" t="n">
        <v>0</v>
      </c>
    </row>
    <row r="3336" ht="15" customHeight="1" s="104">
      <c r="BA3336" s="201" t="n">
        <v>0</v>
      </c>
    </row>
    <row r="3337" ht="15" customHeight="1" s="104">
      <c r="BA3337" s="201" t="n">
        <v>0</v>
      </c>
    </row>
    <row r="3338" ht="15" customHeight="1" s="104">
      <c r="BA3338" s="201" t="n">
        <v>0</v>
      </c>
    </row>
    <row r="3339" ht="15" customHeight="1" s="104">
      <c r="BA3339" s="201" t="n">
        <v>0</v>
      </c>
    </row>
    <row r="3340" ht="15" customHeight="1" s="104">
      <c r="BA3340" s="201" t="n">
        <v>0</v>
      </c>
    </row>
    <row r="3341" ht="15" customHeight="1" s="104">
      <c r="BA3341" s="201" t="n">
        <v>0</v>
      </c>
    </row>
    <row r="3342" ht="15" customHeight="1" s="104">
      <c r="BA3342" s="201" t="n">
        <v>0</v>
      </c>
    </row>
    <row r="3343" ht="15" customHeight="1" s="104">
      <c r="BA3343" s="201" t="n">
        <v>0</v>
      </c>
    </row>
    <row r="3344" ht="15" customHeight="1" s="104">
      <c r="BA3344" s="201" t="n">
        <v>0</v>
      </c>
    </row>
    <row r="3345" ht="15" customHeight="1" s="104">
      <c r="BA3345" s="201" t="n">
        <v>0</v>
      </c>
    </row>
    <row r="3346" ht="15" customHeight="1" s="104">
      <c r="BA3346" s="201" t="n">
        <v>0</v>
      </c>
    </row>
    <row r="3347" ht="15" customHeight="1" s="104">
      <c r="BA3347" s="201" t="n">
        <v>0</v>
      </c>
    </row>
    <row r="3348" ht="15" customHeight="1" s="104">
      <c r="BA3348" s="201" t="n">
        <v>0</v>
      </c>
    </row>
    <row r="3349" ht="15" customHeight="1" s="104">
      <c r="BA3349" s="201" t="n">
        <v>0</v>
      </c>
    </row>
    <row r="3350" ht="15" customHeight="1" s="104">
      <c r="BA3350" s="201" t="n">
        <v>0</v>
      </c>
    </row>
    <row r="3351" ht="15" customHeight="1" s="104">
      <c r="BA3351" s="201" t="n">
        <v>0</v>
      </c>
    </row>
    <row r="3352" ht="15" customHeight="1" s="104">
      <c r="BA3352" s="201" t="n">
        <v>0</v>
      </c>
    </row>
    <row r="3353" ht="15" customHeight="1" s="104">
      <c r="BA3353" s="201" t="n">
        <v>0</v>
      </c>
    </row>
    <row r="3354" ht="15" customHeight="1" s="104">
      <c r="BA3354" s="201" t="n">
        <v>0</v>
      </c>
    </row>
    <row r="3355" ht="15" customHeight="1" s="104">
      <c r="BA3355" s="201" t="n">
        <v>0</v>
      </c>
    </row>
    <row r="3356" ht="15" customHeight="1" s="104">
      <c r="BA3356" s="201" t="n">
        <v>0</v>
      </c>
    </row>
    <row r="3357" ht="15" customHeight="1" s="104">
      <c r="BA3357" s="201" t="n">
        <v>0</v>
      </c>
    </row>
    <row r="3358" ht="15" customHeight="1" s="104">
      <c r="BA3358" s="201" t="n">
        <v>0</v>
      </c>
    </row>
    <row r="3359" ht="15" customHeight="1" s="104">
      <c r="BA3359" s="201" t="n">
        <v>0</v>
      </c>
    </row>
    <row r="3360" ht="15" customHeight="1" s="104">
      <c r="BA3360" s="201" t="n">
        <v>0</v>
      </c>
    </row>
    <row r="3361" ht="15" customHeight="1" s="104">
      <c r="BA3361" s="201" t="n">
        <v>0</v>
      </c>
    </row>
    <row r="3362" ht="15" customHeight="1" s="104">
      <c r="BA3362" s="201" t="n">
        <v>0</v>
      </c>
    </row>
    <row r="3363" ht="15" customHeight="1" s="104">
      <c r="BA3363" s="201" t="n">
        <v>0</v>
      </c>
    </row>
    <row r="3364" ht="15" customHeight="1" s="104">
      <c r="BA3364" s="201" t="n">
        <v>0</v>
      </c>
    </row>
    <row r="3365" ht="15" customHeight="1" s="104">
      <c r="BA3365" s="201" t="n">
        <v>0</v>
      </c>
    </row>
    <row r="3366" ht="15" customHeight="1" s="104">
      <c r="BA3366" s="201" t="n">
        <v>0</v>
      </c>
    </row>
    <row r="3367" ht="15" customHeight="1" s="104">
      <c r="BA3367" s="201" t="n">
        <v>0</v>
      </c>
    </row>
    <row r="3368" ht="15" customHeight="1" s="104">
      <c r="BA3368" s="201" t="n">
        <v>0</v>
      </c>
    </row>
    <row r="3369" ht="15" customHeight="1" s="104">
      <c r="BA3369" s="201" t="n">
        <v>0</v>
      </c>
    </row>
    <row r="3370" ht="15" customHeight="1" s="104">
      <c r="BA3370" s="201" t="n">
        <v>0</v>
      </c>
    </row>
    <row r="3371" ht="15" customHeight="1" s="104">
      <c r="BA3371" s="201" t="n">
        <v>0</v>
      </c>
    </row>
    <row r="3372" ht="15" customHeight="1" s="104">
      <c r="BA3372" s="201" t="n">
        <v>0</v>
      </c>
    </row>
    <row r="3373" ht="15" customHeight="1" s="104">
      <c r="BA3373" s="201" t="n">
        <v>0</v>
      </c>
    </row>
    <row r="3374" ht="15" customHeight="1" s="104">
      <c r="BA3374" s="201" t="n">
        <v>0</v>
      </c>
    </row>
    <row r="3375" ht="15" customHeight="1" s="104">
      <c r="BA3375" s="201" t="n">
        <v>0</v>
      </c>
    </row>
    <row r="3376" ht="15" customHeight="1" s="104">
      <c r="BA3376" s="201" t="n">
        <v>0</v>
      </c>
    </row>
    <row r="3377" ht="15" customHeight="1" s="104">
      <c r="BA3377" s="201" t="n">
        <v>0</v>
      </c>
    </row>
    <row r="3378" ht="15" customHeight="1" s="104">
      <c r="BA3378" s="201" t="n">
        <v>0</v>
      </c>
    </row>
    <row r="3379" ht="15" customHeight="1" s="104">
      <c r="BA3379" s="201" t="n">
        <v>0</v>
      </c>
    </row>
    <row r="3380" ht="15" customHeight="1" s="104">
      <c r="BA3380" s="201" t="n">
        <v>0</v>
      </c>
    </row>
    <row r="3381" ht="15" customHeight="1" s="104">
      <c r="BA3381" s="201" t="n">
        <v>0</v>
      </c>
    </row>
    <row r="3382" ht="15" customHeight="1" s="104">
      <c r="BA3382" s="201" t="n">
        <v>0</v>
      </c>
    </row>
    <row r="3383" ht="15" customHeight="1" s="104">
      <c r="BA3383" s="201" t="n">
        <v>0</v>
      </c>
    </row>
    <row r="3384" ht="15" customHeight="1" s="104">
      <c r="BA3384" s="201" t="n">
        <v>0</v>
      </c>
    </row>
    <row r="3385" ht="15" customHeight="1" s="104">
      <c r="BA3385" s="201" t="n">
        <v>0</v>
      </c>
    </row>
    <row r="3386" ht="15" customHeight="1" s="104">
      <c r="BA3386" s="201" t="n">
        <v>0</v>
      </c>
    </row>
    <row r="3387" ht="15" customHeight="1" s="104">
      <c r="BA3387" s="201" t="n">
        <v>0</v>
      </c>
    </row>
    <row r="3388" ht="15" customHeight="1" s="104">
      <c r="BA3388" s="201" t="n">
        <v>0</v>
      </c>
    </row>
    <row r="3389" ht="15" customHeight="1" s="104">
      <c r="BA3389" s="201" t="n">
        <v>0</v>
      </c>
    </row>
    <row r="3390" ht="15" customHeight="1" s="104">
      <c r="BA3390" s="201" t="n">
        <v>0</v>
      </c>
    </row>
    <row r="3391" ht="15" customHeight="1" s="104">
      <c r="BA3391" s="201" t="n">
        <v>0</v>
      </c>
    </row>
    <row r="3392" ht="15" customHeight="1" s="104">
      <c r="BA3392" s="201" t="n">
        <v>0</v>
      </c>
    </row>
    <row r="3393" ht="15" customHeight="1" s="104">
      <c r="BA3393" s="201" t="n">
        <v>0</v>
      </c>
    </row>
    <row r="3394" ht="15" customHeight="1" s="104">
      <c r="BA3394" s="201" t="n">
        <v>0</v>
      </c>
    </row>
    <row r="3395" ht="15" customHeight="1" s="104">
      <c r="BA3395" s="201" t="n">
        <v>0</v>
      </c>
    </row>
    <row r="3396" ht="15" customHeight="1" s="104">
      <c r="BA3396" s="201" t="n">
        <v>0</v>
      </c>
    </row>
    <row r="3397" ht="15" customHeight="1" s="104">
      <c r="BA3397" s="201" t="n">
        <v>0</v>
      </c>
    </row>
    <row r="3398" ht="15" customHeight="1" s="104">
      <c r="BA3398" s="201" t="n">
        <v>0</v>
      </c>
    </row>
    <row r="3399" ht="15" customHeight="1" s="104">
      <c r="BA3399" s="201" t="n">
        <v>0</v>
      </c>
    </row>
    <row r="3400" ht="15" customHeight="1" s="104">
      <c r="BA3400" s="201" t="n">
        <v>0</v>
      </c>
    </row>
    <row r="3401" ht="15" customHeight="1" s="104">
      <c r="BA3401" s="201" t="n">
        <v>0</v>
      </c>
    </row>
    <row r="3402" ht="15" customHeight="1" s="104">
      <c r="BA3402" s="201" t="n">
        <v>0</v>
      </c>
    </row>
    <row r="3403" ht="15" customHeight="1" s="104">
      <c r="BA3403" s="201" t="n">
        <v>0</v>
      </c>
    </row>
    <row r="3404" ht="15" customHeight="1" s="104">
      <c r="BA3404" s="201" t="n">
        <v>0</v>
      </c>
    </row>
    <row r="3405" ht="15" customHeight="1" s="104">
      <c r="BA3405" s="201" t="n">
        <v>0</v>
      </c>
    </row>
    <row r="3406" ht="15" customHeight="1" s="104">
      <c r="BA3406" s="201" t="n">
        <v>0</v>
      </c>
    </row>
    <row r="3407" ht="15" customHeight="1" s="104">
      <c r="BA3407" s="201" t="n">
        <v>0</v>
      </c>
    </row>
    <row r="3408" ht="15" customHeight="1" s="104">
      <c r="BA3408" s="201" t="n">
        <v>0</v>
      </c>
    </row>
    <row r="3409" ht="15" customHeight="1" s="104">
      <c r="BA3409" s="201" t="n">
        <v>0</v>
      </c>
    </row>
    <row r="3410" ht="15" customHeight="1" s="104">
      <c r="BA3410" s="201" t="n">
        <v>0</v>
      </c>
    </row>
    <row r="3411" ht="15" customHeight="1" s="104">
      <c r="BA3411" s="201" t="n">
        <v>0</v>
      </c>
    </row>
    <row r="3412" ht="15" customHeight="1" s="104">
      <c r="BA3412" s="201" t="n">
        <v>0</v>
      </c>
    </row>
    <row r="3413" ht="15" customHeight="1" s="104">
      <c r="BA3413" s="201" t="n">
        <v>0</v>
      </c>
    </row>
    <row r="3414" ht="15" customHeight="1" s="104">
      <c r="BA3414" s="201" t="n">
        <v>0</v>
      </c>
    </row>
    <row r="3415" ht="15" customHeight="1" s="104">
      <c r="BA3415" s="201" t="n">
        <v>0</v>
      </c>
    </row>
    <row r="3416" ht="15" customHeight="1" s="104">
      <c r="BA3416" s="201" t="n">
        <v>0</v>
      </c>
    </row>
    <row r="3417" ht="15" customHeight="1" s="104">
      <c r="BA3417" s="201" t="n">
        <v>0</v>
      </c>
    </row>
    <row r="3418" ht="15" customHeight="1" s="104">
      <c r="BA3418" s="201" t="n">
        <v>0</v>
      </c>
    </row>
    <row r="3419" ht="15" customHeight="1" s="104">
      <c r="BA3419" s="201" t="n">
        <v>0</v>
      </c>
    </row>
    <row r="3420" ht="15" customHeight="1" s="104">
      <c r="BA3420" s="201" t="n">
        <v>0</v>
      </c>
    </row>
    <row r="3421" ht="15" customHeight="1" s="104">
      <c r="BA3421" s="201" t="n">
        <v>0</v>
      </c>
    </row>
    <row r="3422" ht="15" customHeight="1" s="104">
      <c r="BA3422" s="201" t="n">
        <v>0</v>
      </c>
    </row>
    <row r="3423" ht="15" customHeight="1" s="104">
      <c r="BA3423" s="201" t="n">
        <v>0</v>
      </c>
    </row>
    <row r="3424" ht="15" customHeight="1" s="104">
      <c r="BA3424" s="201" t="n">
        <v>0</v>
      </c>
    </row>
    <row r="3425" ht="15" customHeight="1" s="104">
      <c r="BA3425" s="201" t="n">
        <v>0</v>
      </c>
    </row>
    <row r="3426" ht="15" customHeight="1" s="104">
      <c r="BA3426" s="201" t="n">
        <v>0</v>
      </c>
    </row>
    <row r="3427" ht="15" customHeight="1" s="104">
      <c r="BA3427" s="201" t="n">
        <v>0</v>
      </c>
    </row>
    <row r="3428" ht="15" customHeight="1" s="104">
      <c r="BA3428" s="201" t="n">
        <v>0</v>
      </c>
    </row>
    <row r="3429" ht="15" customHeight="1" s="104">
      <c r="BA3429" s="201" t="n">
        <v>0</v>
      </c>
    </row>
    <row r="3430" ht="15" customHeight="1" s="104">
      <c r="BA3430" s="201" t="n">
        <v>0</v>
      </c>
    </row>
    <row r="3431" ht="15" customHeight="1" s="104">
      <c r="BA3431" s="201" t="n">
        <v>0</v>
      </c>
    </row>
    <row r="3432" ht="15" customHeight="1" s="104">
      <c r="BA3432" s="201" t="n">
        <v>0</v>
      </c>
    </row>
    <row r="3433" ht="15" customHeight="1" s="104">
      <c r="BA3433" s="201" t="n">
        <v>0</v>
      </c>
    </row>
    <row r="3434" ht="15" customHeight="1" s="104">
      <c r="BA3434" s="201" t="n">
        <v>0</v>
      </c>
    </row>
    <row r="3435" ht="15" customHeight="1" s="104">
      <c r="BA3435" s="201" t="n">
        <v>0</v>
      </c>
    </row>
    <row r="3436" ht="15" customHeight="1" s="104">
      <c r="BA3436" s="201" t="n">
        <v>0</v>
      </c>
    </row>
    <row r="3437" ht="15" customHeight="1" s="104">
      <c r="BA3437" s="201" t="n">
        <v>0</v>
      </c>
    </row>
    <row r="3438" ht="15" customHeight="1" s="104">
      <c r="BA3438" s="201" t="n">
        <v>0</v>
      </c>
    </row>
    <row r="3439" ht="15" customHeight="1" s="104">
      <c r="BA3439" s="201" t="n">
        <v>0</v>
      </c>
    </row>
    <row r="3440" ht="15" customHeight="1" s="104">
      <c r="BA3440" s="201" t="n">
        <v>0</v>
      </c>
    </row>
    <row r="3441" ht="15" customHeight="1" s="104">
      <c r="BA3441" s="201" t="n">
        <v>0</v>
      </c>
    </row>
    <row r="3442" ht="15" customHeight="1" s="104">
      <c r="BA3442" s="201" t="n">
        <v>0</v>
      </c>
    </row>
    <row r="3443" ht="15" customHeight="1" s="104">
      <c r="BA3443" s="201" t="n">
        <v>0</v>
      </c>
    </row>
    <row r="3444" ht="15" customHeight="1" s="104">
      <c r="BA3444" s="201" t="n">
        <v>0</v>
      </c>
    </row>
    <row r="3445" ht="15" customHeight="1" s="104">
      <c r="BA3445" s="201" t="n">
        <v>0</v>
      </c>
    </row>
    <row r="3446" ht="15" customHeight="1" s="104">
      <c r="BA3446" s="201" t="n">
        <v>0</v>
      </c>
    </row>
    <row r="3447" ht="15" customHeight="1" s="104">
      <c r="BA3447" s="201" t="n">
        <v>0</v>
      </c>
    </row>
    <row r="3448" ht="15" customHeight="1" s="104">
      <c r="BA3448" s="201" t="n">
        <v>0</v>
      </c>
    </row>
    <row r="3449" ht="15" customHeight="1" s="104">
      <c r="BA3449" s="201" t="n">
        <v>0</v>
      </c>
    </row>
    <row r="3450" ht="15" customHeight="1" s="104">
      <c r="BA3450" s="201" t="n">
        <v>0</v>
      </c>
    </row>
    <row r="3451" ht="15" customHeight="1" s="104">
      <c r="BA3451" s="201" t="n">
        <v>0</v>
      </c>
    </row>
    <row r="3452" ht="15" customHeight="1" s="104">
      <c r="BA3452" s="201" t="n">
        <v>0</v>
      </c>
    </row>
    <row r="3453" ht="15" customHeight="1" s="104">
      <c r="BA3453" s="201" t="n">
        <v>0</v>
      </c>
    </row>
    <row r="3454" ht="15" customHeight="1" s="104">
      <c r="BA3454" s="201" t="n">
        <v>0</v>
      </c>
    </row>
    <row r="3455" ht="15" customHeight="1" s="104">
      <c r="BA3455" s="201" t="n">
        <v>0</v>
      </c>
    </row>
    <row r="3456" ht="15" customHeight="1" s="104">
      <c r="BA3456" s="201" t="n">
        <v>0</v>
      </c>
    </row>
    <row r="3457" ht="15" customHeight="1" s="104">
      <c r="BA3457" s="201" t="n">
        <v>0</v>
      </c>
    </row>
    <row r="3458" ht="15" customHeight="1" s="104">
      <c r="BA3458" s="201" t="n">
        <v>0</v>
      </c>
    </row>
    <row r="3459" ht="15" customHeight="1" s="104">
      <c r="BA3459" s="201" t="n">
        <v>0</v>
      </c>
    </row>
    <row r="3460" ht="15" customHeight="1" s="104">
      <c r="BA3460" s="201" t="n">
        <v>0</v>
      </c>
    </row>
    <row r="3461" ht="15" customHeight="1" s="104">
      <c r="BA3461" s="201" t="n">
        <v>0</v>
      </c>
    </row>
    <row r="3462" ht="15" customHeight="1" s="104">
      <c r="BA3462" s="201" t="n">
        <v>0</v>
      </c>
    </row>
    <row r="3463" ht="15" customHeight="1" s="104">
      <c r="BA3463" s="201" t="n">
        <v>0</v>
      </c>
    </row>
    <row r="3464" ht="15" customHeight="1" s="104">
      <c r="BA3464" s="201" t="n">
        <v>0</v>
      </c>
    </row>
    <row r="3465" ht="15" customHeight="1" s="104">
      <c r="BA3465" s="201" t="n">
        <v>0</v>
      </c>
    </row>
    <row r="3466" ht="15" customHeight="1" s="104">
      <c r="BA3466" s="201" t="n">
        <v>0</v>
      </c>
    </row>
    <row r="3467" ht="15" customHeight="1" s="104">
      <c r="BA3467" s="201" t="n">
        <v>0</v>
      </c>
    </row>
    <row r="3468" ht="15" customHeight="1" s="104">
      <c r="BA3468" s="201" t="n">
        <v>0</v>
      </c>
    </row>
    <row r="3469" ht="15" customHeight="1" s="104">
      <c r="BA3469" s="201" t="n">
        <v>0</v>
      </c>
    </row>
    <row r="3470" ht="15" customHeight="1" s="104">
      <c r="BA3470" s="201" t="n">
        <v>0</v>
      </c>
    </row>
    <row r="3471" ht="15" customHeight="1" s="104">
      <c r="BA3471" s="201" t="n">
        <v>0</v>
      </c>
    </row>
    <row r="3472" ht="15" customHeight="1" s="104">
      <c r="BA3472" s="201" t="n">
        <v>0</v>
      </c>
    </row>
    <row r="3473" ht="15" customHeight="1" s="104">
      <c r="BA3473" s="201" t="n">
        <v>0</v>
      </c>
    </row>
    <row r="3474" ht="15" customHeight="1" s="104">
      <c r="BA3474" s="201" t="n">
        <v>0</v>
      </c>
    </row>
    <row r="3475" ht="15" customHeight="1" s="104">
      <c r="BA3475" s="201" t="n">
        <v>0</v>
      </c>
    </row>
    <row r="3476" ht="15" customHeight="1" s="104">
      <c r="BA3476" s="201" t="n">
        <v>0</v>
      </c>
    </row>
    <row r="3477" ht="15" customHeight="1" s="104">
      <c r="BA3477" s="201" t="n">
        <v>0</v>
      </c>
    </row>
    <row r="3478" ht="15" customHeight="1" s="104">
      <c r="BA3478" s="201" t="n">
        <v>0</v>
      </c>
    </row>
    <row r="3479" ht="15" customHeight="1" s="104">
      <c r="BA3479" s="201" t="n">
        <v>0</v>
      </c>
    </row>
    <row r="3480" ht="15" customHeight="1" s="104">
      <c r="BA3480" s="201" t="n">
        <v>0</v>
      </c>
    </row>
    <row r="3481" ht="15" customHeight="1" s="104">
      <c r="BA3481" s="201" t="n">
        <v>0</v>
      </c>
    </row>
    <row r="3482" ht="15" customHeight="1" s="104">
      <c r="BA3482" s="201" t="n">
        <v>0</v>
      </c>
    </row>
    <row r="3483" ht="15" customHeight="1" s="104">
      <c r="BA3483" s="201" t="n">
        <v>0</v>
      </c>
    </row>
    <row r="3484" ht="15" customHeight="1" s="104">
      <c r="BA3484" s="201" t="n">
        <v>0</v>
      </c>
    </row>
    <row r="3485" ht="15" customHeight="1" s="104">
      <c r="BA3485" s="201" t="n">
        <v>0</v>
      </c>
    </row>
    <row r="3486" ht="15" customHeight="1" s="104">
      <c r="BA3486" s="201" t="n">
        <v>0</v>
      </c>
    </row>
    <row r="3487" ht="15" customHeight="1" s="104">
      <c r="BA3487" s="201" t="n">
        <v>0</v>
      </c>
    </row>
    <row r="3488" ht="15" customHeight="1" s="104">
      <c r="BA3488" s="201" t="n">
        <v>0</v>
      </c>
    </row>
    <row r="3489" ht="15" customHeight="1" s="104">
      <c r="BA3489" s="201" t="n">
        <v>0</v>
      </c>
    </row>
    <row r="3490" ht="15" customHeight="1" s="104">
      <c r="BA3490" s="201" t="n">
        <v>0</v>
      </c>
    </row>
    <row r="3491" ht="15" customHeight="1" s="104">
      <c r="BA3491" s="201" t="n">
        <v>0</v>
      </c>
    </row>
    <row r="3492" ht="15" customHeight="1" s="104">
      <c r="BA3492" s="201" t="n">
        <v>0</v>
      </c>
    </row>
    <row r="3493" ht="15" customHeight="1" s="104">
      <c r="BA3493" s="201" t="n">
        <v>0</v>
      </c>
    </row>
    <row r="3494" ht="15" customHeight="1" s="104">
      <c r="BA3494" s="201" t="n">
        <v>0</v>
      </c>
    </row>
    <row r="3495" ht="15" customHeight="1" s="104">
      <c r="BA3495" s="201" t="n">
        <v>0</v>
      </c>
    </row>
    <row r="3496" ht="15" customHeight="1" s="104">
      <c r="BA3496" s="201" t="n">
        <v>0</v>
      </c>
    </row>
    <row r="3497" ht="15" customHeight="1" s="104">
      <c r="BA3497" s="201" t="n">
        <v>0</v>
      </c>
    </row>
    <row r="3498" ht="15" customHeight="1" s="104">
      <c r="BA3498" s="201" t="n">
        <v>0</v>
      </c>
    </row>
    <row r="3499" ht="15" customHeight="1" s="104">
      <c r="BA3499" s="201" t="n">
        <v>0</v>
      </c>
    </row>
    <row r="3500" ht="15" customHeight="1" s="104">
      <c r="BA3500" s="201" t="n">
        <v>0</v>
      </c>
    </row>
    <row r="3501" ht="15" customHeight="1" s="104">
      <c r="BA3501" s="201" t="n">
        <v>0</v>
      </c>
    </row>
    <row r="3502" ht="15" customHeight="1" s="104">
      <c r="BA3502" s="201" t="n">
        <v>0</v>
      </c>
    </row>
    <row r="3503" ht="15" customHeight="1" s="104">
      <c r="BA3503" s="201" t="n">
        <v>0</v>
      </c>
    </row>
    <row r="3504" ht="15" customHeight="1" s="104">
      <c r="BA3504" s="201" t="n">
        <v>0</v>
      </c>
    </row>
    <row r="3505" ht="15" customHeight="1" s="104">
      <c r="BA3505" s="201" t="n">
        <v>0</v>
      </c>
    </row>
    <row r="3506" ht="15" customHeight="1" s="104">
      <c r="BA3506" s="201" t="n">
        <v>0</v>
      </c>
    </row>
    <row r="3507" ht="15" customHeight="1" s="104">
      <c r="BA3507" s="201" t="n">
        <v>0</v>
      </c>
    </row>
    <row r="3508" ht="15" customHeight="1" s="104">
      <c r="BA3508" s="201" t="n">
        <v>0</v>
      </c>
    </row>
    <row r="3509" ht="15" customHeight="1" s="104">
      <c r="BA3509" s="201" t="n">
        <v>0</v>
      </c>
    </row>
    <row r="3510" ht="15" customHeight="1" s="104">
      <c r="BA3510" s="201" t="n">
        <v>0</v>
      </c>
    </row>
    <row r="3511" ht="15" customHeight="1" s="104">
      <c r="BA3511" s="201" t="n">
        <v>0</v>
      </c>
    </row>
    <row r="3512" ht="15" customHeight="1" s="104">
      <c r="BA3512" s="201" t="n">
        <v>0</v>
      </c>
    </row>
    <row r="3513" ht="15" customHeight="1" s="104">
      <c r="BA3513" s="201" t="n">
        <v>0</v>
      </c>
    </row>
    <row r="3514" ht="15" customHeight="1" s="104">
      <c r="BA3514" s="201" t="n">
        <v>0</v>
      </c>
    </row>
    <row r="3515" ht="15" customHeight="1" s="104">
      <c r="BA3515" s="201" t="n">
        <v>0</v>
      </c>
    </row>
    <row r="3516" ht="15" customHeight="1" s="104">
      <c r="BA3516" s="201" t="n">
        <v>0</v>
      </c>
    </row>
    <row r="3517" ht="15" customHeight="1" s="104">
      <c r="BA3517" s="201" t="n">
        <v>0</v>
      </c>
    </row>
    <row r="3518" ht="15" customHeight="1" s="104">
      <c r="BA3518" s="201" t="n">
        <v>0</v>
      </c>
    </row>
    <row r="3519" ht="15" customHeight="1" s="104">
      <c r="BA3519" s="201" t="n">
        <v>0</v>
      </c>
    </row>
    <row r="3520" ht="15" customHeight="1" s="104">
      <c r="BA3520" s="201" t="n">
        <v>0</v>
      </c>
    </row>
    <row r="3521" ht="15" customHeight="1" s="104">
      <c r="BA3521" s="201" t="n">
        <v>0</v>
      </c>
    </row>
    <row r="3522" ht="15" customHeight="1" s="104">
      <c r="BA3522" s="201" t="n">
        <v>0</v>
      </c>
    </row>
    <row r="3523" ht="15" customHeight="1" s="104">
      <c r="BA3523" s="201" t="n">
        <v>0</v>
      </c>
    </row>
    <row r="3524" ht="15" customHeight="1" s="104">
      <c r="BA3524" s="201" t="n">
        <v>0</v>
      </c>
    </row>
    <row r="3525" ht="15" customHeight="1" s="104">
      <c r="BA3525" s="201" t="n">
        <v>0</v>
      </c>
    </row>
    <row r="3526" ht="15" customHeight="1" s="104">
      <c r="BA3526" s="201" t="n">
        <v>0</v>
      </c>
    </row>
    <row r="3527" ht="15" customHeight="1" s="104">
      <c r="BA3527" s="201" t="n">
        <v>0</v>
      </c>
    </row>
    <row r="3528" ht="15" customHeight="1" s="104">
      <c r="BA3528" s="201" t="n">
        <v>0</v>
      </c>
    </row>
    <row r="3529" ht="15" customHeight="1" s="104">
      <c r="BA3529" s="201" t="n">
        <v>0</v>
      </c>
    </row>
    <row r="3530" ht="15" customHeight="1" s="104">
      <c r="BA3530" s="201" t="n">
        <v>0</v>
      </c>
    </row>
    <row r="3531" ht="15" customHeight="1" s="104">
      <c r="BA3531" s="201" t="n">
        <v>0</v>
      </c>
    </row>
    <row r="3532" ht="15" customHeight="1" s="104">
      <c r="BA3532" s="201" t="n">
        <v>0</v>
      </c>
    </row>
    <row r="3533" ht="15" customHeight="1" s="104">
      <c r="BA3533" s="201" t="n">
        <v>0</v>
      </c>
    </row>
    <row r="3534" ht="15" customHeight="1" s="104">
      <c r="BA3534" s="201" t="n">
        <v>0</v>
      </c>
    </row>
    <row r="3535" ht="15" customHeight="1" s="104">
      <c r="BA3535" s="201" t="n">
        <v>0</v>
      </c>
    </row>
    <row r="3536" ht="15" customHeight="1" s="104">
      <c r="BA3536" s="201" t="n">
        <v>0</v>
      </c>
    </row>
    <row r="3537" ht="15" customHeight="1" s="104">
      <c r="BA3537" s="201" t="n">
        <v>0</v>
      </c>
    </row>
    <row r="3538" ht="15" customHeight="1" s="104">
      <c r="BA3538" s="201" t="n">
        <v>0</v>
      </c>
    </row>
    <row r="3539" ht="15" customHeight="1" s="104">
      <c r="BA3539" s="201" t="n">
        <v>0</v>
      </c>
    </row>
    <row r="3540" ht="15" customHeight="1" s="104">
      <c r="BA3540" s="201" t="n">
        <v>0</v>
      </c>
    </row>
    <row r="3541" ht="15" customHeight="1" s="104">
      <c r="BA3541" s="201" t="n">
        <v>0</v>
      </c>
    </row>
    <row r="3542" ht="15" customHeight="1" s="104">
      <c r="BA3542" s="201" t="n">
        <v>0</v>
      </c>
    </row>
    <row r="3543" ht="15" customHeight="1" s="104">
      <c r="BA3543" s="201" t="n">
        <v>0</v>
      </c>
    </row>
    <row r="3544" ht="15" customHeight="1" s="104">
      <c r="BA3544" s="201" t="n">
        <v>0</v>
      </c>
    </row>
    <row r="3545" ht="15" customHeight="1" s="104">
      <c r="BA3545" s="201" t="n">
        <v>0</v>
      </c>
    </row>
    <row r="3546" ht="15" customHeight="1" s="104">
      <c r="BA3546" s="201" t="n">
        <v>0</v>
      </c>
    </row>
    <row r="3547" ht="15" customHeight="1" s="104">
      <c r="BA3547" s="201" t="n">
        <v>0</v>
      </c>
    </row>
    <row r="3548" ht="15" customHeight="1" s="104">
      <c r="BA3548" s="201" t="n">
        <v>0</v>
      </c>
    </row>
    <row r="3549" ht="15" customHeight="1" s="104">
      <c r="BA3549" s="201" t="n">
        <v>0</v>
      </c>
    </row>
    <row r="3550" ht="15" customHeight="1" s="104">
      <c r="BA3550" s="201" t="n">
        <v>0</v>
      </c>
    </row>
    <row r="3551" ht="15" customHeight="1" s="104">
      <c r="BA3551" s="201" t="n">
        <v>0</v>
      </c>
    </row>
    <row r="3552" ht="15" customHeight="1" s="104">
      <c r="BA3552" s="201" t="n">
        <v>0</v>
      </c>
    </row>
    <row r="3553" ht="15" customHeight="1" s="104">
      <c r="BA3553" s="201" t="n">
        <v>0</v>
      </c>
    </row>
    <row r="3554" ht="15" customHeight="1" s="104">
      <c r="BA3554" s="201" t="n">
        <v>0</v>
      </c>
    </row>
    <row r="3555" ht="15" customHeight="1" s="104">
      <c r="BA3555" s="201" t="n">
        <v>0</v>
      </c>
    </row>
    <row r="3556" ht="15" customHeight="1" s="104">
      <c r="BA3556" s="201" t="n">
        <v>0</v>
      </c>
    </row>
    <row r="3557" ht="15" customHeight="1" s="104">
      <c r="BA3557" s="201" t="n">
        <v>0</v>
      </c>
    </row>
    <row r="3558" ht="15" customHeight="1" s="104">
      <c r="BA3558" s="201" t="n">
        <v>0</v>
      </c>
    </row>
    <row r="3559" ht="15" customHeight="1" s="104">
      <c r="BA3559" s="201" t="n">
        <v>0</v>
      </c>
    </row>
    <row r="3560" ht="15" customHeight="1" s="104">
      <c r="BA3560" s="201" t="n">
        <v>0</v>
      </c>
    </row>
    <row r="3561" ht="15" customHeight="1" s="104">
      <c r="BA3561" s="201" t="n">
        <v>0</v>
      </c>
    </row>
    <row r="3562" ht="15" customHeight="1" s="104">
      <c r="BA3562" s="201" t="n">
        <v>0</v>
      </c>
    </row>
    <row r="3563" ht="15" customHeight="1" s="104">
      <c r="BA3563" s="201" t="n">
        <v>0</v>
      </c>
    </row>
    <row r="3564" ht="15" customHeight="1" s="104">
      <c r="BA3564" s="201" t="n">
        <v>0</v>
      </c>
    </row>
    <row r="3565" ht="15" customHeight="1" s="104">
      <c r="BA3565" s="201" t="n">
        <v>0</v>
      </c>
    </row>
    <row r="3566" ht="15" customHeight="1" s="104">
      <c r="BA3566" s="201" t="n">
        <v>0</v>
      </c>
    </row>
    <row r="3567" ht="15" customHeight="1" s="104">
      <c r="BA3567" s="201" t="n">
        <v>0</v>
      </c>
    </row>
    <row r="3568" ht="15" customHeight="1" s="104">
      <c r="BA3568" s="201" t="n">
        <v>0</v>
      </c>
    </row>
    <row r="3569" ht="15" customHeight="1" s="104">
      <c r="BA3569" s="201" t="n">
        <v>0</v>
      </c>
    </row>
    <row r="3570" ht="15" customHeight="1" s="104">
      <c r="BA3570" s="201" t="n">
        <v>0</v>
      </c>
    </row>
    <row r="3571" ht="15" customHeight="1" s="104">
      <c r="BA3571" s="201" t="n">
        <v>0</v>
      </c>
    </row>
    <row r="3572" ht="15" customHeight="1" s="104">
      <c r="BA3572" s="201" t="n">
        <v>0</v>
      </c>
    </row>
    <row r="3573" ht="15" customHeight="1" s="104">
      <c r="BA3573" s="201" t="n">
        <v>0</v>
      </c>
    </row>
    <row r="3574" ht="15" customHeight="1" s="104">
      <c r="BA3574" s="201" t="n">
        <v>0</v>
      </c>
    </row>
    <row r="3575" ht="15" customHeight="1" s="104">
      <c r="BA3575" s="201" t="n">
        <v>0</v>
      </c>
    </row>
    <row r="3576" ht="15" customHeight="1" s="104">
      <c r="BA3576" s="201" t="n">
        <v>0</v>
      </c>
    </row>
    <row r="3577" ht="15" customHeight="1" s="104">
      <c r="BA3577" s="201" t="n">
        <v>0</v>
      </c>
    </row>
    <row r="3578" ht="15" customHeight="1" s="104">
      <c r="BA3578" s="201" t="n">
        <v>0</v>
      </c>
    </row>
    <row r="3579" ht="15" customHeight="1" s="104">
      <c r="BA3579" s="201" t="n">
        <v>0</v>
      </c>
    </row>
    <row r="3580" ht="15" customHeight="1" s="104">
      <c r="BA3580" s="201" t="n">
        <v>0</v>
      </c>
    </row>
    <row r="3581" ht="15" customHeight="1" s="104">
      <c r="BA3581" s="201" t="n">
        <v>0</v>
      </c>
    </row>
    <row r="3582" ht="15" customHeight="1" s="104">
      <c r="BA3582" s="201" t="n">
        <v>0</v>
      </c>
    </row>
    <row r="3583" ht="15" customHeight="1" s="104">
      <c r="BA3583" s="201" t="n">
        <v>0</v>
      </c>
    </row>
    <row r="3584" ht="15" customHeight="1" s="104">
      <c r="BA3584" s="201" t="n">
        <v>0</v>
      </c>
    </row>
    <row r="3585" ht="15" customHeight="1" s="104">
      <c r="BA3585" s="201" t="n">
        <v>0</v>
      </c>
    </row>
    <row r="3586" ht="15" customHeight="1" s="104">
      <c r="BA3586" s="201" t="n">
        <v>0</v>
      </c>
    </row>
    <row r="3587" ht="15" customHeight="1" s="104">
      <c r="BA3587" s="201" t="n">
        <v>0</v>
      </c>
    </row>
    <row r="3588" ht="15" customHeight="1" s="104">
      <c r="BA3588" s="201" t="n">
        <v>0</v>
      </c>
    </row>
    <row r="3589" ht="15" customHeight="1" s="104">
      <c r="BA3589" s="201" t="n">
        <v>0</v>
      </c>
    </row>
    <row r="3590" ht="15" customHeight="1" s="104">
      <c r="BA3590" s="201" t="n">
        <v>0</v>
      </c>
    </row>
    <row r="3591" ht="15" customHeight="1" s="104">
      <c r="BA3591" s="201" t="n">
        <v>0</v>
      </c>
    </row>
    <row r="3592" ht="15" customHeight="1" s="104">
      <c r="BA3592" s="201" t="n">
        <v>0</v>
      </c>
    </row>
    <row r="3593" ht="15" customHeight="1" s="104">
      <c r="BA3593" s="201" t="n">
        <v>0</v>
      </c>
    </row>
    <row r="3594" ht="15" customHeight="1" s="104">
      <c r="BA3594" s="201" t="n">
        <v>0</v>
      </c>
    </row>
    <row r="3595" ht="15" customHeight="1" s="104">
      <c r="BA3595" s="201" t="n">
        <v>0</v>
      </c>
    </row>
    <row r="3596" ht="15" customHeight="1" s="104">
      <c r="BA3596" s="201" t="n">
        <v>0</v>
      </c>
    </row>
    <row r="3597" ht="15" customHeight="1" s="104">
      <c r="BA3597" s="201" t="n">
        <v>0</v>
      </c>
    </row>
    <row r="3598" ht="15" customHeight="1" s="104">
      <c r="BA3598" s="201" t="n">
        <v>0</v>
      </c>
    </row>
    <row r="3599" ht="15" customHeight="1" s="104">
      <c r="BA3599" s="201" t="n">
        <v>0</v>
      </c>
    </row>
    <row r="3600" ht="15" customHeight="1" s="104">
      <c r="BA3600" s="201" t="n">
        <v>0</v>
      </c>
    </row>
    <row r="3601" ht="15" customHeight="1" s="104">
      <c r="BA3601" s="201" t="n">
        <v>0</v>
      </c>
    </row>
    <row r="3602" ht="15" customHeight="1" s="104">
      <c r="BA3602" s="201" t="n">
        <v>0</v>
      </c>
    </row>
    <row r="3603" ht="15" customHeight="1" s="104">
      <c r="BA3603" s="201" t="n">
        <v>0</v>
      </c>
    </row>
    <row r="3604" ht="15" customHeight="1" s="104">
      <c r="BA3604" s="201" t="n">
        <v>0</v>
      </c>
    </row>
    <row r="3605" ht="15" customHeight="1" s="104">
      <c r="BA3605" s="201" t="n">
        <v>0</v>
      </c>
    </row>
    <row r="3606" ht="15" customHeight="1" s="104">
      <c r="BA3606" s="201" t="n">
        <v>0</v>
      </c>
    </row>
    <row r="3607" ht="15" customHeight="1" s="104">
      <c r="BA3607" s="201" t="n">
        <v>0</v>
      </c>
    </row>
    <row r="3608" ht="15" customHeight="1" s="104">
      <c r="BA3608" s="201" t="n">
        <v>0</v>
      </c>
    </row>
    <row r="3609" ht="15" customHeight="1" s="104">
      <c r="BA3609" s="201" t="n">
        <v>0</v>
      </c>
    </row>
    <row r="3610" ht="15" customHeight="1" s="104">
      <c r="BA3610" s="201" t="n">
        <v>0</v>
      </c>
    </row>
    <row r="3611" ht="15" customHeight="1" s="104">
      <c r="BA3611" s="201" t="n">
        <v>0</v>
      </c>
    </row>
    <row r="3612" ht="15" customHeight="1" s="104">
      <c r="BA3612" s="201" t="n">
        <v>0</v>
      </c>
    </row>
    <row r="3613" ht="15" customHeight="1" s="104">
      <c r="BA3613" s="201" t="n">
        <v>0</v>
      </c>
    </row>
    <row r="3614" ht="15" customHeight="1" s="104">
      <c r="BA3614" s="201" t="n">
        <v>0</v>
      </c>
    </row>
    <row r="3615" ht="15" customHeight="1" s="104">
      <c r="BA3615" s="201" t="n">
        <v>0</v>
      </c>
    </row>
    <row r="3616" ht="15" customHeight="1" s="104">
      <c r="BA3616" s="201" t="n">
        <v>0</v>
      </c>
    </row>
    <row r="3617" ht="15" customHeight="1" s="104">
      <c r="BA3617" s="201" t="n">
        <v>0</v>
      </c>
    </row>
    <row r="3618" ht="15" customHeight="1" s="104">
      <c r="BA3618" s="201" t="n">
        <v>0</v>
      </c>
    </row>
    <row r="3619" ht="15" customHeight="1" s="104">
      <c r="BA3619" s="201" t="n">
        <v>0</v>
      </c>
    </row>
    <row r="3620" ht="15" customHeight="1" s="104">
      <c r="BA3620" s="201" t="n">
        <v>0</v>
      </c>
    </row>
    <row r="3621" ht="15" customHeight="1" s="104">
      <c r="BA3621" s="201" t="n">
        <v>0</v>
      </c>
    </row>
    <row r="3622" ht="15" customHeight="1" s="104">
      <c r="BA3622" s="201" t="n">
        <v>0</v>
      </c>
    </row>
    <row r="3623" ht="15" customHeight="1" s="104">
      <c r="BA3623" s="201" t="n">
        <v>0</v>
      </c>
    </row>
    <row r="3624" ht="15" customHeight="1" s="104">
      <c r="BA3624" s="201" t="n">
        <v>0</v>
      </c>
    </row>
    <row r="3625" ht="15" customHeight="1" s="104">
      <c r="BA3625" s="201" t="n">
        <v>0</v>
      </c>
    </row>
    <row r="3626" ht="15" customHeight="1" s="104">
      <c r="BA3626" s="201" t="n">
        <v>0</v>
      </c>
    </row>
    <row r="3627" ht="15" customHeight="1" s="104">
      <c r="BA3627" s="201" t="n">
        <v>0</v>
      </c>
    </row>
    <row r="3628" ht="15" customHeight="1" s="104">
      <c r="BA3628" s="201" t="n">
        <v>0</v>
      </c>
    </row>
    <row r="3629" ht="15" customHeight="1" s="104">
      <c r="BA3629" s="201" t="n">
        <v>0</v>
      </c>
    </row>
    <row r="3630" ht="15" customHeight="1" s="104">
      <c r="BA3630" s="201" t="n">
        <v>0</v>
      </c>
    </row>
    <row r="3631" ht="15" customHeight="1" s="104">
      <c r="BA3631" s="201" t="n">
        <v>0</v>
      </c>
    </row>
    <row r="3632" ht="15" customHeight="1" s="104">
      <c r="BA3632" s="201" t="n">
        <v>0</v>
      </c>
    </row>
    <row r="3633" ht="15" customHeight="1" s="104">
      <c r="BA3633" s="201" t="n">
        <v>0</v>
      </c>
    </row>
    <row r="3634" ht="15" customHeight="1" s="104">
      <c r="BA3634" s="201" t="n">
        <v>0</v>
      </c>
    </row>
    <row r="3635" ht="15" customHeight="1" s="104">
      <c r="BA3635" s="201" t="n">
        <v>0</v>
      </c>
    </row>
    <row r="3636" ht="15" customHeight="1" s="104">
      <c r="BA3636" s="201" t="n">
        <v>0</v>
      </c>
    </row>
    <row r="3637" ht="15" customHeight="1" s="104">
      <c r="BA3637" s="201" t="n">
        <v>0</v>
      </c>
    </row>
    <row r="3638" ht="15" customHeight="1" s="104">
      <c r="BA3638" s="201" t="n">
        <v>0</v>
      </c>
    </row>
    <row r="3639" ht="15" customHeight="1" s="104">
      <c r="BA3639" s="201" t="n">
        <v>0</v>
      </c>
    </row>
    <row r="3640" ht="15" customHeight="1" s="104">
      <c r="BA3640" s="201" t="n">
        <v>0</v>
      </c>
    </row>
    <row r="3641" ht="15" customHeight="1" s="104">
      <c r="BA3641" s="201" t="n">
        <v>0</v>
      </c>
    </row>
    <row r="3642" ht="15" customHeight="1" s="104">
      <c r="BA3642" s="201" t="n">
        <v>0</v>
      </c>
    </row>
    <row r="3643" ht="15" customHeight="1" s="104">
      <c r="BA3643" s="201" t="n">
        <v>0</v>
      </c>
    </row>
    <row r="3644" ht="15" customHeight="1" s="104">
      <c r="BA3644" s="201" t="n">
        <v>0</v>
      </c>
    </row>
    <row r="3645" ht="15" customHeight="1" s="104">
      <c r="BA3645" s="201" t="n">
        <v>0</v>
      </c>
    </row>
    <row r="3646" ht="15" customHeight="1" s="104">
      <c r="BA3646" s="201" t="n">
        <v>0</v>
      </c>
    </row>
    <row r="3647" ht="15" customHeight="1" s="104">
      <c r="BA3647" s="201" t="n">
        <v>0</v>
      </c>
    </row>
    <row r="3648" ht="15" customHeight="1" s="104">
      <c r="BA3648" s="201" t="n">
        <v>0</v>
      </c>
    </row>
    <row r="3649" ht="15" customHeight="1" s="104">
      <c r="BA3649" s="201" t="n">
        <v>0</v>
      </c>
    </row>
    <row r="3650" ht="15" customHeight="1" s="104">
      <c r="BA3650" s="201" t="n">
        <v>0</v>
      </c>
    </row>
    <row r="3651" ht="15" customHeight="1" s="104">
      <c r="BA3651" s="201" t="n">
        <v>0</v>
      </c>
    </row>
    <row r="3652" ht="15" customHeight="1" s="104">
      <c r="BA3652" s="201" t="n">
        <v>0</v>
      </c>
    </row>
    <row r="3653" ht="15" customHeight="1" s="104">
      <c r="BA3653" s="201" t="n">
        <v>0</v>
      </c>
    </row>
    <row r="3654" ht="15" customHeight="1" s="104">
      <c r="BA3654" s="201" t="n">
        <v>0</v>
      </c>
    </row>
    <row r="3655" ht="15" customHeight="1" s="104">
      <c r="BA3655" s="201" t="n">
        <v>0</v>
      </c>
    </row>
    <row r="3656" ht="15" customHeight="1" s="104">
      <c r="BA3656" s="201" t="n">
        <v>0</v>
      </c>
    </row>
    <row r="3657" ht="15" customHeight="1" s="104">
      <c r="BA3657" s="201" t="n">
        <v>0</v>
      </c>
    </row>
    <row r="3658" ht="15" customHeight="1" s="104">
      <c r="BA3658" s="201" t="n">
        <v>0</v>
      </c>
    </row>
    <row r="3659" ht="15" customHeight="1" s="104">
      <c r="BA3659" s="201" t="n">
        <v>0</v>
      </c>
    </row>
    <row r="3660" ht="15" customHeight="1" s="104">
      <c r="BA3660" s="201" t="n">
        <v>0</v>
      </c>
    </row>
    <row r="3661" ht="15" customHeight="1" s="104">
      <c r="BA3661" s="201" t="n">
        <v>0</v>
      </c>
    </row>
    <row r="3662" ht="15" customHeight="1" s="104">
      <c r="BA3662" s="201" t="n">
        <v>0</v>
      </c>
    </row>
    <row r="3663" ht="15" customHeight="1" s="104">
      <c r="BA3663" s="201" t="n">
        <v>0</v>
      </c>
    </row>
    <row r="3664" ht="15" customHeight="1" s="104">
      <c r="BA3664" s="201" t="n">
        <v>0</v>
      </c>
    </row>
    <row r="3665" ht="15" customHeight="1" s="104">
      <c r="BA3665" s="201" t="n">
        <v>0</v>
      </c>
    </row>
    <row r="3666" ht="15" customHeight="1" s="104">
      <c r="BA3666" s="201" t="n">
        <v>0</v>
      </c>
    </row>
    <row r="3667" ht="15" customHeight="1" s="104">
      <c r="BA3667" s="201" t="n">
        <v>0</v>
      </c>
    </row>
    <row r="3668" ht="15" customHeight="1" s="104">
      <c r="BA3668" s="201" t="n">
        <v>0</v>
      </c>
    </row>
    <row r="3669" ht="15" customHeight="1" s="104">
      <c r="BA3669" s="201" t="n">
        <v>0</v>
      </c>
    </row>
    <row r="3670" ht="15" customHeight="1" s="104">
      <c r="BA3670" s="201" t="n">
        <v>0</v>
      </c>
    </row>
    <row r="3671" ht="15" customHeight="1" s="104">
      <c r="BA3671" s="201" t="n">
        <v>0</v>
      </c>
    </row>
    <row r="3672" ht="15" customHeight="1" s="104">
      <c r="BA3672" s="201" t="n">
        <v>0</v>
      </c>
    </row>
    <row r="3673" ht="15" customHeight="1" s="104">
      <c r="BA3673" s="201" t="n">
        <v>0</v>
      </c>
    </row>
    <row r="3674" ht="15" customHeight="1" s="104">
      <c r="BA3674" s="201" t="n">
        <v>0</v>
      </c>
    </row>
    <row r="3675" ht="15" customHeight="1" s="104">
      <c r="BA3675" s="201" t="n">
        <v>0</v>
      </c>
    </row>
    <row r="3676" ht="15" customHeight="1" s="104">
      <c r="BA3676" s="201" t="n">
        <v>0</v>
      </c>
    </row>
    <row r="3677" ht="15" customHeight="1" s="104">
      <c r="BA3677" s="201" t="n">
        <v>0</v>
      </c>
    </row>
    <row r="3678" ht="15" customHeight="1" s="104">
      <c r="BA3678" s="201" t="n">
        <v>0</v>
      </c>
    </row>
    <row r="3679" ht="15" customHeight="1" s="104">
      <c r="BA3679" s="201" t="n">
        <v>0</v>
      </c>
    </row>
    <row r="3680" ht="15" customHeight="1" s="104">
      <c r="BA3680" s="201" t="n">
        <v>0</v>
      </c>
    </row>
    <row r="3681" ht="15" customHeight="1" s="104">
      <c r="BA3681" s="201" t="n">
        <v>0</v>
      </c>
    </row>
    <row r="3682" ht="15" customHeight="1" s="104">
      <c r="BA3682" s="201" t="n">
        <v>0</v>
      </c>
    </row>
    <row r="3683" ht="15" customHeight="1" s="104">
      <c r="BA3683" s="201" t="n">
        <v>0</v>
      </c>
    </row>
    <row r="3684" ht="15" customHeight="1" s="104">
      <c r="BA3684" s="201" t="n">
        <v>0</v>
      </c>
    </row>
    <row r="3685" ht="15" customHeight="1" s="104">
      <c r="BA3685" s="201" t="n">
        <v>0</v>
      </c>
    </row>
    <row r="3686" ht="15" customHeight="1" s="104">
      <c r="BA3686" s="201" t="n">
        <v>0</v>
      </c>
    </row>
    <row r="3687" ht="15" customHeight="1" s="104">
      <c r="BA3687" s="201" t="n">
        <v>0</v>
      </c>
    </row>
    <row r="3688" ht="15" customHeight="1" s="104">
      <c r="BA3688" s="201" t="n">
        <v>0</v>
      </c>
    </row>
    <row r="3689" ht="15" customHeight="1" s="104">
      <c r="BA3689" s="201" t="n">
        <v>0</v>
      </c>
    </row>
    <row r="3690" ht="15" customHeight="1" s="104">
      <c r="BA3690" s="201" t="n">
        <v>0</v>
      </c>
    </row>
    <row r="3691" ht="15" customHeight="1" s="104">
      <c r="BA3691" s="201" t="n">
        <v>0</v>
      </c>
    </row>
    <row r="3692" ht="15" customHeight="1" s="104">
      <c r="BA3692" s="201" t="n">
        <v>0</v>
      </c>
    </row>
    <row r="3693" ht="15" customHeight="1" s="104">
      <c r="BA3693" s="201" t="n">
        <v>0</v>
      </c>
    </row>
    <row r="3694" ht="15" customHeight="1" s="104">
      <c r="BA3694" s="201" t="n">
        <v>0</v>
      </c>
    </row>
    <row r="3695" ht="15" customHeight="1" s="104">
      <c r="BA3695" s="201" t="n">
        <v>0</v>
      </c>
    </row>
    <row r="3696" ht="15" customHeight="1" s="104">
      <c r="BA3696" s="201" t="n">
        <v>0</v>
      </c>
    </row>
    <row r="3697" ht="15" customHeight="1" s="104">
      <c r="BA3697" s="201" t="n">
        <v>0</v>
      </c>
    </row>
    <row r="3698" ht="15" customHeight="1" s="104">
      <c r="BA3698" s="201" t="n">
        <v>0</v>
      </c>
    </row>
    <row r="3699" ht="15" customHeight="1" s="104">
      <c r="BA3699" s="201" t="n">
        <v>0</v>
      </c>
    </row>
    <row r="3700" ht="15" customHeight="1" s="104">
      <c r="BA3700" s="201" t="n">
        <v>0</v>
      </c>
    </row>
    <row r="3701" ht="15" customHeight="1" s="104">
      <c r="BA3701" s="201" t="n">
        <v>0</v>
      </c>
    </row>
    <row r="3702" ht="15" customHeight="1" s="104">
      <c r="BA3702" s="201" t="n">
        <v>0</v>
      </c>
    </row>
    <row r="3703" ht="15" customHeight="1" s="104">
      <c r="BA3703" s="201" t="n">
        <v>0</v>
      </c>
    </row>
    <row r="3704" ht="15" customHeight="1" s="104">
      <c r="BA3704" s="201" t="n">
        <v>0</v>
      </c>
    </row>
    <row r="3705" ht="15" customHeight="1" s="104">
      <c r="BA3705" s="201" t="n">
        <v>0</v>
      </c>
    </row>
    <row r="3706" ht="15" customHeight="1" s="104">
      <c r="BA3706" s="201" t="n">
        <v>0</v>
      </c>
    </row>
    <row r="3707" ht="15" customHeight="1" s="104">
      <c r="BA3707" s="201" t="n">
        <v>0</v>
      </c>
    </row>
    <row r="3708" ht="15" customHeight="1" s="104">
      <c r="BA3708" s="201" t="n">
        <v>0</v>
      </c>
    </row>
    <row r="3709" ht="15" customHeight="1" s="104">
      <c r="BA3709" s="201" t="n">
        <v>0</v>
      </c>
    </row>
    <row r="3710" ht="15" customHeight="1" s="104">
      <c r="BA3710" s="201" t="n">
        <v>0</v>
      </c>
    </row>
    <row r="3711" ht="15" customHeight="1" s="104">
      <c r="BA3711" s="201" t="n">
        <v>0</v>
      </c>
    </row>
    <row r="3712" ht="15" customHeight="1" s="104">
      <c r="BA3712" s="201" t="n">
        <v>0</v>
      </c>
    </row>
    <row r="3713" ht="15" customHeight="1" s="104">
      <c r="BA3713" s="201" t="n">
        <v>0</v>
      </c>
    </row>
    <row r="3714" ht="15" customHeight="1" s="104">
      <c r="BA3714" s="201" t="n">
        <v>0</v>
      </c>
    </row>
    <row r="3715" ht="15" customHeight="1" s="104">
      <c r="BA3715" s="201" t="n">
        <v>0</v>
      </c>
    </row>
    <row r="3716" ht="15" customHeight="1" s="104">
      <c r="BA3716" s="201" t="n">
        <v>0</v>
      </c>
    </row>
    <row r="3717" ht="15" customHeight="1" s="104">
      <c r="BA3717" s="201" t="n">
        <v>0</v>
      </c>
    </row>
    <row r="3718" ht="15" customHeight="1" s="104">
      <c r="BA3718" s="201" t="n">
        <v>0</v>
      </c>
    </row>
    <row r="3719" ht="15" customHeight="1" s="104">
      <c r="BA3719" s="201" t="n">
        <v>0</v>
      </c>
    </row>
    <row r="3720" ht="15" customHeight="1" s="104">
      <c r="BA3720" s="201" t="n">
        <v>0</v>
      </c>
    </row>
    <row r="3721" ht="15" customHeight="1" s="104">
      <c r="BA3721" s="201" t="n">
        <v>0</v>
      </c>
    </row>
    <row r="3722" ht="15" customHeight="1" s="104">
      <c r="BA3722" s="201" t="n">
        <v>0</v>
      </c>
    </row>
    <row r="3723" ht="15" customHeight="1" s="104">
      <c r="BA3723" s="201" t="n">
        <v>0</v>
      </c>
    </row>
    <row r="3724" ht="15" customHeight="1" s="104">
      <c r="BA3724" s="201" t="n">
        <v>0</v>
      </c>
    </row>
    <row r="3725" ht="15" customHeight="1" s="104">
      <c r="BA3725" s="201" t="n">
        <v>0</v>
      </c>
    </row>
    <row r="3726" ht="15" customHeight="1" s="104">
      <c r="BA3726" s="201" t="n">
        <v>0</v>
      </c>
    </row>
    <row r="3727" ht="15" customHeight="1" s="104">
      <c r="BA3727" s="201" t="n">
        <v>0</v>
      </c>
    </row>
    <row r="3728" ht="15" customHeight="1" s="104">
      <c r="BA3728" s="201" t="n">
        <v>0</v>
      </c>
    </row>
    <row r="3729" ht="15" customHeight="1" s="104">
      <c r="BA3729" s="201" t="n">
        <v>0</v>
      </c>
    </row>
    <row r="3730" ht="15" customHeight="1" s="104">
      <c r="BA3730" s="201" t="n">
        <v>0</v>
      </c>
    </row>
    <row r="3731" ht="15" customHeight="1" s="104">
      <c r="BA3731" s="201" t="n">
        <v>0</v>
      </c>
    </row>
    <row r="3732" ht="15" customHeight="1" s="104">
      <c r="BA3732" s="201" t="n">
        <v>0</v>
      </c>
    </row>
    <row r="3733" ht="15" customHeight="1" s="104">
      <c r="BA3733" s="201" t="n">
        <v>0</v>
      </c>
    </row>
    <row r="3734" ht="15" customHeight="1" s="104">
      <c r="BA3734" s="201" t="n">
        <v>0</v>
      </c>
    </row>
    <row r="3735" ht="15" customHeight="1" s="104">
      <c r="BA3735" s="201" t="n">
        <v>0</v>
      </c>
    </row>
    <row r="3736" ht="15" customHeight="1" s="104">
      <c r="BA3736" s="201" t="n">
        <v>0</v>
      </c>
    </row>
    <row r="3737" ht="15" customHeight="1" s="104">
      <c r="BA3737" s="201" t="n">
        <v>0</v>
      </c>
    </row>
    <row r="3738" ht="15" customHeight="1" s="104">
      <c r="BA3738" s="201" t="n">
        <v>0</v>
      </c>
    </row>
    <row r="3739" ht="15" customHeight="1" s="104">
      <c r="BA3739" s="201" t="n">
        <v>0</v>
      </c>
    </row>
    <row r="3740" ht="15" customHeight="1" s="104">
      <c r="BA3740" s="201" t="n">
        <v>0</v>
      </c>
    </row>
    <row r="3741" ht="15" customHeight="1" s="104">
      <c r="BA3741" s="201" t="n">
        <v>0</v>
      </c>
    </row>
    <row r="3742" ht="15" customHeight="1" s="104">
      <c r="BA3742" s="201" t="n">
        <v>0</v>
      </c>
    </row>
    <row r="3743" ht="15" customHeight="1" s="104">
      <c r="BA3743" s="201" t="n">
        <v>0</v>
      </c>
    </row>
    <row r="3744" ht="15" customHeight="1" s="104">
      <c r="BA3744" s="201" t="n">
        <v>0</v>
      </c>
    </row>
    <row r="3745" ht="15" customHeight="1" s="104">
      <c r="BA3745" s="201" t="n">
        <v>0</v>
      </c>
    </row>
    <row r="3746" ht="15" customHeight="1" s="104">
      <c r="BA3746" s="201" t="n">
        <v>0</v>
      </c>
    </row>
    <row r="3747" ht="15" customHeight="1" s="104">
      <c r="BA3747" s="201" t="n">
        <v>0</v>
      </c>
    </row>
    <row r="3748" ht="15" customHeight="1" s="104">
      <c r="BA3748" s="201" t="n">
        <v>0</v>
      </c>
    </row>
    <row r="3749" ht="15" customHeight="1" s="104">
      <c r="BA3749" s="201" t="n">
        <v>0</v>
      </c>
    </row>
    <row r="3750" ht="15" customHeight="1" s="104">
      <c r="BA3750" s="201" t="n">
        <v>0</v>
      </c>
    </row>
    <row r="3751" ht="15" customHeight="1" s="104">
      <c r="BA3751" s="201" t="n">
        <v>0</v>
      </c>
    </row>
    <row r="3752" ht="15" customHeight="1" s="104">
      <c r="BA3752" s="201" t="n">
        <v>0</v>
      </c>
    </row>
    <row r="3753" ht="15" customHeight="1" s="104">
      <c r="BA3753" s="201" t="n">
        <v>0</v>
      </c>
    </row>
    <row r="3754" ht="15" customHeight="1" s="104">
      <c r="BA3754" s="201" t="n">
        <v>0</v>
      </c>
    </row>
    <row r="3755" ht="15" customHeight="1" s="104">
      <c r="BA3755" s="201" t="n">
        <v>0</v>
      </c>
    </row>
    <row r="3756" ht="15" customHeight="1" s="104">
      <c r="BA3756" s="201" t="n">
        <v>0</v>
      </c>
    </row>
    <row r="3757" ht="15" customHeight="1" s="104">
      <c r="BA3757" s="201" t="n">
        <v>0</v>
      </c>
    </row>
    <row r="3758" ht="15" customHeight="1" s="104">
      <c r="BA3758" s="201" t="n">
        <v>0</v>
      </c>
    </row>
    <row r="3759" ht="15" customHeight="1" s="104">
      <c r="BA3759" s="201" t="n">
        <v>0</v>
      </c>
    </row>
    <row r="3760" ht="15" customHeight="1" s="104">
      <c r="BA3760" s="201" t="n">
        <v>0</v>
      </c>
    </row>
    <row r="3761" ht="15" customHeight="1" s="104">
      <c r="BA3761" s="201" t="n">
        <v>0</v>
      </c>
    </row>
    <row r="3762" ht="15" customHeight="1" s="104">
      <c r="BA3762" s="201" t="n">
        <v>0</v>
      </c>
    </row>
    <row r="3763" ht="15" customHeight="1" s="104">
      <c r="BA3763" s="201" t="n">
        <v>0</v>
      </c>
    </row>
    <row r="3764" ht="15" customHeight="1" s="104">
      <c r="BA3764" s="201" t="n">
        <v>0</v>
      </c>
    </row>
    <row r="3765" ht="15" customHeight="1" s="104">
      <c r="BA3765" s="201" t="n">
        <v>0</v>
      </c>
    </row>
    <row r="3766" ht="15" customHeight="1" s="104">
      <c r="BA3766" s="201" t="n">
        <v>0</v>
      </c>
    </row>
    <row r="3767" ht="15" customHeight="1" s="104">
      <c r="BA3767" s="201" t="n">
        <v>0</v>
      </c>
    </row>
    <row r="3768" ht="15" customHeight="1" s="104">
      <c r="BA3768" s="201" t="n">
        <v>0</v>
      </c>
    </row>
    <row r="3769" ht="15" customHeight="1" s="104">
      <c r="BA3769" s="201" t="n">
        <v>0</v>
      </c>
    </row>
    <row r="3770" ht="15" customHeight="1" s="104">
      <c r="BA3770" s="201" t="n">
        <v>0</v>
      </c>
    </row>
    <row r="3771" ht="15" customHeight="1" s="104">
      <c r="BA3771" s="201" t="n">
        <v>0</v>
      </c>
    </row>
    <row r="3772" ht="15" customHeight="1" s="104">
      <c r="BA3772" s="201" t="n">
        <v>0</v>
      </c>
    </row>
    <row r="3773" ht="15" customHeight="1" s="104">
      <c r="BA3773" s="201" t="n">
        <v>0</v>
      </c>
    </row>
    <row r="3774" ht="15" customHeight="1" s="104">
      <c r="BA3774" s="201" t="n">
        <v>0</v>
      </c>
    </row>
    <row r="3775" ht="15" customHeight="1" s="104">
      <c r="BA3775" s="201" t="n">
        <v>0</v>
      </c>
    </row>
    <row r="3776" ht="15" customHeight="1" s="104">
      <c r="BA3776" s="201" t="n">
        <v>0</v>
      </c>
    </row>
    <row r="3777" ht="15" customHeight="1" s="104">
      <c r="BA3777" s="201" t="n">
        <v>0</v>
      </c>
    </row>
    <row r="3778" ht="15" customHeight="1" s="104">
      <c r="BA3778" s="201" t="n">
        <v>0</v>
      </c>
    </row>
    <row r="3779" ht="15" customHeight="1" s="104">
      <c r="BA3779" s="201" t="n">
        <v>0</v>
      </c>
    </row>
    <row r="3780" ht="15" customHeight="1" s="104">
      <c r="BA3780" s="201" t="n">
        <v>0</v>
      </c>
    </row>
    <row r="3781" ht="15" customHeight="1" s="104">
      <c r="BA3781" s="201" t="n">
        <v>0</v>
      </c>
    </row>
    <row r="3782" ht="15" customHeight="1" s="104">
      <c r="BA3782" s="201" t="n">
        <v>0</v>
      </c>
    </row>
    <row r="3783" ht="15" customHeight="1" s="104">
      <c r="BA3783" s="201" t="n">
        <v>0</v>
      </c>
    </row>
    <row r="3784" ht="15" customHeight="1" s="104">
      <c r="BA3784" s="201" t="n">
        <v>0</v>
      </c>
    </row>
    <row r="3785" ht="15" customHeight="1" s="104">
      <c r="BA3785" s="201" t="n">
        <v>0</v>
      </c>
    </row>
    <row r="3786" ht="15" customHeight="1" s="104">
      <c r="BA3786" s="201" t="n">
        <v>0</v>
      </c>
    </row>
    <row r="3787" ht="15" customHeight="1" s="104">
      <c r="BA3787" s="201" t="n">
        <v>0</v>
      </c>
    </row>
    <row r="3788" ht="15" customHeight="1" s="104">
      <c r="BA3788" s="201" t="n">
        <v>0</v>
      </c>
    </row>
    <row r="3789" ht="15" customHeight="1" s="104">
      <c r="BA3789" s="201" t="n">
        <v>0</v>
      </c>
    </row>
    <row r="3790" ht="15" customHeight="1" s="104">
      <c r="BA3790" s="201" t="n">
        <v>0</v>
      </c>
    </row>
    <row r="3791" ht="15" customHeight="1" s="104">
      <c r="BA3791" s="201" t="n">
        <v>0</v>
      </c>
    </row>
    <row r="3792" ht="15" customHeight="1" s="104">
      <c r="BA3792" s="201" t="n">
        <v>0</v>
      </c>
    </row>
    <row r="3793" ht="15" customHeight="1" s="104">
      <c r="BA3793" s="201" t="n">
        <v>0</v>
      </c>
    </row>
    <row r="3794" ht="15" customHeight="1" s="104">
      <c r="BA3794" s="201" t="n">
        <v>0</v>
      </c>
    </row>
    <row r="3795" ht="15" customHeight="1" s="104">
      <c r="BA3795" s="201" t="n">
        <v>0</v>
      </c>
    </row>
    <row r="3796" ht="15" customHeight="1" s="104">
      <c r="BA3796" s="201" t="n">
        <v>0</v>
      </c>
    </row>
    <row r="3797" ht="15" customHeight="1" s="104">
      <c r="BA3797" s="201" t="n">
        <v>0</v>
      </c>
    </row>
    <row r="3798" ht="15" customHeight="1" s="104">
      <c r="BA3798" s="201" t="n">
        <v>0</v>
      </c>
    </row>
    <row r="3799" ht="15" customHeight="1" s="104">
      <c r="BA3799" s="201" t="n">
        <v>0</v>
      </c>
    </row>
    <row r="3800" ht="15" customHeight="1" s="104">
      <c r="BA3800" s="201" t="n">
        <v>0</v>
      </c>
    </row>
    <row r="3801" ht="15" customHeight="1" s="104">
      <c r="BA3801" s="201" t="n">
        <v>0</v>
      </c>
    </row>
    <row r="3802" ht="15" customHeight="1" s="104">
      <c r="BA3802" s="201" t="n">
        <v>0</v>
      </c>
    </row>
    <row r="3803" ht="15" customHeight="1" s="104">
      <c r="BA3803" s="201" t="n">
        <v>0</v>
      </c>
    </row>
    <row r="3804" ht="15" customHeight="1" s="104">
      <c r="BA3804" s="201" t="n">
        <v>0</v>
      </c>
    </row>
    <row r="3805" ht="15" customHeight="1" s="104">
      <c r="BA3805" s="201" t="n">
        <v>0</v>
      </c>
    </row>
    <row r="3806" ht="15" customHeight="1" s="104">
      <c r="BA3806" s="201" t="n">
        <v>0</v>
      </c>
    </row>
    <row r="3807" ht="15" customHeight="1" s="104">
      <c r="BA3807" s="201" t="n">
        <v>0</v>
      </c>
    </row>
    <row r="3808" ht="15" customHeight="1" s="104">
      <c r="BA3808" s="201" t="n">
        <v>0</v>
      </c>
    </row>
    <row r="3809" ht="15" customHeight="1" s="104">
      <c r="BA3809" s="201" t="n">
        <v>0</v>
      </c>
    </row>
    <row r="3810" ht="15" customHeight="1" s="104">
      <c r="BA3810" s="201" t="n">
        <v>0</v>
      </c>
    </row>
    <row r="3811" ht="15" customHeight="1" s="104">
      <c r="BA3811" s="201" t="n">
        <v>0</v>
      </c>
    </row>
    <row r="3812" ht="15" customHeight="1" s="104">
      <c r="BA3812" s="201" t="n">
        <v>0</v>
      </c>
    </row>
    <row r="3813" ht="15" customHeight="1" s="104">
      <c r="BA3813" s="201" t="n">
        <v>0</v>
      </c>
    </row>
    <row r="3814" ht="15" customHeight="1" s="104">
      <c r="BA3814" s="201" t="n">
        <v>0</v>
      </c>
    </row>
    <row r="3815" ht="15" customHeight="1" s="104">
      <c r="BA3815" s="201" t="n">
        <v>0</v>
      </c>
    </row>
    <row r="3816" ht="15" customHeight="1" s="104">
      <c r="BA3816" s="201" t="n">
        <v>0</v>
      </c>
    </row>
    <row r="3817" ht="15" customHeight="1" s="104">
      <c r="BA3817" s="201" t="n">
        <v>0</v>
      </c>
    </row>
    <row r="3818" ht="15" customHeight="1" s="104">
      <c r="BA3818" s="201" t="n">
        <v>0</v>
      </c>
    </row>
    <row r="3819" ht="15" customHeight="1" s="104">
      <c r="BA3819" s="201" t="n">
        <v>0</v>
      </c>
    </row>
    <row r="3820" ht="15" customHeight="1" s="104">
      <c r="BA3820" s="201" t="n">
        <v>0</v>
      </c>
    </row>
    <row r="3821" ht="15" customHeight="1" s="104">
      <c r="BA3821" s="201" t="n">
        <v>0</v>
      </c>
    </row>
    <row r="3822" ht="15" customHeight="1" s="104">
      <c r="BA3822" s="201" t="n">
        <v>0</v>
      </c>
    </row>
    <row r="3823" ht="15" customHeight="1" s="104">
      <c r="BA3823" s="201" t="n">
        <v>0</v>
      </c>
    </row>
    <row r="3824" ht="15" customHeight="1" s="104">
      <c r="BA3824" s="201" t="n">
        <v>0</v>
      </c>
    </row>
    <row r="3825" ht="15" customHeight="1" s="104">
      <c r="BA3825" s="201" t="n">
        <v>0</v>
      </c>
    </row>
    <row r="3826" ht="15" customHeight="1" s="104">
      <c r="BA3826" s="201" t="n">
        <v>0</v>
      </c>
    </row>
    <row r="3827" ht="15" customHeight="1" s="104">
      <c r="BA3827" s="201" t="n">
        <v>0</v>
      </c>
    </row>
    <row r="3828" ht="15" customHeight="1" s="104">
      <c r="BA3828" s="201" t="n">
        <v>0</v>
      </c>
    </row>
    <row r="3829" ht="15" customHeight="1" s="104">
      <c r="BA3829" s="201" t="n">
        <v>0</v>
      </c>
    </row>
    <row r="3830" ht="15" customHeight="1" s="104">
      <c r="BA3830" s="201" t="n">
        <v>0</v>
      </c>
    </row>
    <row r="3831" ht="15" customHeight="1" s="104">
      <c r="BA3831" s="201" t="n">
        <v>0</v>
      </c>
    </row>
    <row r="3832" ht="15" customHeight="1" s="104">
      <c r="BA3832" s="201" t="n">
        <v>0</v>
      </c>
    </row>
    <row r="3833" ht="15" customHeight="1" s="104">
      <c r="BA3833" s="201" t="n">
        <v>0</v>
      </c>
    </row>
    <row r="3834" ht="15" customHeight="1" s="104">
      <c r="BA3834" s="201" t="n">
        <v>0</v>
      </c>
    </row>
    <row r="3835" ht="15" customHeight="1" s="104">
      <c r="BA3835" s="201" t="n">
        <v>0</v>
      </c>
    </row>
    <row r="3836" ht="15" customHeight="1" s="104">
      <c r="BA3836" s="201" t="n">
        <v>0</v>
      </c>
    </row>
    <row r="3837" ht="15" customHeight="1" s="104">
      <c r="BA3837" s="201" t="n">
        <v>0</v>
      </c>
    </row>
    <row r="3838" ht="15" customHeight="1" s="104">
      <c r="BA3838" s="201" t="n">
        <v>0</v>
      </c>
    </row>
    <row r="3839" ht="15" customHeight="1" s="104">
      <c r="BA3839" s="201" t="n">
        <v>0</v>
      </c>
    </row>
    <row r="3840" ht="15" customHeight="1" s="104">
      <c r="BA3840" s="201" t="n">
        <v>0</v>
      </c>
    </row>
    <row r="3841" ht="15" customHeight="1" s="104">
      <c r="BA3841" s="201" t="n">
        <v>0</v>
      </c>
    </row>
    <row r="3842" ht="15" customHeight="1" s="104">
      <c r="BA3842" s="201" t="n">
        <v>0</v>
      </c>
    </row>
    <row r="3843" ht="15" customHeight="1" s="104">
      <c r="BA3843" s="201" t="n">
        <v>0</v>
      </c>
    </row>
    <row r="3844" ht="15" customHeight="1" s="104">
      <c r="BA3844" s="201" t="n">
        <v>0</v>
      </c>
    </row>
    <row r="3845" ht="15" customHeight="1" s="104">
      <c r="BA3845" s="201" t="n">
        <v>0</v>
      </c>
    </row>
    <row r="3846" ht="15" customHeight="1" s="104">
      <c r="BA3846" s="201" t="n">
        <v>0</v>
      </c>
    </row>
    <row r="3847" ht="15" customHeight="1" s="104">
      <c r="BA3847" s="201" t="n">
        <v>0</v>
      </c>
    </row>
    <row r="3848" ht="15" customHeight="1" s="104">
      <c r="BA3848" s="201" t="n">
        <v>0</v>
      </c>
    </row>
    <row r="3849" ht="15" customHeight="1" s="104">
      <c r="BA3849" s="201" t="n">
        <v>0</v>
      </c>
    </row>
    <row r="3850" ht="15" customHeight="1" s="104">
      <c r="BA3850" s="201" t="n">
        <v>0</v>
      </c>
    </row>
    <row r="3851" ht="15" customHeight="1" s="104">
      <c r="BA3851" s="201" t="n">
        <v>0</v>
      </c>
    </row>
    <row r="3852" ht="15" customHeight="1" s="104">
      <c r="BA3852" s="201" t="n">
        <v>0</v>
      </c>
    </row>
    <row r="3853" ht="15" customHeight="1" s="104">
      <c r="BA3853" s="201" t="n">
        <v>0</v>
      </c>
    </row>
    <row r="3854" ht="15" customHeight="1" s="104">
      <c r="BA3854" s="201" t="n">
        <v>0</v>
      </c>
    </row>
    <row r="3855" ht="15" customHeight="1" s="104">
      <c r="BA3855" s="201" t="n">
        <v>0</v>
      </c>
    </row>
    <row r="3856" ht="15" customHeight="1" s="104">
      <c r="BA3856" s="201" t="n">
        <v>0</v>
      </c>
    </row>
    <row r="3857" ht="15" customHeight="1" s="104">
      <c r="BA3857" s="201" t="n">
        <v>0</v>
      </c>
    </row>
    <row r="3858" ht="15" customHeight="1" s="104">
      <c r="BA3858" s="201" t="n">
        <v>0</v>
      </c>
    </row>
    <row r="3859" ht="15" customHeight="1" s="104">
      <c r="BA3859" s="201" t="n">
        <v>0</v>
      </c>
    </row>
    <row r="3860" ht="15" customHeight="1" s="104">
      <c r="BA3860" s="201" t="n">
        <v>0</v>
      </c>
    </row>
    <row r="3861" ht="15" customHeight="1" s="104">
      <c r="BA3861" s="201" t="n">
        <v>0</v>
      </c>
    </row>
    <row r="3862" ht="15" customHeight="1" s="104">
      <c r="BA3862" s="201" t="n">
        <v>0</v>
      </c>
    </row>
    <row r="3863" ht="15" customHeight="1" s="104">
      <c r="BA3863" s="201" t="n">
        <v>0</v>
      </c>
    </row>
    <row r="3864" ht="15" customHeight="1" s="104">
      <c r="BA3864" s="201" t="n">
        <v>0</v>
      </c>
    </row>
    <row r="3865" ht="15" customHeight="1" s="104">
      <c r="BA3865" s="201" t="n">
        <v>0</v>
      </c>
    </row>
    <row r="3866" ht="15" customHeight="1" s="104">
      <c r="BA3866" s="201" t="n">
        <v>0</v>
      </c>
    </row>
    <row r="3867" ht="15" customHeight="1" s="104">
      <c r="BA3867" s="201" t="n">
        <v>0</v>
      </c>
    </row>
    <row r="3868" ht="15" customHeight="1" s="104">
      <c r="BA3868" s="201" t="n">
        <v>0</v>
      </c>
    </row>
    <row r="3869" ht="15" customHeight="1" s="104">
      <c r="BA3869" s="201" t="n">
        <v>0</v>
      </c>
    </row>
    <row r="3870" ht="15" customHeight="1" s="104">
      <c r="BA3870" s="201" t="n">
        <v>0</v>
      </c>
    </row>
    <row r="3871" ht="15" customHeight="1" s="104">
      <c r="BA3871" s="201" t="n">
        <v>0</v>
      </c>
    </row>
    <row r="3872" ht="15" customHeight="1" s="104">
      <c r="BA3872" s="201" t="n">
        <v>0</v>
      </c>
    </row>
    <row r="3873" ht="15" customHeight="1" s="104">
      <c r="BA3873" s="201" t="n">
        <v>0</v>
      </c>
    </row>
    <row r="3874" ht="15" customHeight="1" s="104">
      <c r="BA3874" s="201" t="n">
        <v>0</v>
      </c>
    </row>
    <row r="3875" ht="15" customHeight="1" s="104">
      <c r="BA3875" s="201" t="n">
        <v>0</v>
      </c>
    </row>
    <row r="3876" ht="15" customHeight="1" s="104">
      <c r="BA3876" s="201" t="n">
        <v>0</v>
      </c>
    </row>
    <row r="3877" ht="15" customHeight="1" s="104">
      <c r="BA3877" s="201" t="n">
        <v>0</v>
      </c>
    </row>
    <row r="3878" ht="15" customHeight="1" s="104">
      <c r="BA3878" s="201" t="n">
        <v>0</v>
      </c>
    </row>
    <row r="3879" ht="15" customHeight="1" s="104">
      <c r="BA3879" s="201" t="n">
        <v>0</v>
      </c>
    </row>
    <row r="3880" ht="15" customHeight="1" s="104">
      <c r="BA3880" s="201" t="n">
        <v>0</v>
      </c>
    </row>
    <row r="3881" ht="15" customHeight="1" s="104">
      <c r="BA3881" s="201" t="n">
        <v>0</v>
      </c>
    </row>
    <row r="3882" ht="15" customHeight="1" s="104">
      <c r="BA3882" s="201" t="n">
        <v>0</v>
      </c>
    </row>
    <row r="3883" ht="15" customHeight="1" s="104">
      <c r="BA3883" s="201" t="n">
        <v>0</v>
      </c>
    </row>
    <row r="3884" ht="15" customHeight="1" s="104">
      <c r="BA3884" s="201" t="n">
        <v>0</v>
      </c>
    </row>
    <row r="3885" ht="15" customHeight="1" s="104">
      <c r="BA3885" s="201" t="n">
        <v>0</v>
      </c>
    </row>
    <row r="3886" ht="15" customHeight="1" s="104">
      <c r="BA3886" s="201" t="n">
        <v>0</v>
      </c>
    </row>
    <row r="3887" ht="15" customHeight="1" s="104">
      <c r="BA3887" s="201" t="n">
        <v>0</v>
      </c>
    </row>
    <row r="3888" ht="15" customHeight="1" s="104">
      <c r="BA3888" s="201" t="n">
        <v>0</v>
      </c>
    </row>
    <row r="3889" ht="15" customHeight="1" s="104">
      <c r="BA3889" s="201" t="n">
        <v>0</v>
      </c>
    </row>
    <row r="3890" ht="15" customHeight="1" s="104">
      <c r="BA3890" s="201" t="n">
        <v>0</v>
      </c>
    </row>
    <row r="3891" ht="15" customHeight="1" s="104">
      <c r="BA3891" s="201" t="n">
        <v>0</v>
      </c>
    </row>
    <row r="3892" ht="15" customHeight="1" s="104">
      <c r="BA3892" s="201" t="n">
        <v>0</v>
      </c>
    </row>
    <row r="3893" ht="15" customHeight="1" s="104">
      <c r="BA3893" s="201" t="n">
        <v>0</v>
      </c>
    </row>
    <row r="3894" ht="15" customHeight="1" s="104">
      <c r="BA3894" s="201" t="n">
        <v>0</v>
      </c>
    </row>
    <row r="3895" ht="15" customHeight="1" s="104">
      <c r="BA3895" s="201" t="n">
        <v>0</v>
      </c>
    </row>
    <row r="3896" ht="15" customHeight="1" s="104">
      <c r="BA3896" s="201" t="n">
        <v>0</v>
      </c>
    </row>
    <row r="3897" ht="15" customHeight="1" s="104">
      <c r="BA3897" s="201" t="n">
        <v>0</v>
      </c>
    </row>
    <row r="3898" ht="15" customHeight="1" s="104">
      <c r="BA3898" s="201" t="n">
        <v>0</v>
      </c>
    </row>
    <row r="3899" ht="15" customHeight="1" s="104">
      <c r="BA3899" s="201" t="n">
        <v>0</v>
      </c>
    </row>
    <row r="3900" ht="15" customHeight="1" s="104">
      <c r="BA3900" s="201" t="n">
        <v>0</v>
      </c>
    </row>
    <row r="3901" ht="15" customHeight="1" s="104">
      <c r="BA3901" s="201" t="n">
        <v>0</v>
      </c>
    </row>
    <row r="3902" ht="15" customHeight="1" s="104">
      <c r="BA3902" s="201" t="n">
        <v>0</v>
      </c>
    </row>
    <row r="3903" ht="15" customHeight="1" s="104">
      <c r="BA3903" s="201" t="n">
        <v>0</v>
      </c>
    </row>
    <row r="3904" ht="15" customHeight="1" s="104">
      <c r="BA3904" s="201" t="n">
        <v>0</v>
      </c>
    </row>
    <row r="3905" ht="15" customHeight="1" s="104">
      <c r="BA3905" s="201" t="n">
        <v>0</v>
      </c>
    </row>
    <row r="3906" ht="15" customHeight="1" s="104">
      <c r="BA3906" s="201" t="n">
        <v>0</v>
      </c>
    </row>
    <row r="3907" ht="15" customHeight="1" s="104">
      <c r="BA3907" s="201" t="n">
        <v>0</v>
      </c>
    </row>
    <row r="3908" ht="15" customHeight="1" s="104">
      <c r="BA3908" s="201" t="n">
        <v>0</v>
      </c>
    </row>
    <row r="3909" ht="15" customHeight="1" s="104">
      <c r="BA3909" s="201" t="n">
        <v>0</v>
      </c>
    </row>
    <row r="3910" ht="15" customHeight="1" s="104">
      <c r="BA3910" s="201" t="n">
        <v>0</v>
      </c>
    </row>
    <row r="3911" ht="15" customHeight="1" s="104">
      <c r="BA3911" s="201" t="n">
        <v>0</v>
      </c>
    </row>
    <row r="3912" ht="15" customHeight="1" s="104">
      <c r="BA3912" s="201" t="n">
        <v>0</v>
      </c>
    </row>
    <row r="3913" ht="15" customHeight="1" s="104">
      <c r="BA3913" s="201" t="n">
        <v>0</v>
      </c>
    </row>
    <row r="3914" ht="15" customHeight="1" s="104">
      <c r="BA3914" s="201" t="n">
        <v>0</v>
      </c>
    </row>
    <row r="3915" ht="15" customHeight="1" s="104">
      <c r="BA3915" s="201" t="n">
        <v>0</v>
      </c>
    </row>
    <row r="3916" ht="15" customHeight="1" s="104">
      <c r="BA3916" s="201" t="n">
        <v>0</v>
      </c>
    </row>
    <row r="3917" ht="15" customHeight="1" s="104">
      <c r="BA3917" s="201" t="n">
        <v>0</v>
      </c>
    </row>
    <row r="3918" ht="15" customHeight="1" s="104">
      <c r="BA3918" s="201" t="n">
        <v>0</v>
      </c>
    </row>
    <row r="3919" ht="15" customHeight="1" s="104">
      <c r="BA3919" s="201" t="n">
        <v>0</v>
      </c>
    </row>
    <row r="3920" ht="15" customHeight="1" s="104">
      <c r="BA3920" s="201" t="n">
        <v>0</v>
      </c>
    </row>
    <row r="3921" ht="15" customHeight="1" s="104">
      <c r="BA3921" s="201" t="n">
        <v>0</v>
      </c>
    </row>
    <row r="3922" ht="15" customHeight="1" s="104">
      <c r="BA3922" s="201" t="n">
        <v>0</v>
      </c>
    </row>
    <row r="3923" ht="15" customHeight="1" s="104">
      <c r="BA3923" s="201" t="n">
        <v>0</v>
      </c>
    </row>
    <row r="3924" ht="15" customHeight="1" s="104">
      <c r="BA3924" s="201" t="n">
        <v>0</v>
      </c>
    </row>
    <row r="3925" ht="15" customHeight="1" s="104">
      <c r="BA3925" s="201" t="n">
        <v>0</v>
      </c>
    </row>
    <row r="3926" ht="15" customHeight="1" s="104">
      <c r="BA3926" s="201" t="n">
        <v>0</v>
      </c>
    </row>
    <row r="3927" ht="15" customHeight="1" s="104">
      <c r="BA3927" s="201" t="n">
        <v>0</v>
      </c>
    </row>
    <row r="3928" ht="15" customHeight="1" s="104">
      <c r="BA3928" s="201" t="n">
        <v>0</v>
      </c>
    </row>
    <row r="3929" ht="15" customHeight="1" s="104">
      <c r="BA3929" s="201" t="n">
        <v>0</v>
      </c>
    </row>
    <row r="3930" ht="15" customHeight="1" s="104">
      <c r="BA3930" s="201" t="n">
        <v>0</v>
      </c>
    </row>
    <row r="3931" ht="15" customHeight="1" s="104">
      <c r="BA3931" s="201" t="n">
        <v>0</v>
      </c>
    </row>
    <row r="3932" ht="15" customHeight="1" s="104">
      <c r="BA3932" s="201" t="n">
        <v>0</v>
      </c>
    </row>
    <row r="3933" ht="15" customHeight="1" s="104">
      <c r="BA3933" s="201" t="n">
        <v>0</v>
      </c>
    </row>
    <row r="3934" ht="15" customHeight="1" s="104">
      <c r="BA3934" s="201" t="n">
        <v>0</v>
      </c>
    </row>
    <row r="3935" ht="15" customHeight="1" s="104">
      <c r="BA3935" s="201" t="n">
        <v>0</v>
      </c>
    </row>
    <row r="3936" ht="15" customHeight="1" s="104">
      <c r="BA3936" s="201" t="n">
        <v>0</v>
      </c>
    </row>
    <row r="3937" ht="15" customHeight="1" s="104">
      <c r="BA3937" s="201" t="n">
        <v>0</v>
      </c>
    </row>
    <row r="3938" ht="15" customHeight="1" s="104">
      <c r="BA3938" s="201" t="n">
        <v>0</v>
      </c>
    </row>
    <row r="3939" ht="15" customHeight="1" s="104">
      <c r="BA3939" s="201" t="n">
        <v>0</v>
      </c>
    </row>
    <row r="3940" ht="15" customHeight="1" s="104">
      <c r="BA3940" s="201" t="n">
        <v>0</v>
      </c>
    </row>
    <row r="3941" ht="15" customHeight="1" s="104">
      <c r="BA3941" s="201" t="n">
        <v>0</v>
      </c>
    </row>
    <row r="3942" ht="15" customHeight="1" s="104">
      <c r="BA3942" s="201" t="n">
        <v>0</v>
      </c>
    </row>
    <row r="3943" ht="15" customHeight="1" s="104">
      <c r="BA3943" s="201" t="n">
        <v>0</v>
      </c>
    </row>
    <row r="3944" ht="15" customHeight="1" s="104">
      <c r="BA3944" s="201" t="n">
        <v>0</v>
      </c>
    </row>
    <row r="3945" ht="15" customHeight="1" s="104">
      <c r="BA3945" s="201" t="n">
        <v>0</v>
      </c>
    </row>
    <row r="3946" ht="15" customHeight="1" s="104">
      <c r="BA3946" s="201" t="n">
        <v>0</v>
      </c>
    </row>
    <row r="3947" ht="15" customHeight="1" s="104">
      <c r="BA3947" s="201" t="n">
        <v>0</v>
      </c>
    </row>
    <row r="3948" ht="15" customHeight="1" s="104">
      <c r="BA3948" s="201" t="n">
        <v>0</v>
      </c>
    </row>
    <row r="3949" ht="15" customHeight="1" s="104">
      <c r="BA3949" s="201" t="n">
        <v>0</v>
      </c>
    </row>
    <row r="3950" ht="15" customHeight="1" s="104">
      <c r="BA3950" s="201" t="n">
        <v>0</v>
      </c>
    </row>
    <row r="3951" ht="15" customHeight="1" s="104">
      <c r="BA3951" s="201" t="n">
        <v>0</v>
      </c>
    </row>
    <row r="3952" ht="15" customHeight="1" s="104">
      <c r="BA3952" s="201" t="n">
        <v>0</v>
      </c>
    </row>
    <row r="3953" ht="15" customHeight="1" s="104">
      <c r="BA3953" s="201" t="n">
        <v>0</v>
      </c>
    </row>
    <row r="3954" ht="15" customHeight="1" s="104">
      <c r="BA3954" s="201" t="n">
        <v>0</v>
      </c>
    </row>
    <row r="3955" ht="15" customHeight="1" s="104">
      <c r="BA3955" s="201" t="n">
        <v>0</v>
      </c>
    </row>
    <row r="3956" ht="15" customHeight="1" s="104">
      <c r="BA3956" s="201" t="n">
        <v>0</v>
      </c>
    </row>
    <row r="3957" ht="15" customHeight="1" s="104">
      <c r="BA3957" s="201" t="n">
        <v>0</v>
      </c>
    </row>
    <row r="3958" ht="15" customHeight="1" s="104">
      <c r="BA3958" s="201" t="n">
        <v>0</v>
      </c>
    </row>
    <row r="3959" ht="15" customHeight="1" s="104">
      <c r="BA3959" s="201" t="n">
        <v>0</v>
      </c>
    </row>
    <row r="3960" ht="15" customHeight="1" s="104">
      <c r="BA3960" s="201" t="n">
        <v>0</v>
      </c>
    </row>
    <row r="3961" ht="15" customHeight="1" s="104">
      <c r="BA3961" s="201" t="n">
        <v>0</v>
      </c>
    </row>
    <row r="3962" ht="15" customHeight="1" s="104">
      <c r="BA3962" s="201" t="n">
        <v>0</v>
      </c>
    </row>
    <row r="3963" ht="15" customHeight="1" s="104">
      <c r="BA3963" s="201" t="n">
        <v>0</v>
      </c>
    </row>
    <row r="3964" ht="15" customHeight="1" s="104">
      <c r="BA3964" s="201" t="n">
        <v>0</v>
      </c>
    </row>
    <row r="3965" ht="15" customHeight="1" s="104">
      <c r="BA3965" s="201" t="n">
        <v>0</v>
      </c>
    </row>
    <row r="3966" ht="15" customHeight="1" s="104">
      <c r="BA3966" s="201" t="n">
        <v>0</v>
      </c>
    </row>
    <row r="3967" ht="15" customHeight="1" s="104">
      <c r="BA3967" s="201" t="n">
        <v>0</v>
      </c>
    </row>
    <row r="3968" ht="15" customHeight="1" s="104">
      <c r="BA3968" s="201" t="n">
        <v>0</v>
      </c>
    </row>
    <row r="3969" ht="15" customHeight="1" s="104">
      <c r="BA3969" s="201" t="n">
        <v>0</v>
      </c>
    </row>
    <row r="3970" ht="15" customHeight="1" s="104">
      <c r="BA3970" s="201" t="n">
        <v>0</v>
      </c>
    </row>
    <row r="3971" ht="15" customHeight="1" s="104">
      <c r="BA3971" s="201" t="n">
        <v>0</v>
      </c>
    </row>
    <row r="3972" ht="15" customHeight="1" s="104">
      <c r="BA3972" s="201" t="n">
        <v>0</v>
      </c>
    </row>
    <row r="3973" ht="15" customHeight="1" s="104">
      <c r="BA3973" s="201" t="n">
        <v>0</v>
      </c>
    </row>
    <row r="3974" ht="15" customHeight="1" s="104">
      <c r="BA3974" s="201" t="n">
        <v>0</v>
      </c>
    </row>
    <row r="3975" ht="15" customHeight="1" s="104">
      <c r="BA3975" s="201" t="n">
        <v>0</v>
      </c>
    </row>
    <row r="3976" ht="15" customHeight="1" s="104">
      <c r="BA3976" s="201" t="n">
        <v>0</v>
      </c>
    </row>
    <row r="3977" ht="15" customHeight="1" s="104">
      <c r="BA3977" s="201" t="n">
        <v>0</v>
      </c>
    </row>
    <row r="3978" ht="15" customHeight="1" s="104">
      <c r="BA3978" s="201" t="n">
        <v>0</v>
      </c>
    </row>
    <row r="3979" ht="15" customHeight="1" s="104">
      <c r="BA3979" s="201" t="n">
        <v>0</v>
      </c>
    </row>
    <row r="3980" ht="15" customHeight="1" s="104">
      <c r="BA3980" s="201" t="n">
        <v>0</v>
      </c>
    </row>
    <row r="3981" ht="15" customHeight="1" s="104">
      <c r="BA3981" s="201" t="n">
        <v>0</v>
      </c>
    </row>
    <row r="3982" ht="15" customHeight="1" s="104">
      <c r="BA3982" s="201" t="n">
        <v>0</v>
      </c>
    </row>
    <row r="3983" ht="15" customHeight="1" s="104">
      <c r="BA3983" s="201" t="n">
        <v>0</v>
      </c>
    </row>
    <row r="3984" ht="15" customHeight="1" s="104">
      <c r="BA3984" s="201" t="n">
        <v>0</v>
      </c>
    </row>
    <row r="3985" ht="15" customHeight="1" s="104">
      <c r="BA3985" s="201" t="n">
        <v>0</v>
      </c>
    </row>
    <row r="3986" ht="15" customHeight="1" s="104">
      <c r="BA3986" s="201" t="n">
        <v>0</v>
      </c>
    </row>
    <row r="3987" ht="15" customHeight="1" s="104">
      <c r="BA3987" s="201" t="n">
        <v>0</v>
      </c>
    </row>
    <row r="3988" ht="15" customHeight="1" s="104">
      <c r="BA3988" s="201" t="n">
        <v>0</v>
      </c>
    </row>
    <row r="3989" ht="15" customHeight="1" s="104">
      <c r="BA3989" s="201" t="n">
        <v>0</v>
      </c>
    </row>
    <row r="3990" ht="15" customHeight="1" s="104">
      <c r="BA3990" s="201" t="n">
        <v>0</v>
      </c>
    </row>
    <row r="3991" ht="15" customHeight="1" s="104">
      <c r="BA3991" s="201" t="n">
        <v>0</v>
      </c>
    </row>
    <row r="3992" ht="15" customHeight="1" s="104">
      <c r="BA3992" s="201" t="n">
        <v>0</v>
      </c>
    </row>
    <row r="3993" ht="15" customHeight="1" s="104">
      <c r="BA3993" s="201" t="n">
        <v>0</v>
      </c>
    </row>
    <row r="3994" ht="15" customHeight="1" s="104">
      <c r="BA3994" s="201" t="n">
        <v>0</v>
      </c>
    </row>
    <row r="3995" ht="15" customHeight="1" s="104">
      <c r="BA3995" s="201" t="n">
        <v>0</v>
      </c>
    </row>
    <row r="3996" ht="15" customHeight="1" s="104">
      <c r="BA3996" s="201" t="n">
        <v>0</v>
      </c>
    </row>
    <row r="3997" ht="15" customHeight="1" s="104">
      <c r="BA3997" s="201" t="n">
        <v>0</v>
      </c>
    </row>
    <row r="3998" ht="15" customHeight="1" s="104">
      <c r="BA3998" s="201" t="n">
        <v>0</v>
      </c>
    </row>
    <row r="3999" ht="15" customHeight="1" s="104">
      <c r="BA3999" s="201" t="n">
        <v>0</v>
      </c>
    </row>
    <row r="4000" ht="15" customHeight="1" s="104">
      <c r="BA4000" s="201" t="n">
        <v>0</v>
      </c>
    </row>
    <row r="4001" ht="15" customHeight="1" s="104">
      <c r="BA4001" s="201" t="n">
        <v>0</v>
      </c>
    </row>
    <row r="4002" ht="15" customHeight="1" s="104">
      <c r="BA4002" s="201" t="n">
        <v>0</v>
      </c>
    </row>
    <row r="4003" ht="15" customHeight="1" s="104">
      <c r="BA4003" s="201" t="n">
        <v>0</v>
      </c>
    </row>
    <row r="4004" ht="15" customHeight="1" s="104">
      <c r="BA4004" s="201" t="n">
        <v>0</v>
      </c>
    </row>
    <row r="4005" ht="15" customHeight="1" s="104">
      <c r="BA4005" s="201" t="n">
        <v>0</v>
      </c>
    </row>
    <row r="4006" ht="15" customHeight="1" s="104">
      <c r="BA4006" s="201" t="n">
        <v>0</v>
      </c>
    </row>
    <row r="4007" ht="15" customHeight="1" s="104">
      <c r="BA4007" s="201" t="n">
        <v>0</v>
      </c>
    </row>
    <row r="4008" ht="15" customHeight="1" s="104">
      <c r="BA4008" s="201" t="n">
        <v>0</v>
      </c>
    </row>
    <row r="4009" ht="15" customHeight="1" s="104">
      <c r="BA4009" s="201" t="n">
        <v>0</v>
      </c>
    </row>
    <row r="4010" ht="15" customHeight="1" s="104">
      <c r="BA4010" s="201" t="n">
        <v>0</v>
      </c>
    </row>
    <row r="4011" ht="15" customHeight="1" s="104">
      <c r="BA4011" s="201" t="n">
        <v>0</v>
      </c>
    </row>
    <row r="4012" ht="15" customHeight="1" s="104">
      <c r="BA4012" s="201" t="n">
        <v>0</v>
      </c>
    </row>
    <row r="4013" ht="15" customHeight="1" s="104">
      <c r="BA4013" s="201" t="n">
        <v>0</v>
      </c>
    </row>
    <row r="4014" ht="15" customHeight="1" s="104">
      <c r="BA4014" s="201" t="n">
        <v>0</v>
      </c>
    </row>
    <row r="4015" ht="15" customHeight="1" s="104">
      <c r="BA4015" s="201" t="n">
        <v>0</v>
      </c>
    </row>
    <row r="4016" ht="15" customHeight="1" s="104">
      <c r="BA4016" s="201" t="n">
        <v>0</v>
      </c>
    </row>
    <row r="4017" ht="15" customHeight="1" s="104">
      <c r="BA4017" s="201" t="n">
        <v>0</v>
      </c>
    </row>
    <row r="4018" ht="15" customHeight="1" s="104">
      <c r="BA4018" s="201" t="n">
        <v>0</v>
      </c>
    </row>
    <row r="4019" ht="15" customHeight="1" s="104">
      <c r="BA4019" s="201" t="n">
        <v>0</v>
      </c>
    </row>
    <row r="4020" ht="15" customHeight="1" s="104">
      <c r="BA4020" s="201" t="n">
        <v>0</v>
      </c>
    </row>
    <row r="4021" ht="15" customHeight="1" s="104">
      <c r="BA4021" s="201" t="n">
        <v>0</v>
      </c>
    </row>
    <row r="4022" ht="15" customHeight="1" s="104">
      <c r="BA4022" s="201" t="n">
        <v>0</v>
      </c>
    </row>
    <row r="4023" ht="15" customHeight="1" s="104">
      <c r="BA4023" s="201" t="n">
        <v>0</v>
      </c>
    </row>
    <row r="4024" ht="15" customHeight="1" s="104">
      <c r="BA4024" s="201" t="n">
        <v>0</v>
      </c>
    </row>
    <row r="4025" ht="15" customHeight="1" s="104">
      <c r="BA4025" s="201" t="n">
        <v>0</v>
      </c>
    </row>
    <row r="4026" ht="15" customHeight="1" s="104">
      <c r="BA4026" s="201" t="n">
        <v>0</v>
      </c>
    </row>
    <row r="4027" ht="15" customHeight="1" s="104">
      <c r="BA4027" s="201" t="n">
        <v>0</v>
      </c>
    </row>
    <row r="4028" ht="15" customHeight="1" s="104">
      <c r="BA4028" s="201" t="n">
        <v>0</v>
      </c>
    </row>
    <row r="4029" ht="15" customHeight="1" s="104">
      <c r="BA4029" s="201" t="n">
        <v>0</v>
      </c>
    </row>
    <row r="4030" ht="15" customHeight="1" s="104">
      <c r="BA4030" s="201" t="n">
        <v>0</v>
      </c>
    </row>
    <row r="4031" ht="15" customHeight="1" s="104">
      <c r="BA4031" s="201" t="n">
        <v>0</v>
      </c>
    </row>
    <row r="4032" ht="15" customHeight="1" s="104">
      <c r="BA4032" s="201" t="n">
        <v>0</v>
      </c>
    </row>
    <row r="4033" ht="15" customHeight="1" s="104">
      <c r="BA4033" s="201" t="n">
        <v>0</v>
      </c>
    </row>
    <row r="4034" ht="15" customHeight="1" s="104">
      <c r="BA4034" s="201" t="n">
        <v>0</v>
      </c>
    </row>
    <row r="4035" ht="15" customHeight="1" s="104">
      <c r="BA4035" s="201" t="n">
        <v>0</v>
      </c>
    </row>
    <row r="4036" ht="15" customHeight="1" s="104">
      <c r="BA4036" s="201" t="n">
        <v>0</v>
      </c>
    </row>
    <row r="4037" ht="15" customHeight="1" s="104">
      <c r="BA4037" s="201" t="n">
        <v>0</v>
      </c>
    </row>
    <row r="4038" ht="15" customHeight="1" s="104">
      <c r="BA4038" s="201" t="n">
        <v>0</v>
      </c>
    </row>
    <row r="4039" ht="15" customHeight="1" s="104">
      <c r="BA4039" s="201" t="n">
        <v>0</v>
      </c>
    </row>
    <row r="4040" ht="15" customHeight="1" s="104">
      <c r="BA4040" s="201" t="n">
        <v>0</v>
      </c>
    </row>
    <row r="4041" ht="15" customHeight="1" s="104">
      <c r="BA4041" s="201" t="n">
        <v>0</v>
      </c>
    </row>
    <row r="4042" ht="15" customHeight="1" s="104">
      <c r="BA4042" s="201" t="n">
        <v>0</v>
      </c>
    </row>
    <row r="4043" ht="15" customHeight="1" s="104">
      <c r="BA4043" s="201" t="n">
        <v>0</v>
      </c>
    </row>
    <row r="4044" ht="15" customHeight="1" s="104">
      <c r="BA4044" s="201" t="n">
        <v>0</v>
      </c>
    </row>
    <row r="4045" ht="15" customHeight="1" s="104">
      <c r="BA4045" s="201" t="n">
        <v>0</v>
      </c>
    </row>
    <row r="4046" ht="15" customHeight="1" s="104">
      <c r="BA4046" s="201" t="n">
        <v>0</v>
      </c>
    </row>
    <row r="4047" ht="15" customHeight="1" s="104">
      <c r="BA4047" s="201" t="n">
        <v>0</v>
      </c>
    </row>
    <row r="4048" ht="15" customHeight="1" s="104">
      <c r="BA4048" s="201" t="n">
        <v>0</v>
      </c>
    </row>
    <row r="4049" ht="15" customHeight="1" s="104">
      <c r="BA4049" s="201" t="n">
        <v>0</v>
      </c>
    </row>
    <row r="4050" ht="15" customHeight="1" s="104">
      <c r="BA4050" s="201" t="n">
        <v>0</v>
      </c>
    </row>
    <row r="4051" ht="15" customHeight="1" s="104">
      <c r="BA4051" s="201" t="n">
        <v>0</v>
      </c>
    </row>
    <row r="4052" ht="15" customHeight="1" s="104">
      <c r="BA4052" s="201" t="n">
        <v>0</v>
      </c>
    </row>
    <row r="4053" ht="15" customHeight="1" s="104">
      <c r="BA4053" s="201" t="n">
        <v>0</v>
      </c>
    </row>
    <row r="4054" ht="15" customHeight="1" s="104">
      <c r="BA4054" s="201" t="n">
        <v>0</v>
      </c>
    </row>
    <row r="4055" ht="15" customHeight="1" s="104">
      <c r="BA4055" s="201" t="n">
        <v>0</v>
      </c>
    </row>
    <row r="4056" ht="15" customHeight="1" s="104">
      <c r="BA4056" s="201" t="n">
        <v>0</v>
      </c>
    </row>
    <row r="4057" ht="15" customHeight="1" s="104">
      <c r="BA4057" s="201" t="n">
        <v>0</v>
      </c>
    </row>
    <row r="4058" ht="15" customHeight="1" s="104">
      <c r="BA4058" s="201" t="n">
        <v>0</v>
      </c>
    </row>
    <row r="4059" ht="15" customHeight="1" s="104">
      <c r="BA4059" s="201" t="n">
        <v>0</v>
      </c>
    </row>
    <row r="4060" ht="15" customHeight="1" s="104">
      <c r="BA4060" s="201" t="n">
        <v>0</v>
      </c>
    </row>
    <row r="4061" ht="15" customHeight="1" s="104">
      <c r="BA4061" s="201" t="n">
        <v>0</v>
      </c>
    </row>
    <row r="4062" ht="15" customHeight="1" s="104">
      <c r="BA4062" s="201" t="n">
        <v>0</v>
      </c>
    </row>
    <row r="4063" ht="15" customHeight="1" s="104">
      <c r="BA4063" s="201" t="n">
        <v>0</v>
      </c>
    </row>
    <row r="4064" ht="15" customHeight="1" s="104">
      <c r="BA4064" s="201" t="n">
        <v>0</v>
      </c>
    </row>
    <row r="4065" ht="15" customHeight="1" s="104">
      <c r="BA4065" s="201" t="n">
        <v>0</v>
      </c>
    </row>
    <row r="4066" ht="15" customHeight="1" s="104">
      <c r="BA4066" s="201" t="n">
        <v>0</v>
      </c>
    </row>
    <row r="4067" ht="15" customHeight="1" s="104">
      <c r="BA4067" s="201" t="n">
        <v>0</v>
      </c>
    </row>
    <row r="4068" ht="15" customHeight="1" s="104">
      <c r="BA4068" s="201" t="n">
        <v>0</v>
      </c>
    </row>
    <row r="4069" ht="15" customHeight="1" s="104">
      <c r="BA4069" s="201" t="n">
        <v>0</v>
      </c>
    </row>
    <row r="4070" ht="15" customHeight="1" s="104">
      <c r="BA4070" s="201" t="n">
        <v>0</v>
      </c>
    </row>
    <row r="4071" ht="15" customHeight="1" s="104">
      <c r="BA4071" s="201" t="n">
        <v>0</v>
      </c>
    </row>
    <row r="4072" ht="15" customHeight="1" s="104">
      <c r="BA4072" s="201" t="n">
        <v>0</v>
      </c>
    </row>
    <row r="4073" ht="15" customHeight="1" s="104">
      <c r="BA4073" s="201" t="n">
        <v>0</v>
      </c>
    </row>
    <row r="4074" ht="15" customHeight="1" s="104">
      <c r="BA4074" s="201" t="n">
        <v>0</v>
      </c>
    </row>
    <row r="4075" ht="15" customHeight="1" s="104">
      <c r="BA4075" s="201" t="n">
        <v>0</v>
      </c>
    </row>
    <row r="4076" ht="15" customHeight="1" s="104">
      <c r="BA4076" s="201" t="n">
        <v>0</v>
      </c>
    </row>
    <row r="4077" ht="15" customHeight="1" s="104">
      <c r="BA4077" s="201" t="n">
        <v>0</v>
      </c>
    </row>
    <row r="4078" ht="15" customHeight="1" s="104">
      <c r="BA4078" s="201" t="n">
        <v>0</v>
      </c>
    </row>
    <row r="4079" ht="15" customHeight="1" s="104">
      <c r="BA4079" s="201" t="n">
        <v>0</v>
      </c>
    </row>
    <row r="4080" ht="15" customHeight="1" s="104">
      <c r="BA4080" s="201" t="n">
        <v>0</v>
      </c>
    </row>
    <row r="4081" ht="15" customHeight="1" s="104">
      <c r="BA4081" s="201" t="n">
        <v>0</v>
      </c>
    </row>
    <row r="4082" ht="15" customHeight="1" s="104">
      <c r="BA4082" s="201" t="n">
        <v>0</v>
      </c>
    </row>
    <row r="4083" ht="15" customHeight="1" s="104">
      <c r="BA4083" s="201" t="n">
        <v>0</v>
      </c>
    </row>
    <row r="4084" ht="15" customHeight="1" s="104">
      <c r="BA4084" s="201" t="n">
        <v>0</v>
      </c>
    </row>
    <row r="4085" ht="15" customHeight="1" s="104">
      <c r="BA4085" s="201" t="n">
        <v>0</v>
      </c>
    </row>
    <row r="4086" ht="15" customHeight="1" s="104">
      <c r="BA4086" s="201" t="n">
        <v>0</v>
      </c>
    </row>
    <row r="4087" ht="15" customHeight="1" s="104">
      <c r="BA4087" s="201" t="n">
        <v>0</v>
      </c>
    </row>
    <row r="4088" ht="15" customHeight="1" s="104">
      <c r="BA4088" s="201" t="n">
        <v>0</v>
      </c>
    </row>
    <row r="4089" ht="15" customHeight="1" s="104">
      <c r="BA4089" s="201" t="n">
        <v>0</v>
      </c>
    </row>
    <row r="4090" ht="15" customHeight="1" s="104">
      <c r="BA4090" s="201" t="n">
        <v>0</v>
      </c>
    </row>
    <row r="4091" ht="15" customHeight="1" s="104">
      <c r="BA4091" s="201" t="n">
        <v>0</v>
      </c>
    </row>
    <row r="4092" ht="15" customHeight="1" s="104">
      <c r="BA4092" s="201" t="n">
        <v>0</v>
      </c>
    </row>
    <row r="4093" ht="15" customHeight="1" s="104">
      <c r="BA4093" s="201" t="n">
        <v>0</v>
      </c>
    </row>
    <row r="4094" ht="15" customHeight="1" s="104">
      <c r="BA4094" s="201" t="n">
        <v>0</v>
      </c>
    </row>
    <row r="4095" ht="15" customHeight="1" s="104">
      <c r="BA4095" s="201" t="n">
        <v>0</v>
      </c>
    </row>
    <row r="4096" ht="15" customHeight="1" s="104">
      <c r="BA4096" s="201" t="n">
        <v>0</v>
      </c>
    </row>
    <row r="4097" ht="15" customHeight="1" s="104">
      <c r="BA4097" s="201" t="n">
        <v>0</v>
      </c>
    </row>
    <row r="4098" ht="15" customHeight="1" s="104">
      <c r="BA4098" s="201" t="n">
        <v>0</v>
      </c>
    </row>
    <row r="4099" ht="15" customHeight="1" s="104">
      <c r="BA4099" s="201" t="n">
        <v>0</v>
      </c>
    </row>
    <row r="4100" ht="15" customHeight="1" s="104">
      <c r="BA4100" s="201" t="n">
        <v>0</v>
      </c>
    </row>
    <row r="4101" ht="15" customHeight="1" s="104">
      <c r="BA4101" s="201" t="n">
        <v>0</v>
      </c>
    </row>
    <row r="4102" ht="15" customHeight="1" s="104">
      <c r="BA4102" s="201" t="n">
        <v>0</v>
      </c>
    </row>
    <row r="4103" ht="15" customHeight="1" s="104">
      <c r="BA4103" s="201" t="n">
        <v>0</v>
      </c>
    </row>
    <row r="4104" ht="15" customHeight="1" s="104">
      <c r="BA4104" s="201" t="n">
        <v>0</v>
      </c>
    </row>
    <row r="4105" ht="15" customHeight="1" s="104">
      <c r="BA4105" s="201" t="n">
        <v>0</v>
      </c>
    </row>
    <row r="4106" ht="15" customHeight="1" s="104">
      <c r="BA4106" s="201" t="n">
        <v>0</v>
      </c>
    </row>
    <row r="4107" ht="15" customHeight="1" s="104">
      <c r="BA4107" s="201" t="n">
        <v>0</v>
      </c>
    </row>
    <row r="4108" ht="15" customHeight="1" s="104">
      <c r="BA4108" s="201" t="n">
        <v>0</v>
      </c>
    </row>
    <row r="4109" ht="15" customHeight="1" s="104">
      <c r="BA4109" s="201" t="n">
        <v>0</v>
      </c>
    </row>
    <row r="4110" ht="15" customHeight="1" s="104">
      <c r="BA4110" s="201" t="n">
        <v>0</v>
      </c>
    </row>
    <row r="4111" ht="15" customHeight="1" s="104">
      <c r="BA4111" s="201" t="n">
        <v>0</v>
      </c>
    </row>
    <row r="4112" ht="15" customHeight="1" s="104">
      <c r="BA4112" s="201" t="n">
        <v>0</v>
      </c>
    </row>
    <row r="4113" ht="15" customHeight="1" s="104">
      <c r="BA4113" s="201" t="n">
        <v>0</v>
      </c>
    </row>
    <row r="4114" ht="15" customHeight="1" s="104">
      <c r="BA4114" s="201" t="n">
        <v>0</v>
      </c>
    </row>
    <row r="4115" ht="15" customHeight="1" s="104">
      <c r="BA4115" s="201" t="n">
        <v>0</v>
      </c>
    </row>
    <row r="4116" ht="15" customHeight="1" s="104">
      <c r="BA4116" s="201" t="n">
        <v>0</v>
      </c>
    </row>
    <row r="4117" ht="15" customHeight="1" s="104">
      <c r="BA4117" s="201" t="n">
        <v>0</v>
      </c>
    </row>
    <row r="4118" ht="15" customHeight="1" s="104">
      <c r="BA4118" s="201" t="n">
        <v>0</v>
      </c>
    </row>
    <row r="4119" ht="15" customHeight="1" s="104">
      <c r="BA4119" s="201" t="n">
        <v>0</v>
      </c>
    </row>
    <row r="4120" ht="15" customHeight="1" s="104">
      <c r="BA4120" s="201" t="n">
        <v>0</v>
      </c>
    </row>
    <row r="4121" ht="15" customHeight="1" s="104">
      <c r="BA4121" s="201" t="n">
        <v>0</v>
      </c>
    </row>
    <row r="4122" ht="15" customHeight="1" s="104">
      <c r="BA4122" s="201" t="n">
        <v>0</v>
      </c>
    </row>
    <row r="4123" ht="15" customHeight="1" s="104">
      <c r="BA4123" s="201" t="n">
        <v>0</v>
      </c>
    </row>
    <row r="4124" ht="15" customHeight="1" s="104">
      <c r="BA4124" s="201" t="n">
        <v>0</v>
      </c>
    </row>
    <row r="4125" ht="15" customHeight="1" s="104">
      <c r="BA4125" s="201" t="n">
        <v>0</v>
      </c>
    </row>
    <row r="4126" ht="15" customHeight="1" s="104">
      <c r="BA4126" s="201" t="n">
        <v>0</v>
      </c>
    </row>
    <row r="4127" ht="15" customHeight="1" s="104">
      <c r="BA4127" s="201" t="n">
        <v>0</v>
      </c>
    </row>
    <row r="4128" ht="15" customHeight="1" s="104">
      <c r="BA4128" s="201" t="n">
        <v>0</v>
      </c>
    </row>
    <row r="4129" ht="15" customHeight="1" s="104">
      <c r="BA4129" s="201" t="n">
        <v>0</v>
      </c>
    </row>
    <row r="4130" ht="15" customHeight="1" s="104">
      <c r="BA4130" s="201" t="n">
        <v>0</v>
      </c>
    </row>
    <row r="4131" ht="15" customHeight="1" s="104">
      <c r="BA4131" s="201" t="n">
        <v>0</v>
      </c>
    </row>
    <row r="4132" ht="15" customHeight="1" s="104">
      <c r="BA4132" s="201" t="n">
        <v>0</v>
      </c>
    </row>
    <row r="4133" ht="15" customHeight="1" s="104">
      <c r="BA4133" s="201" t="n">
        <v>0</v>
      </c>
    </row>
    <row r="4134" ht="15" customHeight="1" s="104">
      <c r="BA4134" s="201" t="n">
        <v>0</v>
      </c>
    </row>
    <row r="4135" ht="15" customHeight="1" s="104">
      <c r="BA4135" s="201" t="n">
        <v>0</v>
      </c>
    </row>
    <row r="4136" ht="15" customHeight="1" s="104">
      <c r="BA4136" s="201" t="n">
        <v>0</v>
      </c>
    </row>
    <row r="4137" ht="15" customHeight="1" s="104">
      <c r="BA4137" s="201" t="n">
        <v>0</v>
      </c>
    </row>
    <row r="4138" ht="15" customHeight="1" s="104">
      <c r="BA4138" s="201" t="n">
        <v>0</v>
      </c>
    </row>
    <row r="4139" ht="15" customHeight="1" s="104">
      <c r="BA4139" s="201" t="n">
        <v>0</v>
      </c>
    </row>
    <row r="4140" ht="15" customHeight="1" s="104">
      <c r="BA4140" s="201" t="n">
        <v>0</v>
      </c>
    </row>
    <row r="4141" ht="15" customHeight="1" s="104">
      <c r="BA4141" s="201" t="n">
        <v>0</v>
      </c>
    </row>
    <row r="4142" ht="15" customHeight="1" s="104">
      <c r="BA4142" s="201" t="n">
        <v>0</v>
      </c>
    </row>
    <row r="4143" ht="15" customHeight="1" s="104">
      <c r="BA4143" s="201" t="n">
        <v>0</v>
      </c>
    </row>
    <row r="4144" ht="15" customHeight="1" s="104">
      <c r="BA4144" s="201" t="n">
        <v>0</v>
      </c>
    </row>
    <row r="4145" ht="15" customHeight="1" s="104">
      <c r="BA4145" s="201" t="n">
        <v>0</v>
      </c>
    </row>
    <row r="4146" ht="15" customHeight="1" s="104">
      <c r="BA4146" s="201" t="n">
        <v>0</v>
      </c>
    </row>
    <row r="4147" ht="15" customHeight="1" s="104">
      <c r="BA4147" s="201" t="n">
        <v>0</v>
      </c>
    </row>
    <row r="4148" ht="15" customHeight="1" s="104">
      <c r="BA4148" s="201" t="n">
        <v>0</v>
      </c>
    </row>
    <row r="4149" ht="15" customHeight="1" s="104">
      <c r="BA4149" s="201" t="n">
        <v>0</v>
      </c>
    </row>
    <row r="4150" ht="15" customHeight="1" s="104">
      <c r="BA4150" s="201" t="n">
        <v>0</v>
      </c>
    </row>
    <row r="4151" ht="15" customHeight="1" s="104">
      <c r="BA4151" s="201" t="n">
        <v>0</v>
      </c>
    </row>
    <row r="4152" ht="15" customHeight="1" s="104">
      <c r="BA4152" s="201" t="n">
        <v>0</v>
      </c>
    </row>
    <row r="4153" ht="15" customHeight="1" s="104">
      <c r="BA4153" s="201" t="n">
        <v>0</v>
      </c>
    </row>
    <row r="4154" ht="15" customHeight="1" s="104">
      <c r="BA4154" s="201" t="n">
        <v>0</v>
      </c>
    </row>
    <row r="4155" ht="15" customHeight="1" s="104">
      <c r="BA4155" s="201" t="n">
        <v>0</v>
      </c>
    </row>
    <row r="4156" ht="15" customHeight="1" s="104">
      <c r="BA4156" s="201" t="n">
        <v>0</v>
      </c>
    </row>
    <row r="4157" ht="15" customHeight="1" s="104">
      <c r="BA4157" s="201" t="n">
        <v>0</v>
      </c>
    </row>
    <row r="4158" ht="15" customHeight="1" s="104">
      <c r="BA4158" s="201" t="n">
        <v>0</v>
      </c>
    </row>
    <row r="4159" ht="15" customHeight="1" s="104">
      <c r="BA4159" s="201" t="n">
        <v>0</v>
      </c>
    </row>
    <row r="4160" ht="15" customHeight="1" s="104">
      <c r="BA4160" s="201" t="n">
        <v>0</v>
      </c>
    </row>
    <row r="4161" ht="15" customHeight="1" s="104">
      <c r="BA4161" s="201" t="n">
        <v>0</v>
      </c>
    </row>
    <row r="4162" ht="15" customHeight="1" s="104">
      <c r="BA4162" s="201" t="n">
        <v>0</v>
      </c>
    </row>
    <row r="4163" ht="15" customHeight="1" s="104">
      <c r="BA4163" s="201" t="n">
        <v>0</v>
      </c>
    </row>
    <row r="4164" ht="15" customHeight="1" s="104">
      <c r="BA4164" s="201" t="n">
        <v>0</v>
      </c>
    </row>
    <row r="4165" ht="15" customHeight="1" s="104">
      <c r="BA4165" s="201" t="n">
        <v>0</v>
      </c>
    </row>
    <row r="4166" ht="15" customHeight="1" s="104">
      <c r="BA4166" s="201" t="n">
        <v>0</v>
      </c>
    </row>
    <row r="4167" ht="15" customHeight="1" s="104">
      <c r="BA4167" s="201" t="n">
        <v>0</v>
      </c>
    </row>
    <row r="4168" ht="15" customHeight="1" s="104">
      <c r="BA4168" s="201" t="n">
        <v>0</v>
      </c>
    </row>
    <row r="4169" ht="15" customHeight="1" s="104">
      <c r="BA4169" s="201" t="n">
        <v>0</v>
      </c>
    </row>
    <row r="4170" ht="15" customHeight="1" s="104">
      <c r="BA4170" s="201" t="n">
        <v>0</v>
      </c>
    </row>
    <row r="4171" ht="15" customHeight="1" s="104">
      <c r="BA4171" s="201" t="n">
        <v>0</v>
      </c>
    </row>
    <row r="4172" ht="15" customHeight="1" s="104">
      <c r="BA4172" s="201" t="n">
        <v>0</v>
      </c>
    </row>
    <row r="4173" ht="15" customHeight="1" s="104">
      <c r="BA4173" s="201" t="n">
        <v>0</v>
      </c>
    </row>
    <row r="4174" ht="15" customHeight="1" s="104">
      <c r="BA4174" s="201" t="n">
        <v>0</v>
      </c>
    </row>
    <row r="4175" ht="15" customHeight="1" s="104">
      <c r="BA4175" s="201" t="n">
        <v>0</v>
      </c>
    </row>
    <row r="4176" ht="15" customHeight="1" s="104">
      <c r="BA4176" s="201" t="n">
        <v>0</v>
      </c>
    </row>
    <row r="4177" ht="15" customHeight="1" s="104">
      <c r="BA4177" s="201" t="n">
        <v>0</v>
      </c>
    </row>
    <row r="4178" ht="15" customHeight="1" s="104">
      <c r="BA4178" s="201" t="n">
        <v>0</v>
      </c>
    </row>
    <row r="4179" ht="15" customHeight="1" s="104">
      <c r="BA4179" s="201" t="n">
        <v>0</v>
      </c>
    </row>
    <row r="4180" ht="15" customHeight="1" s="104">
      <c r="BA4180" s="201" t="n">
        <v>0</v>
      </c>
    </row>
    <row r="4181" ht="15" customHeight="1" s="104">
      <c r="BA4181" s="201" t="n">
        <v>0</v>
      </c>
    </row>
    <row r="4182" ht="15" customHeight="1" s="104">
      <c r="BA4182" s="201" t="n">
        <v>0</v>
      </c>
    </row>
    <row r="4183" ht="15" customHeight="1" s="104">
      <c r="BA4183" s="201" t="n">
        <v>0</v>
      </c>
    </row>
    <row r="4184" ht="15" customHeight="1" s="104">
      <c r="BA4184" s="201" t="n">
        <v>0</v>
      </c>
    </row>
    <row r="4185" ht="15" customHeight="1" s="104">
      <c r="BA4185" s="201" t="n">
        <v>0</v>
      </c>
    </row>
    <row r="4186" ht="15" customHeight="1" s="104">
      <c r="BA4186" s="201" t="n">
        <v>0</v>
      </c>
    </row>
    <row r="4187" ht="15" customHeight="1" s="104">
      <c r="BA4187" s="201" t="n">
        <v>0</v>
      </c>
    </row>
    <row r="4188" ht="15" customHeight="1" s="104">
      <c r="BA4188" s="201" t="n">
        <v>0</v>
      </c>
    </row>
    <row r="4189" ht="15" customHeight="1" s="104">
      <c r="BA4189" s="201" t="n">
        <v>0</v>
      </c>
    </row>
    <row r="4190" ht="15" customHeight="1" s="104">
      <c r="BA4190" s="201" t="n">
        <v>0</v>
      </c>
    </row>
    <row r="4191" ht="15" customHeight="1" s="104">
      <c r="BA4191" s="201" t="n">
        <v>0</v>
      </c>
    </row>
    <row r="4192" ht="15" customHeight="1" s="104">
      <c r="BA4192" s="201" t="n">
        <v>0</v>
      </c>
    </row>
    <row r="4193" ht="15" customHeight="1" s="104">
      <c r="BA4193" s="201" t="n">
        <v>0</v>
      </c>
    </row>
    <row r="4194" ht="15" customHeight="1" s="104">
      <c r="BA4194" s="201" t="n">
        <v>0</v>
      </c>
    </row>
    <row r="4195" ht="15" customHeight="1" s="104">
      <c r="BA4195" s="201" t="n">
        <v>0</v>
      </c>
    </row>
    <row r="4196" ht="15" customHeight="1" s="104">
      <c r="BA4196" s="201" t="n">
        <v>0</v>
      </c>
    </row>
    <row r="4197" ht="15" customHeight="1" s="104">
      <c r="BA4197" s="201" t="n">
        <v>0</v>
      </c>
    </row>
    <row r="4198" ht="15" customHeight="1" s="104">
      <c r="BA4198" s="201" t="n">
        <v>0</v>
      </c>
    </row>
    <row r="4199" ht="15" customHeight="1" s="104">
      <c r="BA4199" s="201" t="n">
        <v>0</v>
      </c>
    </row>
    <row r="4200" ht="15" customHeight="1" s="104">
      <c r="BA4200" s="201" t="n">
        <v>0</v>
      </c>
    </row>
    <row r="4201" ht="15" customHeight="1" s="104">
      <c r="BA4201" s="201" t="n">
        <v>0</v>
      </c>
    </row>
    <row r="4202" ht="15" customHeight="1" s="104">
      <c r="BA4202" s="201" t="n">
        <v>0</v>
      </c>
    </row>
    <row r="4203" ht="15" customHeight="1" s="104">
      <c r="BA4203" s="201" t="n">
        <v>0</v>
      </c>
    </row>
    <row r="4204" ht="15" customHeight="1" s="104">
      <c r="BA4204" s="201" t="n">
        <v>0</v>
      </c>
    </row>
    <row r="4205" ht="15" customHeight="1" s="104">
      <c r="BA4205" s="201" t="n">
        <v>0</v>
      </c>
    </row>
    <row r="4206" ht="15" customHeight="1" s="104">
      <c r="BA4206" s="201" t="n">
        <v>0</v>
      </c>
    </row>
    <row r="4207" ht="15" customHeight="1" s="104">
      <c r="BA4207" s="201" t="n">
        <v>0</v>
      </c>
    </row>
    <row r="4208" ht="15" customHeight="1" s="104">
      <c r="BA4208" s="201" t="n">
        <v>0</v>
      </c>
    </row>
    <row r="4209" ht="15" customHeight="1" s="104">
      <c r="BA4209" s="201" t="n">
        <v>0</v>
      </c>
    </row>
    <row r="4210" ht="15" customHeight="1" s="104">
      <c r="BA4210" s="201" t="n">
        <v>0</v>
      </c>
    </row>
    <row r="4211" ht="15" customHeight="1" s="104">
      <c r="BA4211" s="201" t="n">
        <v>0</v>
      </c>
    </row>
    <row r="4212" ht="15" customHeight="1" s="104">
      <c r="BA4212" s="201" t="n">
        <v>0</v>
      </c>
    </row>
    <row r="4213" ht="15" customHeight="1" s="104">
      <c r="BA4213" s="201" t="n">
        <v>0</v>
      </c>
    </row>
    <row r="4214" ht="15" customHeight="1" s="104">
      <c r="BA4214" s="201" t="n">
        <v>0</v>
      </c>
    </row>
    <row r="4215" ht="15" customHeight="1" s="104">
      <c r="BA4215" s="201" t="n">
        <v>0</v>
      </c>
    </row>
    <row r="4216" ht="15" customHeight="1" s="104">
      <c r="BA4216" s="201" t="n">
        <v>0</v>
      </c>
    </row>
    <row r="4217" ht="15" customHeight="1" s="104">
      <c r="BA4217" s="201" t="n">
        <v>0</v>
      </c>
    </row>
    <row r="4218" ht="15" customHeight="1" s="104">
      <c r="BA4218" s="201" t="n">
        <v>0</v>
      </c>
    </row>
    <row r="4219" ht="15" customHeight="1" s="104">
      <c r="BA4219" s="201" t="n">
        <v>0</v>
      </c>
    </row>
    <row r="4220" ht="15" customHeight="1" s="104">
      <c r="BA4220" s="201" t="n">
        <v>0</v>
      </c>
    </row>
    <row r="4221" ht="15" customHeight="1" s="104">
      <c r="BA4221" s="201" t="n">
        <v>0</v>
      </c>
    </row>
    <row r="4222" ht="15" customHeight="1" s="104">
      <c r="BA4222" s="201" t="n">
        <v>0</v>
      </c>
    </row>
    <row r="4223" ht="15" customHeight="1" s="104">
      <c r="BA4223" s="201" t="n">
        <v>0</v>
      </c>
    </row>
    <row r="4224" ht="15" customHeight="1" s="104">
      <c r="BA4224" s="201" t="n">
        <v>0</v>
      </c>
    </row>
    <row r="4225" ht="15" customHeight="1" s="104">
      <c r="BA4225" s="201" t="n">
        <v>0</v>
      </c>
    </row>
    <row r="4226" ht="15" customHeight="1" s="104">
      <c r="BA4226" s="201" t="n">
        <v>0</v>
      </c>
    </row>
    <row r="4227" ht="15" customHeight="1" s="104">
      <c r="BA4227" s="201" t="n">
        <v>0</v>
      </c>
    </row>
    <row r="4228" ht="15" customHeight="1" s="104">
      <c r="BA4228" s="201" t="n">
        <v>0</v>
      </c>
    </row>
    <row r="4229" ht="15" customHeight="1" s="104">
      <c r="BA4229" s="201" t="n">
        <v>0</v>
      </c>
    </row>
    <row r="4230" ht="15" customHeight="1" s="104">
      <c r="BA4230" s="201" t="n">
        <v>0</v>
      </c>
    </row>
    <row r="4231" ht="15" customHeight="1" s="104">
      <c r="BA4231" s="201" t="n">
        <v>0</v>
      </c>
    </row>
    <row r="4232" ht="15" customHeight="1" s="104">
      <c r="BA4232" s="201" t="n">
        <v>0</v>
      </c>
    </row>
    <row r="4233" ht="15" customHeight="1" s="104">
      <c r="BA4233" s="201" t="n">
        <v>0</v>
      </c>
    </row>
    <row r="4234" ht="15" customHeight="1" s="104">
      <c r="BA4234" s="201" t="n">
        <v>0</v>
      </c>
    </row>
    <row r="4235" ht="15" customHeight="1" s="104">
      <c r="BA4235" s="201" t="n">
        <v>0</v>
      </c>
    </row>
    <row r="4236" ht="15" customHeight="1" s="104">
      <c r="BA4236" s="201" t="n">
        <v>0</v>
      </c>
    </row>
    <row r="4237" ht="15" customHeight="1" s="104">
      <c r="BA4237" s="201" t="n">
        <v>0</v>
      </c>
    </row>
    <row r="4238" ht="15" customHeight="1" s="104">
      <c r="BA4238" s="201" t="n">
        <v>0</v>
      </c>
    </row>
    <row r="4239" ht="15" customHeight="1" s="104">
      <c r="BA4239" s="201" t="n">
        <v>0</v>
      </c>
    </row>
    <row r="4240" ht="15" customHeight="1" s="104">
      <c r="BA4240" s="201" t="n">
        <v>0</v>
      </c>
    </row>
    <row r="4241" ht="15" customHeight="1" s="104">
      <c r="BA4241" s="201" t="n">
        <v>0</v>
      </c>
    </row>
    <row r="4242" ht="15" customHeight="1" s="104">
      <c r="BA4242" s="201" t="n">
        <v>0</v>
      </c>
    </row>
    <row r="4243" ht="15" customHeight="1" s="104">
      <c r="BA4243" s="201" t="n">
        <v>0</v>
      </c>
    </row>
    <row r="4244" ht="15" customHeight="1" s="104">
      <c r="BA4244" s="201" t="n">
        <v>0</v>
      </c>
    </row>
    <row r="4245" ht="15" customHeight="1" s="104">
      <c r="BA4245" s="201" t="n">
        <v>0</v>
      </c>
    </row>
    <row r="4246" ht="15" customHeight="1" s="104">
      <c r="BA4246" s="201" t="n">
        <v>0</v>
      </c>
    </row>
    <row r="4247" ht="15" customHeight="1" s="104">
      <c r="BA4247" s="201" t="n">
        <v>0</v>
      </c>
    </row>
    <row r="4248" ht="15" customHeight="1" s="104">
      <c r="BA4248" s="201" t="n">
        <v>0</v>
      </c>
    </row>
    <row r="4249" ht="15" customHeight="1" s="104">
      <c r="BA4249" s="201" t="n">
        <v>0</v>
      </c>
    </row>
    <row r="4250" ht="15" customHeight="1" s="104">
      <c r="BA4250" s="201" t="n">
        <v>0</v>
      </c>
    </row>
    <row r="4251" ht="15" customHeight="1" s="104">
      <c r="BA4251" s="201" t="n">
        <v>0</v>
      </c>
    </row>
    <row r="4252" ht="15" customHeight="1" s="104">
      <c r="BA4252" s="201" t="n">
        <v>0</v>
      </c>
    </row>
    <row r="4253" ht="15" customHeight="1" s="104">
      <c r="BA4253" s="201" t="n">
        <v>0</v>
      </c>
    </row>
    <row r="4254" ht="15" customHeight="1" s="104">
      <c r="BA4254" s="201" t="n">
        <v>0</v>
      </c>
    </row>
    <row r="4255" ht="15" customHeight="1" s="104">
      <c r="BA4255" s="201" t="n">
        <v>0</v>
      </c>
    </row>
    <row r="4256" ht="15" customHeight="1" s="104">
      <c r="BA4256" s="201" t="n">
        <v>0</v>
      </c>
    </row>
    <row r="4257" ht="15" customHeight="1" s="104">
      <c r="BA4257" s="201" t="n">
        <v>0</v>
      </c>
    </row>
    <row r="4258" ht="15" customHeight="1" s="104">
      <c r="BA4258" s="201" t="n">
        <v>0</v>
      </c>
    </row>
    <row r="4259" ht="15" customHeight="1" s="104">
      <c r="BA4259" s="201" t="n">
        <v>0</v>
      </c>
    </row>
    <row r="4260" ht="15" customHeight="1" s="104">
      <c r="BA4260" s="201" t="n">
        <v>0</v>
      </c>
    </row>
    <row r="4261" ht="15" customHeight="1" s="104">
      <c r="BA4261" s="201" t="n">
        <v>0</v>
      </c>
    </row>
    <row r="4262" ht="15" customHeight="1" s="104">
      <c r="BA4262" s="201" t="n">
        <v>0</v>
      </c>
    </row>
    <row r="4263" ht="15" customHeight="1" s="104">
      <c r="BA4263" s="201" t="n">
        <v>0</v>
      </c>
    </row>
    <row r="4264" ht="15" customHeight="1" s="104">
      <c r="BA4264" s="201" t="n">
        <v>0</v>
      </c>
    </row>
    <row r="4265" ht="15" customHeight="1" s="104">
      <c r="BA4265" s="201" t="n">
        <v>0</v>
      </c>
    </row>
    <row r="4266" ht="15" customHeight="1" s="104">
      <c r="BA4266" s="201" t="n">
        <v>0</v>
      </c>
    </row>
    <row r="4267" ht="15" customHeight="1" s="104">
      <c r="BA4267" s="201" t="n">
        <v>0</v>
      </c>
    </row>
    <row r="4268" ht="15" customHeight="1" s="104">
      <c r="BA4268" s="201" t="n">
        <v>0</v>
      </c>
    </row>
    <row r="4269" ht="15" customHeight="1" s="104">
      <c r="BA4269" s="201" t="n">
        <v>0</v>
      </c>
    </row>
    <row r="4270" ht="15" customHeight="1" s="104">
      <c r="BA4270" s="201" t="n">
        <v>0</v>
      </c>
    </row>
    <row r="4271" ht="15" customHeight="1" s="104">
      <c r="BA4271" s="201" t="n">
        <v>0</v>
      </c>
    </row>
    <row r="4272" ht="15" customHeight="1" s="104">
      <c r="BA4272" s="201" t="n">
        <v>0</v>
      </c>
    </row>
    <row r="4273" ht="15" customHeight="1" s="104">
      <c r="BA4273" s="201" t="n">
        <v>0</v>
      </c>
    </row>
    <row r="4274" ht="15" customHeight="1" s="104">
      <c r="BA4274" s="201" t="n">
        <v>0</v>
      </c>
    </row>
    <row r="4275" ht="15" customHeight="1" s="104">
      <c r="BA4275" s="201" t="n">
        <v>0</v>
      </c>
    </row>
    <row r="4276" ht="15" customHeight="1" s="104">
      <c r="BA4276" s="201" t="n">
        <v>0</v>
      </c>
    </row>
    <row r="4277" ht="15" customHeight="1" s="104">
      <c r="BA4277" s="201" t="n">
        <v>0</v>
      </c>
    </row>
    <row r="4278" ht="15" customHeight="1" s="104">
      <c r="BA4278" s="201" t="n">
        <v>0</v>
      </c>
    </row>
    <row r="4279" ht="15" customHeight="1" s="104">
      <c r="BA4279" s="201" t="n">
        <v>0</v>
      </c>
    </row>
    <row r="4280" ht="15" customHeight="1" s="104">
      <c r="BA4280" s="201" t="n">
        <v>0</v>
      </c>
    </row>
    <row r="4281" ht="15" customHeight="1" s="104">
      <c r="BA4281" s="201" t="n">
        <v>0</v>
      </c>
    </row>
    <row r="4282" ht="15" customHeight="1" s="104">
      <c r="BA4282" s="201" t="n">
        <v>0</v>
      </c>
    </row>
    <row r="4283" ht="15" customHeight="1" s="104">
      <c r="BA4283" s="201" t="n">
        <v>0</v>
      </c>
    </row>
    <row r="4284" ht="15" customHeight="1" s="104">
      <c r="BA4284" s="201" t="n">
        <v>0</v>
      </c>
    </row>
    <row r="4285" ht="15" customHeight="1" s="104">
      <c r="BA4285" s="201" t="n">
        <v>0</v>
      </c>
    </row>
    <row r="4286" ht="15" customHeight="1" s="104">
      <c r="BA4286" s="201" t="n">
        <v>0</v>
      </c>
    </row>
    <row r="4287" ht="15" customHeight="1" s="104">
      <c r="BA4287" s="201" t="n">
        <v>0</v>
      </c>
    </row>
    <row r="4288" ht="15" customHeight="1" s="104">
      <c r="BA4288" s="201" t="n">
        <v>0</v>
      </c>
    </row>
    <row r="4289" ht="15" customHeight="1" s="104">
      <c r="BA4289" s="201" t="n">
        <v>0</v>
      </c>
    </row>
    <row r="4290" ht="15" customHeight="1" s="104">
      <c r="BA4290" s="201" t="n">
        <v>0</v>
      </c>
    </row>
    <row r="4291" ht="15" customHeight="1" s="104">
      <c r="BA4291" s="201" t="n">
        <v>0</v>
      </c>
    </row>
    <row r="4292" ht="15" customHeight="1" s="104">
      <c r="BA4292" s="201" t="n">
        <v>0</v>
      </c>
    </row>
    <row r="4293" ht="15" customHeight="1" s="104">
      <c r="BA4293" s="201" t="n">
        <v>0</v>
      </c>
    </row>
    <row r="4294" ht="15" customHeight="1" s="104">
      <c r="BA4294" s="201" t="n">
        <v>0</v>
      </c>
    </row>
    <row r="4295" ht="15" customHeight="1" s="104">
      <c r="BA4295" s="201" t="n">
        <v>0</v>
      </c>
    </row>
    <row r="4296" ht="15" customHeight="1" s="104">
      <c r="BA4296" s="201" t="n">
        <v>0</v>
      </c>
    </row>
    <row r="4297" ht="15" customHeight="1" s="104">
      <c r="BA4297" s="201" t="n">
        <v>0</v>
      </c>
    </row>
    <row r="4298" ht="15" customHeight="1" s="104">
      <c r="BA4298" s="201" t="n">
        <v>0</v>
      </c>
    </row>
    <row r="4299" ht="15" customHeight="1" s="104">
      <c r="BA4299" s="201" t="n">
        <v>0</v>
      </c>
    </row>
    <row r="4300" ht="15" customHeight="1" s="104">
      <c r="BA4300" s="201" t="n">
        <v>0</v>
      </c>
    </row>
    <row r="4301" ht="15" customHeight="1" s="104">
      <c r="BA4301" s="201" t="n">
        <v>0</v>
      </c>
    </row>
    <row r="4302" ht="15" customHeight="1" s="104">
      <c r="BA4302" s="201" t="n">
        <v>0</v>
      </c>
    </row>
    <row r="4303" ht="15" customHeight="1" s="104">
      <c r="BA4303" s="201" t="n">
        <v>0</v>
      </c>
    </row>
    <row r="4304" ht="15" customHeight="1" s="104">
      <c r="BA4304" s="201" t="n">
        <v>0</v>
      </c>
    </row>
    <row r="4305" ht="15" customHeight="1" s="104">
      <c r="BA4305" s="201" t="n">
        <v>0</v>
      </c>
    </row>
    <row r="4306" ht="15" customHeight="1" s="104">
      <c r="BA4306" s="201" t="n">
        <v>0</v>
      </c>
    </row>
    <row r="4307" ht="15" customHeight="1" s="104">
      <c r="BA4307" s="201" t="n">
        <v>0</v>
      </c>
    </row>
    <row r="4308" ht="15" customHeight="1" s="104">
      <c r="BA4308" s="201" t="n">
        <v>0</v>
      </c>
    </row>
    <row r="4309" ht="15" customHeight="1" s="104">
      <c r="BA4309" s="201" t="n">
        <v>0</v>
      </c>
    </row>
    <row r="4310" ht="15" customHeight="1" s="104">
      <c r="BA4310" s="201" t="n">
        <v>0</v>
      </c>
    </row>
    <row r="4311" ht="15" customHeight="1" s="104">
      <c r="BA4311" s="201" t="n">
        <v>0</v>
      </c>
    </row>
    <row r="4312" ht="15" customHeight="1" s="104">
      <c r="BA4312" s="201" t="n">
        <v>0</v>
      </c>
    </row>
    <row r="4313" ht="15" customHeight="1" s="104">
      <c r="BA4313" s="201" t="n">
        <v>0</v>
      </c>
    </row>
    <row r="4314" ht="15" customHeight="1" s="104">
      <c r="BA4314" s="201" t="n">
        <v>0</v>
      </c>
    </row>
    <row r="4315" ht="15" customHeight="1" s="104">
      <c r="BA4315" s="201" t="n">
        <v>0</v>
      </c>
    </row>
    <row r="4316" ht="15" customHeight="1" s="104">
      <c r="BA4316" s="201" t="n">
        <v>0</v>
      </c>
    </row>
    <row r="4317" ht="15" customHeight="1" s="104">
      <c r="BA4317" s="201" t="n">
        <v>0</v>
      </c>
    </row>
    <row r="4318" ht="15" customHeight="1" s="104">
      <c r="BA4318" s="201" t="n">
        <v>0</v>
      </c>
    </row>
    <row r="4319" ht="15" customHeight="1" s="104">
      <c r="BA4319" s="201" t="n">
        <v>0</v>
      </c>
    </row>
    <row r="4320" ht="15" customHeight="1" s="104">
      <c r="BA4320" s="201" t="n">
        <v>0</v>
      </c>
    </row>
    <row r="4321" ht="15" customHeight="1" s="104">
      <c r="BA4321" s="201" t="n">
        <v>0</v>
      </c>
    </row>
    <row r="4322" ht="15" customHeight="1" s="104">
      <c r="BA4322" s="201" t="n">
        <v>0</v>
      </c>
    </row>
    <row r="4323" ht="15" customHeight="1" s="104">
      <c r="BA4323" s="201" t="n">
        <v>0</v>
      </c>
    </row>
    <row r="4324" ht="15" customHeight="1" s="104">
      <c r="BA4324" s="201" t="n">
        <v>0</v>
      </c>
    </row>
    <row r="4325" ht="15" customHeight="1" s="104">
      <c r="BA4325" s="201" t="n">
        <v>0</v>
      </c>
    </row>
    <row r="4326" ht="15" customHeight="1" s="104">
      <c r="BA4326" s="201" t="n">
        <v>0</v>
      </c>
    </row>
    <row r="4327" ht="15" customHeight="1" s="104">
      <c r="BA4327" s="201" t="n">
        <v>0</v>
      </c>
    </row>
    <row r="4328" ht="15" customHeight="1" s="104">
      <c r="BA4328" s="201" t="n">
        <v>0</v>
      </c>
    </row>
    <row r="4329" ht="15" customHeight="1" s="104">
      <c r="BA4329" s="201" t="n">
        <v>0</v>
      </c>
    </row>
    <row r="4330" ht="15" customHeight="1" s="104">
      <c r="BA4330" s="201" t="n">
        <v>0</v>
      </c>
    </row>
    <row r="4331" ht="15" customHeight="1" s="104">
      <c r="BA4331" s="201" t="n">
        <v>0</v>
      </c>
    </row>
    <row r="4332" ht="15" customHeight="1" s="104">
      <c r="BA4332" s="201" t="n">
        <v>0</v>
      </c>
    </row>
    <row r="4333" ht="15" customHeight="1" s="104">
      <c r="BA4333" s="201" t="n">
        <v>0</v>
      </c>
    </row>
    <row r="4334" ht="15" customHeight="1" s="104">
      <c r="BA4334" s="201" t="n">
        <v>0</v>
      </c>
    </row>
    <row r="4335" ht="15" customHeight="1" s="104">
      <c r="BA4335" s="201" t="n">
        <v>0</v>
      </c>
    </row>
    <row r="4336" ht="15" customHeight="1" s="104">
      <c r="BA4336" s="201" t="n">
        <v>0</v>
      </c>
    </row>
    <row r="4337" ht="15" customHeight="1" s="104">
      <c r="BA4337" s="201" t="n">
        <v>0</v>
      </c>
    </row>
    <row r="4338" ht="15" customHeight="1" s="104">
      <c r="BA4338" s="201" t="n">
        <v>0</v>
      </c>
    </row>
    <row r="4339" ht="15" customHeight="1" s="104">
      <c r="BA4339" s="201" t="n">
        <v>0</v>
      </c>
    </row>
    <row r="4340" ht="15" customHeight="1" s="104">
      <c r="BA4340" s="201" t="n">
        <v>0</v>
      </c>
    </row>
    <row r="4341" ht="15" customHeight="1" s="104">
      <c r="BA4341" s="201" t="n">
        <v>0</v>
      </c>
    </row>
    <row r="4342" ht="15" customHeight="1" s="104">
      <c r="BA4342" s="201" t="n">
        <v>0</v>
      </c>
    </row>
    <row r="4343" ht="15" customHeight="1" s="104">
      <c r="BA4343" s="201" t="n">
        <v>0</v>
      </c>
    </row>
    <row r="4344" ht="15" customHeight="1" s="104">
      <c r="BA4344" s="201" t="n">
        <v>0</v>
      </c>
    </row>
    <row r="4345" ht="15" customHeight="1" s="104">
      <c r="BA4345" s="201" t="n">
        <v>0</v>
      </c>
    </row>
    <row r="4346" ht="15" customHeight="1" s="104">
      <c r="BA4346" s="201" t="n">
        <v>0</v>
      </c>
    </row>
    <row r="4347" ht="15" customHeight="1" s="104">
      <c r="BA4347" s="201" t="n">
        <v>0</v>
      </c>
    </row>
    <row r="4348" ht="15" customHeight="1" s="104">
      <c r="BA4348" s="201" t="n">
        <v>0</v>
      </c>
    </row>
    <row r="4349" ht="15" customHeight="1" s="104">
      <c r="BA4349" s="201" t="n">
        <v>0</v>
      </c>
    </row>
    <row r="4350" ht="15" customHeight="1" s="104">
      <c r="BA4350" s="201" t="n">
        <v>0</v>
      </c>
    </row>
    <row r="4351" ht="15" customHeight="1" s="104">
      <c r="BA4351" s="201" t="n">
        <v>0</v>
      </c>
    </row>
    <row r="4352" ht="15" customHeight="1" s="104">
      <c r="BA4352" s="201" t="n">
        <v>0</v>
      </c>
    </row>
    <row r="4353" ht="15" customHeight="1" s="104">
      <c r="BA4353" s="201" t="n">
        <v>0</v>
      </c>
    </row>
    <row r="4354" ht="15" customHeight="1" s="104">
      <c r="BA4354" s="201" t="n">
        <v>0</v>
      </c>
    </row>
    <row r="4355" ht="15" customHeight="1" s="104">
      <c r="BA4355" s="201" t="n">
        <v>0</v>
      </c>
    </row>
    <row r="4356" ht="15" customHeight="1" s="104">
      <c r="BA4356" s="201" t="n">
        <v>0</v>
      </c>
    </row>
    <row r="4357" ht="15" customHeight="1" s="104">
      <c r="BA4357" s="201" t="n">
        <v>0</v>
      </c>
    </row>
    <row r="4358" ht="15" customHeight="1" s="104">
      <c r="BA4358" s="201" t="n">
        <v>0</v>
      </c>
    </row>
    <row r="4359" ht="15" customHeight="1" s="104">
      <c r="BA4359" s="201" t="n">
        <v>0</v>
      </c>
    </row>
    <row r="4360" ht="15" customHeight="1" s="104">
      <c r="BA4360" s="201" t="n">
        <v>0</v>
      </c>
    </row>
    <row r="4361" ht="15" customHeight="1" s="104">
      <c r="BA4361" s="201" t="n">
        <v>0</v>
      </c>
    </row>
    <row r="4362" ht="15" customHeight="1" s="104">
      <c r="BA4362" s="201" t="n">
        <v>0</v>
      </c>
    </row>
    <row r="4363" ht="15" customHeight="1" s="104">
      <c r="BA4363" s="201" t="n">
        <v>0</v>
      </c>
    </row>
    <row r="4364" ht="15" customHeight="1" s="104">
      <c r="BA4364" s="201" t="n">
        <v>0</v>
      </c>
    </row>
    <row r="4365" ht="15" customHeight="1" s="104">
      <c r="BA4365" s="201" t="n">
        <v>0</v>
      </c>
    </row>
    <row r="4366" ht="15" customHeight="1" s="104">
      <c r="BA4366" s="201" t="n">
        <v>0</v>
      </c>
    </row>
    <row r="4367" ht="15" customHeight="1" s="104">
      <c r="BA4367" s="201" t="n">
        <v>0</v>
      </c>
    </row>
    <row r="4368" ht="15" customHeight="1" s="104">
      <c r="BA4368" s="201" t="n">
        <v>0</v>
      </c>
    </row>
    <row r="4369" ht="15" customHeight="1" s="104">
      <c r="BA4369" s="201" t="n">
        <v>0</v>
      </c>
    </row>
    <row r="4370" ht="15" customHeight="1" s="104">
      <c r="BA4370" s="201" t="n">
        <v>0</v>
      </c>
    </row>
    <row r="4371" ht="15" customHeight="1" s="104">
      <c r="BA4371" s="201" t="n">
        <v>0</v>
      </c>
    </row>
    <row r="4372" ht="15" customHeight="1" s="104">
      <c r="BA4372" s="201" t="n">
        <v>0</v>
      </c>
    </row>
    <row r="4373" ht="15" customHeight="1" s="104">
      <c r="BA4373" s="201" t="n">
        <v>0</v>
      </c>
    </row>
    <row r="4374" ht="15" customHeight="1" s="104">
      <c r="BA4374" s="201" t="n">
        <v>0</v>
      </c>
    </row>
    <row r="4375" ht="15" customHeight="1" s="104">
      <c r="BA4375" s="201" t="n">
        <v>0</v>
      </c>
    </row>
    <row r="4376" ht="15" customHeight="1" s="104">
      <c r="BA4376" s="201" t="n">
        <v>0</v>
      </c>
    </row>
    <row r="4377" ht="15" customHeight="1" s="104">
      <c r="BA4377" s="201" t="n">
        <v>0</v>
      </c>
    </row>
    <row r="4378" ht="15" customHeight="1" s="104">
      <c r="BA4378" s="201" t="n">
        <v>0</v>
      </c>
    </row>
    <row r="4379" ht="15" customHeight="1" s="104">
      <c r="BA4379" s="201" t="n">
        <v>0</v>
      </c>
    </row>
    <row r="4380" ht="15" customHeight="1" s="104">
      <c r="BA4380" s="201" t="n">
        <v>0</v>
      </c>
    </row>
    <row r="4381" ht="15" customHeight="1" s="104">
      <c r="BA4381" s="201" t="n">
        <v>0</v>
      </c>
    </row>
    <row r="4382" ht="15" customHeight="1" s="104">
      <c r="BA4382" s="201" t="n">
        <v>0</v>
      </c>
    </row>
    <row r="4383" ht="15" customHeight="1" s="104">
      <c r="BA4383" s="201" t="n">
        <v>0</v>
      </c>
    </row>
    <row r="4384" ht="15" customHeight="1" s="104">
      <c r="BA4384" s="201" t="n">
        <v>0</v>
      </c>
    </row>
    <row r="4385" ht="15" customHeight="1" s="104">
      <c r="BA4385" s="201" t="n">
        <v>0</v>
      </c>
    </row>
    <row r="4386" ht="15" customHeight="1" s="104">
      <c r="BA4386" s="201" t="n">
        <v>0</v>
      </c>
    </row>
    <row r="4387" ht="15" customHeight="1" s="104">
      <c r="BA4387" s="201" t="n">
        <v>0</v>
      </c>
    </row>
    <row r="4388" ht="15" customHeight="1" s="104">
      <c r="BA4388" s="201" t="n">
        <v>0</v>
      </c>
    </row>
    <row r="4389" ht="15" customHeight="1" s="104">
      <c r="BA4389" s="201" t="n">
        <v>0</v>
      </c>
    </row>
    <row r="4390" ht="15" customHeight="1" s="104">
      <c r="BA4390" s="201" t="n">
        <v>0</v>
      </c>
    </row>
    <row r="4391" ht="15" customHeight="1" s="104">
      <c r="BA4391" s="201" t="n">
        <v>0</v>
      </c>
    </row>
    <row r="4392" ht="15" customHeight="1" s="104">
      <c r="BA4392" s="201" t="n">
        <v>0</v>
      </c>
    </row>
    <row r="4393" ht="15" customHeight="1" s="104">
      <c r="BA4393" s="201" t="n">
        <v>0</v>
      </c>
    </row>
    <row r="4394" ht="15" customHeight="1" s="104">
      <c r="BA4394" s="201" t="n">
        <v>0</v>
      </c>
    </row>
    <row r="4395" ht="15" customHeight="1" s="104">
      <c r="BA4395" s="201" t="n">
        <v>0</v>
      </c>
    </row>
    <row r="4396" ht="15" customHeight="1" s="104">
      <c r="BA4396" s="201" t="n">
        <v>0</v>
      </c>
    </row>
    <row r="4397" ht="15" customHeight="1" s="104">
      <c r="BA4397" s="201" t="n">
        <v>0</v>
      </c>
    </row>
    <row r="4398" ht="15" customHeight="1" s="104">
      <c r="BA4398" s="201" t="n">
        <v>0</v>
      </c>
    </row>
    <row r="4399" ht="15" customHeight="1" s="104">
      <c r="BA4399" s="201" t="n">
        <v>0</v>
      </c>
    </row>
    <row r="4400" ht="15" customHeight="1" s="104">
      <c r="BA4400" s="201" t="n">
        <v>0</v>
      </c>
    </row>
    <row r="4401" ht="15" customHeight="1" s="104">
      <c r="BA4401" s="201" t="n">
        <v>0</v>
      </c>
    </row>
    <row r="4402" ht="15" customHeight="1" s="104">
      <c r="BA4402" s="201" t="n">
        <v>0</v>
      </c>
    </row>
    <row r="4403" ht="15" customHeight="1" s="104">
      <c r="BA4403" s="201" t="n">
        <v>0</v>
      </c>
    </row>
    <row r="4404" ht="15" customHeight="1" s="104">
      <c r="BA4404" s="201" t="n">
        <v>0</v>
      </c>
    </row>
    <row r="4405" ht="15" customHeight="1" s="104">
      <c r="BA4405" s="201" t="n">
        <v>0</v>
      </c>
    </row>
    <row r="4406" ht="15" customHeight="1" s="104">
      <c r="BA4406" s="201" t="n">
        <v>0</v>
      </c>
    </row>
    <row r="4407" ht="15" customHeight="1" s="104">
      <c r="BA4407" s="201" t="n">
        <v>0</v>
      </c>
    </row>
    <row r="4408" ht="15" customHeight="1" s="104">
      <c r="BA4408" s="201" t="n">
        <v>0</v>
      </c>
    </row>
    <row r="4409" ht="15" customHeight="1" s="104">
      <c r="BA4409" s="201" t="n">
        <v>0</v>
      </c>
    </row>
    <row r="4410" ht="15" customHeight="1" s="104">
      <c r="BA4410" s="201" t="n">
        <v>0</v>
      </c>
    </row>
    <row r="4411" ht="15" customHeight="1" s="104">
      <c r="BA4411" s="201" t="n">
        <v>0</v>
      </c>
    </row>
    <row r="4412" ht="15" customHeight="1" s="104">
      <c r="BA4412" s="201" t="n">
        <v>0</v>
      </c>
    </row>
    <row r="4413" ht="15" customHeight="1" s="104">
      <c r="BA4413" s="201" t="n">
        <v>0</v>
      </c>
    </row>
    <row r="4414" ht="15" customHeight="1" s="104">
      <c r="BA4414" s="201" t="n">
        <v>0</v>
      </c>
    </row>
    <row r="4415" ht="15" customHeight="1" s="104">
      <c r="BA4415" s="201" t="n">
        <v>0</v>
      </c>
    </row>
    <row r="4416" ht="15" customHeight="1" s="104">
      <c r="BA4416" s="201" t="n">
        <v>0</v>
      </c>
    </row>
    <row r="4417" ht="15" customHeight="1" s="104">
      <c r="BA4417" s="201" t="n">
        <v>0</v>
      </c>
    </row>
    <row r="4418" ht="15" customHeight="1" s="104">
      <c r="BA4418" s="201" t="n">
        <v>0</v>
      </c>
    </row>
    <row r="4419" ht="15" customHeight="1" s="104">
      <c r="BA4419" s="201" t="n">
        <v>0</v>
      </c>
    </row>
    <row r="4420" ht="15" customHeight="1" s="104">
      <c r="BA4420" s="201" t="n">
        <v>0</v>
      </c>
    </row>
    <row r="4421" ht="15" customHeight="1" s="104">
      <c r="BA4421" s="201" t="n">
        <v>0</v>
      </c>
    </row>
    <row r="4422" ht="15" customHeight="1" s="104">
      <c r="BA4422" s="201" t="n">
        <v>0</v>
      </c>
    </row>
    <row r="4423" ht="15" customHeight="1" s="104">
      <c r="BA4423" s="201" t="n">
        <v>0</v>
      </c>
    </row>
    <row r="4424" ht="15" customHeight="1" s="104">
      <c r="BA4424" s="201" t="n">
        <v>0</v>
      </c>
    </row>
    <row r="4425" ht="15" customHeight="1" s="104">
      <c r="BA4425" s="201" t="n">
        <v>0</v>
      </c>
    </row>
    <row r="4426" ht="15" customHeight="1" s="104">
      <c r="BA4426" s="201" t="n">
        <v>0</v>
      </c>
    </row>
    <row r="4427" ht="15" customHeight="1" s="104">
      <c r="BA4427" s="201" t="n">
        <v>0</v>
      </c>
    </row>
    <row r="4428" ht="15" customHeight="1" s="104">
      <c r="BA4428" s="201" t="n">
        <v>0</v>
      </c>
    </row>
    <row r="4429" ht="15" customHeight="1" s="104">
      <c r="BA4429" s="201" t="n">
        <v>0</v>
      </c>
    </row>
    <row r="4430" ht="15" customHeight="1" s="104">
      <c r="BA4430" s="201" t="n">
        <v>0</v>
      </c>
    </row>
    <row r="4431" ht="15" customHeight="1" s="104">
      <c r="BA4431" s="201" t="n">
        <v>0</v>
      </c>
    </row>
    <row r="4432" ht="15" customHeight="1" s="104">
      <c r="BA4432" s="201" t="n">
        <v>0</v>
      </c>
    </row>
    <row r="4433" ht="15" customHeight="1" s="104">
      <c r="BA4433" s="201" t="n">
        <v>0</v>
      </c>
    </row>
    <row r="4434" ht="15" customHeight="1" s="104">
      <c r="BA4434" s="201" t="n">
        <v>0</v>
      </c>
    </row>
    <row r="4435" ht="15" customHeight="1" s="104">
      <c r="BA4435" s="201" t="n">
        <v>0</v>
      </c>
    </row>
    <row r="4436" ht="15" customHeight="1" s="104">
      <c r="BA4436" s="201" t="n">
        <v>0</v>
      </c>
    </row>
    <row r="4437" ht="15" customHeight="1" s="104">
      <c r="BA4437" s="201" t="n">
        <v>0</v>
      </c>
    </row>
    <row r="4438" ht="15" customHeight="1" s="104">
      <c r="BA4438" s="201" t="n">
        <v>0</v>
      </c>
    </row>
    <row r="4439" ht="15" customHeight="1" s="104">
      <c r="BA4439" s="201" t="n">
        <v>0</v>
      </c>
    </row>
    <row r="4440" ht="15" customHeight="1" s="104">
      <c r="BA4440" s="201" t="n">
        <v>0</v>
      </c>
    </row>
    <row r="4441" ht="15" customHeight="1" s="104">
      <c r="BA4441" s="201" t="n">
        <v>0</v>
      </c>
    </row>
    <row r="4442" ht="15" customHeight="1" s="104">
      <c r="BA4442" s="201" t="n">
        <v>0</v>
      </c>
    </row>
    <row r="4443" ht="15" customHeight="1" s="104">
      <c r="BA4443" s="201" t="n">
        <v>0</v>
      </c>
    </row>
    <row r="4444" ht="15" customHeight="1" s="104">
      <c r="BA4444" s="201" t="n">
        <v>0</v>
      </c>
    </row>
    <row r="4445" ht="15" customHeight="1" s="104">
      <c r="BA4445" s="201" t="n">
        <v>0</v>
      </c>
    </row>
    <row r="4446" ht="15" customHeight="1" s="104">
      <c r="BA4446" s="201" t="n">
        <v>0</v>
      </c>
    </row>
    <row r="4447" ht="15" customHeight="1" s="104">
      <c r="BA4447" s="201" t="n">
        <v>0</v>
      </c>
    </row>
    <row r="4448" ht="15" customHeight="1" s="104">
      <c r="BA4448" s="201" t="n">
        <v>0</v>
      </c>
    </row>
    <row r="4449" ht="15" customHeight="1" s="104">
      <c r="BA4449" s="201" t="n">
        <v>0</v>
      </c>
    </row>
    <row r="4450" ht="15" customHeight="1" s="104">
      <c r="BA4450" s="201" t="n">
        <v>0</v>
      </c>
    </row>
    <row r="4451" ht="15" customHeight="1" s="104">
      <c r="BA4451" s="201" t="n">
        <v>0</v>
      </c>
    </row>
    <row r="4452" ht="15" customHeight="1" s="104">
      <c r="BA4452" s="201" t="n">
        <v>0</v>
      </c>
    </row>
    <row r="4453" ht="15" customHeight="1" s="104">
      <c r="BA4453" s="201" t="n">
        <v>0</v>
      </c>
    </row>
    <row r="4454" ht="15" customHeight="1" s="104">
      <c r="BA4454" s="201" t="n">
        <v>0</v>
      </c>
    </row>
    <row r="4455" ht="15" customHeight="1" s="104">
      <c r="BA4455" s="201" t="n">
        <v>0</v>
      </c>
    </row>
    <row r="4456" ht="15" customHeight="1" s="104">
      <c r="BA4456" s="201" t="n">
        <v>0</v>
      </c>
    </row>
    <row r="4457" ht="15" customHeight="1" s="104">
      <c r="BA4457" s="201" t="n">
        <v>0</v>
      </c>
    </row>
    <row r="4458" ht="15" customHeight="1" s="104">
      <c r="BA4458" s="201" t="n">
        <v>0</v>
      </c>
    </row>
    <row r="4459" ht="15" customHeight="1" s="104">
      <c r="BA4459" s="201" t="n">
        <v>0</v>
      </c>
    </row>
    <row r="4460" ht="15" customHeight="1" s="104">
      <c r="BA4460" s="201" t="n">
        <v>0</v>
      </c>
    </row>
    <row r="4461" ht="15" customHeight="1" s="104">
      <c r="BA4461" s="201" t="n">
        <v>0</v>
      </c>
    </row>
    <row r="4462" ht="15" customHeight="1" s="104">
      <c r="BA4462" s="201" t="n">
        <v>0</v>
      </c>
    </row>
    <row r="4463" ht="15" customHeight="1" s="104">
      <c r="BA4463" s="201" t="n">
        <v>0</v>
      </c>
    </row>
    <row r="4464" ht="15" customHeight="1" s="104">
      <c r="BA4464" s="201" t="n">
        <v>0</v>
      </c>
    </row>
    <row r="4465" ht="15" customHeight="1" s="104">
      <c r="BA4465" s="201" t="n">
        <v>0</v>
      </c>
    </row>
    <row r="4466" ht="15" customHeight="1" s="104">
      <c r="BA4466" s="201" t="n">
        <v>0</v>
      </c>
    </row>
    <row r="4467" ht="15" customHeight="1" s="104">
      <c r="BA4467" s="201" t="n">
        <v>0</v>
      </c>
    </row>
    <row r="4468" ht="15" customHeight="1" s="104">
      <c r="BA4468" s="201" t="n">
        <v>0</v>
      </c>
    </row>
    <row r="4469" ht="15" customHeight="1" s="104">
      <c r="BA4469" s="201" t="n">
        <v>0</v>
      </c>
    </row>
    <row r="4470" ht="15" customHeight="1" s="104">
      <c r="BA4470" s="201" t="n">
        <v>0</v>
      </c>
    </row>
    <row r="4471" ht="15" customHeight="1" s="104">
      <c r="BA4471" s="201" t="n">
        <v>0</v>
      </c>
    </row>
    <row r="4472" ht="15" customHeight="1" s="104">
      <c r="BA4472" s="201" t="n">
        <v>0</v>
      </c>
    </row>
    <row r="4473" ht="15" customHeight="1" s="104">
      <c r="BA4473" s="201" t="n">
        <v>0</v>
      </c>
    </row>
    <row r="4474" ht="15" customHeight="1" s="104">
      <c r="BA4474" s="201" t="n">
        <v>0</v>
      </c>
    </row>
    <row r="4475" ht="15" customHeight="1" s="104">
      <c r="BA4475" s="201" t="n">
        <v>0</v>
      </c>
    </row>
    <row r="4476" ht="15" customHeight="1" s="104">
      <c r="BA4476" s="201" t="n">
        <v>0</v>
      </c>
    </row>
    <row r="4477" ht="15" customHeight="1" s="104">
      <c r="BA4477" s="201" t="n">
        <v>0</v>
      </c>
    </row>
    <row r="4478" ht="15" customHeight="1" s="104">
      <c r="BA4478" s="201" t="n">
        <v>0</v>
      </c>
    </row>
    <row r="4479" ht="15" customHeight="1" s="104">
      <c r="BA4479" s="201" t="n">
        <v>0</v>
      </c>
    </row>
    <row r="4480" ht="15" customHeight="1" s="104">
      <c r="BA4480" s="201" t="n">
        <v>0</v>
      </c>
    </row>
    <row r="4481" ht="15" customHeight="1" s="104">
      <c r="BA4481" s="201" t="n">
        <v>0</v>
      </c>
    </row>
    <row r="4482" ht="15" customHeight="1" s="104">
      <c r="BA4482" s="201" t="n">
        <v>0</v>
      </c>
    </row>
    <row r="4483" ht="15" customHeight="1" s="104">
      <c r="BA4483" s="201" t="n">
        <v>0</v>
      </c>
    </row>
    <row r="4484" ht="15" customHeight="1" s="104">
      <c r="BA4484" s="201" t="n">
        <v>0</v>
      </c>
    </row>
    <row r="4485" ht="15" customHeight="1" s="104">
      <c r="BA4485" s="201" t="n">
        <v>0</v>
      </c>
    </row>
    <row r="4486" ht="15" customHeight="1" s="104">
      <c r="BA4486" s="201" t="n">
        <v>0</v>
      </c>
    </row>
    <row r="4487" ht="15" customHeight="1" s="104">
      <c r="BA4487" s="201" t="n">
        <v>0</v>
      </c>
    </row>
    <row r="4488" ht="15" customHeight="1" s="104">
      <c r="BA4488" s="201" t="n">
        <v>0</v>
      </c>
    </row>
    <row r="4489" ht="15" customHeight="1" s="104">
      <c r="BA4489" s="201" t="n">
        <v>0</v>
      </c>
    </row>
    <row r="4490" ht="15" customHeight="1" s="104">
      <c r="BA4490" s="201" t="n">
        <v>0</v>
      </c>
    </row>
    <row r="4491" ht="15" customHeight="1" s="104">
      <c r="BA4491" s="201" t="n">
        <v>0</v>
      </c>
    </row>
    <row r="4492" ht="15" customHeight="1" s="104">
      <c r="BA4492" s="201" t="n">
        <v>0</v>
      </c>
    </row>
    <row r="4493" ht="15" customHeight="1" s="104">
      <c r="BA4493" s="201" t="n">
        <v>0</v>
      </c>
    </row>
    <row r="4494" ht="15" customHeight="1" s="104">
      <c r="BA4494" s="201" t="n">
        <v>0</v>
      </c>
    </row>
    <row r="4495" ht="15" customHeight="1" s="104">
      <c r="BA4495" s="201" t="n">
        <v>0</v>
      </c>
    </row>
    <row r="4496" ht="15" customHeight="1" s="104">
      <c r="BA4496" s="201" t="n">
        <v>0</v>
      </c>
    </row>
    <row r="4497" ht="15" customHeight="1" s="104">
      <c r="BA4497" s="201" t="n">
        <v>0</v>
      </c>
    </row>
    <row r="4498" ht="15" customHeight="1" s="104">
      <c r="BA4498" s="201" t="n">
        <v>0</v>
      </c>
    </row>
    <row r="4499" ht="15" customHeight="1" s="104">
      <c r="BA4499" s="201" t="n">
        <v>0</v>
      </c>
    </row>
    <row r="4500" ht="15" customHeight="1" s="104">
      <c r="BA4500" s="201" t="n">
        <v>0</v>
      </c>
    </row>
    <row r="4501" ht="15" customHeight="1" s="104">
      <c r="BA4501" s="201" t="n">
        <v>0</v>
      </c>
    </row>
    <row r="4502" ht="15" customHeight="1" s="104">
      <c r="BA4502" s="201" t="n">
        <v>0</v>
      </c>
    </row>
    <row r="4503" ht="15" customHeight="1" s="104">
      <c r="BA4503" s="201" t="n">
        <v>0</v>
      </c>
    </row>
    <row r="4504" ht="15" customHeight="1" s="104">
      <c r="BA4504" s="201" t="n">
        <v>0</v>
      </c>
    </row>
    <row r="4505" ht="15" customHeight="1" s="104">
      <c r="BA4505" s="201" t="n">
        <v>0</v>
      </c>
    </row>
    <row r="4506" ht="15" customHeight="1" s="104">
      <c r="BA4506" s="201" t="n">
        <v>0</v>
      </c>
    </row>
    <row r="4507" ht="15" customHeight="1" s="104">
      <c r="BA4507" s="201" t="n">
        <v>0</v>
      </c>
    </row>
    <row r="4508" ht="15" customHeight="1" s="104">
      <c r="BA4508" s="201" t="n">
        <v>0</v>
      </c>
    </row>
    <row r="4509" ht="15" customHeight="1" s="104">
      <c r="BA4509" s="201" t="n">
        <v>0</v>
      </c>
    </row>
    <row r="4510" ht="15" customHeight="1" s="104">
      <c r="BA4510" s="201" t="n">
        <v>0</v>
      </c>
    </row>
    <row r="4511" ht="15" customHeight="1" s="104">
      <c r="BA4511" s="201" t="n">
        <v>0</v>
      </c>
    </row>
    <row r="4512" ht="15" customHeight="1" s="104">
      <c r="BA4512" s="201" t="n">
        <v>0</v>
      </c>
    </row>
    <row r="4513" ht="15" customHeight="1" s="104">
      <c r="BA4513" s="201" t="n">
        <v>0</v>
      </c>
    </row>
    <row r="4514" ht="15" customHeight="1" s="104">
      <c r="BA4514" s="201" t="n">
        <v>0</v>
      </c>
    </row>
    <row r="4515" ht="15" customHeight="1" s="104">
      <c r="BA4515" s="201" t="n">
        <v>0</v>
      </c>
    </row>
    <row r="4516" ht="15" customHeight="1" s="104">
      <c r="BA4516" s="201" t="n">
        <v>0</v>
      </c>
    </row>
    <row r="4517" ht="15" customHeight="1" s="104">
      <c r="BA4517" s="201" t="n">
        <v>0</v>
      </c>
    </row>
    <row r="4518" ht="15" customHeight="1" s="104">
      <c r="BA4518" s="201" t="n">
        <v>0</v>
      </c>
    </row>
    <row r="4519" ht="15" customHeight="1" s="104">
      <c r="BA4519" s="201" t="n">
        <v>0</v>
      </c>
    </row>
    <row r="4520" ht="15" customHeight="1" s="104">
      <c r="BA4520" s="201" t="n">
        <v>0</v>
      </c>
    </row>
    <row r="4521" ht="15" customHeight="1" s="104">
      <c r="BA4521" s="201" t="n">
        <v>0</v>
      </c>
    </row>
    <row r="4522" ht="15" customHeight="1" s="104">
      <c r="BA4522" s="201" t="n">
        <v>0</v>
      </c>
    </row>
    <row r="4523" ht="15" customHeight="1" s="104">
      <c r="BA4523" s="201" t="n">
        <v>0</v>
      </c>
    </row>
    <row r="4524" ht="15" customHeight="1" s="104">
      <c r="BA4524" s="201" t="n">
        <v>0</v>
      </c>
    </row>
    <row r="4525" ht="15" customHeight="1" s="104">
      <c r="BA4525" s="201" t="n">
        <v>0</v>
      </c>
    </row>
    <row r="4526" ht="15" customHeight="1" s="104">
      <c r="BA4526" s="201" t="n">
        <v>0</v>
      </c>
    </row>
    <row r="4527" ht="15" customHeight="1" s="104">
      <c r="BA4527" s="201" t="n">
        <v>0</v>
      </c>
    </row>
    <row r="4528" ht="15" customHeight="1" s="104">
      <c r="BA4528" s="201" t="n">
        <v>0</v>
      </c>
    </row>
    <row r="4529" ht="15" customHeight="1" s="104">
      <c r="BA4529" s="201" t="n">
        <v>0</v>
      </c>
    </row>
    <row r="4530" ht="15" customHeight="1" s="104">
      <c r="BA4530" s="201" t="n">
        <v>0</v>
      </c>
    </row>
    <row r="4531" ht="15" customHeight="1" s="104">
      <c r="BA4531" s="201" t="n">
        <v>0</v>
      </c>
    </row>
    <row r="4532" ht="15" customHeight="1" s="104">
      <c r="BA4532" s="201" t="n">
        <v>0</v>
      </c>
    </row>
    <row r="4533" ht="15" customHeight="1" s="104">
      <c r="BA4533" s="201" t="n">
        <v>0</v>
      </c>
    </row>
    <row r="4534" ht="15" customHeight="1" s="104">
      <c r="BA4534" s="201" t="n">
        <v>0</v>
      </c>
    </row>
    <row r="4535" ht="15" customHeight="1" s="104">
      <c r="BA4535" s="201" t="n">
        <v>0</v>
      </c>
    </row>
    <row r="4536" ht="15" customHeight="1" s="104">
      <c r="BA4536" s="201" t="n">
        <v>0</v>
      </c>
    </row>
    <row r="4537" ht="15" customHeight="1" s="104">
      <c r="BA4537" s="201" t="n">
        <v>0</v>
      </c>
    </row>
    <row r="4538" ht="15" customHeight="1" s="104">
      <c r="BA4538" s="201" t="n">
        <v>0</v>
      </c>
    </row>
    <row r="4539" ht="15" customHeight="1" s="104">
      <c r="BA4539" s="201" t="n">
        <v>0</v>
      </c>
    </row>
    <row r="4540" ht="15" customHeight="1" s="104">
      <c r="BA4540" s="201" t="n">
        <v>0</v>
      </c>
    </row>
    <row r="4541" ht="15" customHeight="1" s="104">
      <c r="BA4541" s="201" t="n">
        <v>0</v>
      </c>
    </row>
    <row r="4542" ht="15" customHeight="1" s="104">
      <c r="BA4542" s="201" t="n">
        <v>0</v>
      </c>
    </row>
    <row r="4543" ht="15" customHeight="1" s="104">
      <c r="BA4543" s="201" t="n">
        <v>0</v>
      </c>
    </row>
    <row r="4544" ht="15" customHeight="1" s="104">
      <c r="BA4544" s="201" t="n">
        <v>0</v>
      </c>
    </row>
    <row r="4545" ht="15" customHeight="1" s="104">
      <c r="BA4545" s="201" t="n">
        <v>0</v>
      </c>
    </row>
    <row r="4546" ht="15" customHeight="1" s="104">
      <c r="BA4546" s="201" t="n">
        <v>0</v>
      </c>
    </row>
    <row r="4547" ht="15" customHeight="1" s="104">
      <c r="BA4547" s="201" t="n">
        <v>0</v>
      </c>
    </row>
    <row r="4548" ht="15" customHeight="1" s="104">
      <c r="BA4548" s="201" t="n">
        <v>0</v>
      </c>
    </row>
    <row r="4549" ht="15" customHeight="1" s="104">
      <c r="BA4549" s="201" t="n">
        <v>0</v>
      </c>
    </row>
    <row r="4550" ht="15" customHeight="1" s="104">
      <c r="BA4550" s="201" t="n">
        <v>0</v>
      </c>
    </row>
    <row r="4551" ht="15" customHeight="1" s="104">
      <c r="BA4551" s="201" t="n">
        <v>0</v>
      </c>
    </row>
    <row r="4552" ht="15" customHeight="1" s="104">
      <c r="BA4552" s="201" t="n">
        <v>0</v>
      </c>
    </row>
    <row r="4553" ht="15" customHeight="1" s="104">
      <c r="BA4553" s="201" t="n">
        <v>0</v>
      </c>
    </row>
    <row r="4554" ht="15" customHeight="1" s="104">
      <c r="BA4554" s="201" t="n">
        <v>0</v>
      </c>
    </row>
    <row r="4555" ht="15" customHeight="1" s="104">
      <c r="BA4555" s="201" t="n">
        <v>0</v>
      </c>
    </row>
    <row r="4556" ht="15" customHeight="1" s="104">
      <c r="BA4556" s="201" t="n">
        <v>0</v>
      </c>
    </row>
    <row r="4557" ht="15" customHeight="1" s="104">
      <c r="BA4557" s="201" t="n">
        <v>0</v>
      </c>
    </row>
    <row r="4558" ht="15" customHeight="1" s="104">
      <c r="BA4558" s="201" t="n">
        <v>0</v>
      </c>
    </row>
    <row r="4559" ht="15" customHeight="1" s="104">
      <c r="BA4559" s="201" t="n">
        <v>0</v>
      </c>
    </row>
    <row r="4560" ht="15" customHeight="1" s="104">
      <c r="BA4560" s="201" t="n">
        <v>0</v>
      </c>
    </row>
    <row r="4561" ht="15" customHeight="1" s="104">
      <c r="BA4561" s="201" t="n">
        <v>0</v>
      </c>
    </row>
    <row r="4562" ht="15" customHeight="1" s="104">
      <c r="BA4562" s="201" t="n">
        <v>0</v>
      </c>
    </row>
    <row r="4563" ht="15" customHeight="1" s="104">
      <c r="BA4563" s="201" t="n">
        <v>0</v>
      </c>
    </row>
    <row r="4564" ht="15" customHeight="1" s="104">
      <c r="BA4564" s="201" t="n">
        <v>0</v>
      </c>
    </row>
    <row r="4565" ht="15" customHeight="1" s="104">
      <c r="BA4565" s="201" t="n">
        <v>0</v>
      </c>
    </row>
    <row r="4566" ht="15" customHeight="1" s="104">
      <c r="BA4566" s="201" t="n">
        <v>0</v>
      </c>
    </row>
    <row r="4567" ht="15" customHeight="1" s="104">
      <c r="BA4567" s="201" t="n">
        <v>0</v>
      </c>
    </row>
    <row r="4568" ht="15" customHeight="1" s="104">
      <c r="BA4568" s="201" t="n">
        <v>0</v>
      </c>
    </row>
    <row r="4569" ht="15" customHeight="1" s="104">
      <c r="BA4569" s="201" t="n">
        <v>0</v>
      </c>
    </row>
    <row r="4570" ht="15" customHeight="1" s="104">
      <c r="BA4570" s="201" t="n">
        <v>0</v>
      </c>
    </row>
    <row r="4571" ht="15" customHeight="1" s="104">
      <c r="BA4571" s="201" t="n">
        <v>0</v>
      </c>
    </row>
    <row r="4572" ht="15" customHeight="1" s="104">
      <c r="BA4572" s="201" t="n">
        <v>0</v>
      </c>
    </row>
    <row r="4573" ht="15" customHeight="1" s="104">
      <c r="BA4573" s="201" t="n">
        <v>0</v>
      </c>
    </row>
    <row r="4574" ht="15" customHeight="1" s="104">
      <c r="BA4574" s="201" t="n">
        <v>0</v>
      </c>
    </row>
    <row r="4575" ht="15" customHeight="1" s="104">
      <c r="BA4575" s="201" t="n">
        <v>0</v>
      </c>
    </row>
    <row r="4576" ht="15" customHeight="1" s="104">
      <c r="BA4576" s="201" t="n">
        <v>0</v>
      </c>
    </row>
    <row r="4577" ht="15" customHeight="1" s="104">
      <c r="BA4577" s="201" t="n">
        <v>0</v>
      </c>
    </row>
    <row r="4578" ht="15" customHeight="1" s="104">
      <c r="BA4578" s="201" t="n">
        <v>0</v>
      </c>
    </row>
    <row r="4579" ht="15" customHeight="1" s="104">
      <c r="BA4579" s="201" t="n">
        <v>0</v>
      </c>
    </row>
    <row r="4580" ht="15" customHeight="1" s="104">
      <c r="BA4580" s="201" t="n">
        <v>0</v>
      </c>
    </row>
    <row r="4581" ht="15" customHeight="1" s="104">
      <c r="BA4581" s="201" t="n">
        <v>0</v>
      </c>
    </row>
    <row r="4582" ht="15" customHeight="1" s="104">
      <c r="BA4582" s="201" t="n">
        <v>0</v>
      </c>
    </row>
    <row r="4583" ht="15" customHeight="1" s="104">
      <c r="BA4583" s="201" t="n">
        <v>0</v>
      </c>
    </row>
    <row r="4584" ht="15" customHeight="1" s="104">
      <c r="BA4584" s="201" t="n">
        <v>0</v>
      </c>
    </row>
    <row r="4585" ht="15" customHeight="1" s="104">
      <c r="BA4585" s="201" t="n">
        <v>0</v>
      </c>
    </row>
    <row r="4586" ht="15" customHeight="1" s="104">
      <c r="BA4586" s="201" t="n">
        <v>0</v>
      </c>
    </row>
    <row r="4587" ht="15" customHeight="1" s="104">
      <c r="BA4587" s="201" t="n">
        <v>0</v>
      </c>
    </row>
    <row r="4588" ht="15" customHeight="1" s="104">
      <c r="BA4588" s="201" t="n">
        <v>0</v>
      </c>
    </row>
    <row r="4589" ht="15" customHeight="1" s="104">
      <c r="BA4589" s="201" t="n">
        <v>0</v>
      </c>
    </row>
    <row r="4590" ht="15" customHeight="1" s="104">
      <c r="BA4590" s="201" t="n">
        <v>0</v>
      </c>
    </row>
    <row r="4591" ht="15" customHeight="1" s="104">
      <c r="BA4591" s="201" t="n">
        <v>0</v>
      </c>
    </row>
    <row r="4592" ht="15" customHeight="1" s="104">
      <c r="BA4592" s="201" t="n">
        <v>0</v>
      </c>
    </row>
    <row r="4593" ht="15" customHeight="1" s="104">
      <c r="BA4593" s="201" t="n">
        <v>0</v>
      </c>
    </row>
    <row r="4594" ht="15" customHeight="1" s="104">
      <c r="BA4594" s="201" t="n">
        <v>0</v>
      </c>
    </row>
    <row r="4595" ht="15" customHeight="1" s="104">
      <c r="BA4595" s="201" t="n">
        <v>0</v>
      </c>
    </row>
    <row r="4596" ht="15" customHeight="1" s="104">
      <c r="BA4596" s="201" t="n">
        <v>0</v>
      </c>
    </row>
    <row r="4597" ht="15" customHeight="1" s="104">
      <c r="BA4597" s="201" t="n">
        <v>0</v>
      </c>
    </row>
    <row r="4598" ht="15" customHeight="1" s="104">
      <c r="BA4598" s="201" t="n">
        <v>0</v>
      </c>
    </row>
    <row r="4599" ht="15" customHeight="1" s="104">
      <c r="BA4599" s="201" t="n">
        <v>0</v>
      </c>
    </row>
    <row r="4600" ht="15" customHeight="1" s="104">
      <c r="BA4600" s="201" t="n">
        <v>0</v>
      </c>
    </row>
    <row r="4601" ht="15" customHeight="1" s="104">
      <c r="BA4601" s="201" t="n">
        <v>0</v>
      </c>
    </row>
    <row r="4602" ht="15" customHeight="1" s="104">
      <c r="BA4602" s="201" t="n">
        <v>0</v>
      </c>
    </row>
    <row r="4603" ht="15" customHeight="1" s="104">
      <c r="BA4603" s="201" t="n">
        <v>0</v>
      </c>
    </row>
    <row r="4604" ht="15" customHeight="1" s="104">
      <c r="BA4604" s="201" t="n">
        <v>0</v>
      </c>
    </row>
    <row r="4605" ht="15" customHeight="1" s="104">
      <c r="BA4605" s="201" t="n">
        <v>0</v>
      </c>
    </row>
    <row r="4606" ht="15" customHeight="1" s="104">
      <c r="BA4606" s="201" t="n">
        <v>0</v>
      </c>
    </row>
    <row r="4607" ht="15" customHeight="1" s="104">
      <c r="BA4607" s="201" t="n">
        <v>0</v>
      </c>
    </row>
    <row r="4608" ht="15" customHeight="1" s="104">
      <c r="BA4608" s="201" t="n">
        <v>0</v>
      </c>
    </row>
    <row r="4609" ht="15" customHeight="1" s="104">
      <c r="BA4609" s="201" t="n">
        <v>0</v>
      </c>
    </row>
    <row r="4610" ht="15" customHeight="1" s="104">
      <c r="BA4610" s="201" t="n">
        <v>0</v>
      </c>
    </row>
    <row r="4611" ht="15" customHeight="1" s="104">
      <c r="BA4611" s="201" t="n">
        <v>0</v>
      </c>
    </row>
    <row r="4612" ht="15" customHeight="1" s="104">
      <c r="BA4612" s="201" t="n">
        <v>0</v>
      </c>
    </row>
    <row r="4613" ht="15" customHeight="1" s="104">
      <c r="BA4613" s="201" t="n">
        <v>0</v>
      </c>
    </row>
    <row r="4614" ht="15" customHeight="1" s="104">
      <c r="BA4614" s="201" t="n">
        <v>0</v>
      </c>
    </row>
    <row r="4615" ht="15" customHeight="1" s="104">
      <c r="BA4615" s="201" t="n">
        <v>0</v>
      </c>
    </row>
    <row r="4616" ht="15" customHeight="1" s="104">
      <c r="BA4616" s="201" t="n">
        <v>0</v>
      </c>
    </row>
    <row r="4617" ht="15" customHeight="1" s="104">
      <c r="BA4617" s="201" t="n">
        <v>0</v>
      </c>
    </row>
    <row r="4618" ht="15" customHeight="1" s="104">
      <c r="BA4618" s="201" t="n">
        <v>0</v>
      </c>
    </row>
    <row r="4619" ht="15" customHeight="1" s="104">
      <c r="BA4619" s="201" t="n">
        <v>0</v>
      </c>
    </row>
    <row r="4620" ht="15" customHeight="1" s="104">
      <c r="BA4620" s="201" t="n">
        <v>0</v>
      </c>
    </row>
    <row r="4621" ht="15" customHeight="1" s="104">
      <c r="BA4621" s="201" t="n">
        <v>0</v>
      </c>
    </row>
    <row r="4622" ht="15" customHeight="1" s="104">
      <c r="BA4622" s="201" t="n">
        <v>0</v>
      </c>
    </row>
    <row r="4623" ht="15" customHeight="1" s="104">
      <c r="BA4623" s="201" t="n">
        <v>0</v>
      </c>
    </row>
    <row r="4624" ht="15" customHeight="1" s="104">
      <c r="BA4624" s="201" t="n">
        <v>0</v>
      </c>
    </row>
    <row r="4625" ht="15" customHeight="1" s="104">
      <c r="BA4625" s="201" t="n">
        <v>0</v>
      </c>
    </row>
    <row r="4626" ht="15" customHeight="1" s="104">
      <c r="BA4626" s="201" t="n">
        <v>0</v>
      </c>
    </row>
    <row r="4627" ht="15" customHeight="1" s="104">
      <c r="BA4627" s="201" t="n">
        <v>0</v>
      </c>
    </row>
    <row r="4628" ht="15" customHeight="1" s="104">
      <c r="BA4628" s="201" t="n">
        <v>0</v>
      </c>
    </row>
    <row r="4629" ht="15" customHeight="1" s="104">
      <c r="BA4629" s="201" t="n">
        <v>0</v>
      </c>
    </row>
    <row r="4630" ht="15" customHeight="1" s="104">
      <c r="BA4630" s="201" t="n">
        <v>0</v>
      </c>
    </row>
    <row r="4631" ht="15" customHeight="1" s="104">
      <c r="BA4631" s="201" t="n">
        <v>0</v>
      </c>
    </row>
    <row r="4632" ht="15" customHeight="1" s="104">
      <c r="BA4632" s="201" t="n">
        <v>0</v>
      </c>
    </row>
    <row r="4633" ht="15" customHeight="1" s="104">
      <c r="BA4633" s="201" t="n">
        <v>0</v>
      </c>
    </row>
    <row r="4634" ht="15" customHeight="1" s="104">
      <c r="BA4634" s="201" t="n">
        <v>0</v>
      </c>
    </row>
    <row r="4635" ht="15" customHeight="1" s="104">
      <c r="BA4635" s="201" t="n">
        <v>0</v>
      </c>
    </row>
    <row r="4636" ht="15" customHeight="1" s="104">
      <c r="BA4636" s="201" t="n">
        <v>0</v>
      </c>
    </row>
    <row r="4637" ht="15" customHeight="1" s="104">
      <c r="BA4637" s="201" t="n">
        <v>0</v>
      </c>
    </row>
    <row r="4638" ht="15" customHeight="1" s="104">
      <c r="BA4638" s="201" t="n">
        <v>0</v>
      </c>
    </row>
    <row r="4639" ht="15" customHeight="1" s="104">
      <c r="BA4639" s="201" t="n">
        <v>0</v>
      </c>
    </row>
    <row r="4640" ht="15" customHeight="1" s="104">
      <c r="BA4640" s="201" t="n">
        <v>0</v>
      </c>
    </row>
    <row r="4641" ht="15" customHeight="1" s="104">
      <c r="BA4641" s="201" t="n">
        <v>0</v>
      </c>
    </row>
    <row r="4642" ht="15" customHeight="1" s="104">
      <c r="BA4642" s="201" t="n">
        <v>0</v>
      </c>
    </row>
    <row r="4643" ht="15" customHeight="1" s="104">
      <c r="BA4643" s="201" t="n">
        <v>0</v>
      </c>
    </row>
    <row r="4644" ht="15" customHeight="1" s="104">
      <c r="BA4644" s="201" t="n">
        <v>0</v>
      </c>
    </row>
    <row r="4645" ht="15" customHeight="1" s="104">
      <c r="BA4645" s="201" t="n">
        <v>0</v>
      </c>
    </row>
    <row r="4646" ht="15" customHeight="1" s="104">
      <c r="BA4646" s="201" t="n">
        <v>0</v>
      </c>
    </row>
    <row r="4647" ht="15" customHeight="1" s="104">
      <c r="BA4647" s="201" t="n">
        <v>0</v>
      </c>
    </row>
    <row r="4648" ht="15" customHeight="1" s="104">
      <c r="BA4648" s="201" t="n">
        <v>0</v>
      </c>
    </row>
    <row r="4649" ht="15" customHeight="1" s="104">
      <c r="BA4649" s="201" t="n">
        <v>0</v>
      </c>
    </row>
    <row r="4650" ht="15" customHeight="1" s="104">
      <c r="BA4650" s="201" t="n">
        <v>0</v>
      </c>
    </row>
    <row r="4651" ht="15" customHeight="1" s="104">
      <c r="BA4651" s="201" t="n">
        <v>0</v>
      </c>
    </row>
    <row r="4652" ht="15" customHeight="1" s="104">
      <c r="BA4652" s="201" t="n">
        <v>0</v>
      </c>
    </row>
    <row r="4653" ht="15" customHeight="1" s="104">
      <c r="BA4653" s="201" t="n">
        <v>0</v>
      </c>
    </row>
    <row r="4654" ht="15" customHeight="1" s="104">
      <c r="BA4654" s="201" t="n">
        <v>0</v>
      </c>
    </row>
    <row r="4655" ht="15" customHeight="1" s="104">
      <c r="BA4655" s="201" t="n">
        <v>0</v>
      </c>
    </row>
    <row r="4656" ht="15" customHeight="1" s="104">
      <c r="BA4656" s="201" t="n">
        <v>0</v>
      </c>
    </row>
    <row r="4657" ht="15" customHeight="1" s="104">
      <c r="BA4657" s="201" t="n">
        <v>0</v>
      </c>
    </row>
    <row r="4658" ht="15" customHeight="1" s="104">
      <c r="BA4658" s="201" t="n">
        <v>0</v>
      </c>
    </row>
    <row r="4659" ht="15" customHeight="1" s="104">
      <c r="BA4659" s="201" t="n">
        <v>0</v>
      </c>
    </row>
    <row r="4660" ht="15" customHeight="1" s="104">
      <c r="BA4660" s="201" t="n">
        <v>0</v>
      </c>
    </row>
    <row r="4661" ht="15" customHeight="1" s="104">
      <c r="BA4661" s="201" t="n">
        <v>0</v>
      </c>
    </row>
    <row r="4662" ht="15" customHeight="1" s="104">
      <c r="BA4662" s="201" t="n">
        <v>0</v>
      </c>
    </row>
    <row r="4663" ht="15" customHeight="1" s="104">
      <c r="BA4663" s="201" t="n">
        <v>0</v>
      </c>
    </row>
    <row r="4664" ht="15" customHeight="1" s="104">
      <c r="BA4664" s="201" t="n">
        <v>0</v>
      </c>
    </row>
    <row r="4665" ht="15" customHeight="1" s="104">
      <c r="BA4665" s="201" t="n">
        <v>0</v>
      </c>
    </row>
    <row r="4666" ht="15" customHeight="1" s="104">
      <c r="BA4666" s="201" t="n">
        <v>0</v>
      </c>
    </row>
    <row r="4667" ht="15" customHeight="1" s="104">
      <c r="BA4667" s="201" t="n">
        <v>0</v>
      </c>
    </row>
    <row r="4668" ht="15" customHeight="1" s="104">
      <c r="BA4668" s="201" t="n">
        <v>0</v>
      </c>
    </row>
    <row r="4669" ht="15" customHeight="1" s="104">
      <c r="BA4669" s="201" t="n">
        <v>0</v>
      </c>
    </row>
    <row r="4670" ht="15" customHeight="1" s="104">
      <c r="BA4670" s="201" t="n">
        <v>0</v>
      </c>
    </row>
    <row r="4671" ht="15" customHeight="1" s="104">
      <c r="BA4671" s="201" t="n">
        <v>0</v>
      </c>
    </row>
    <row r="4672" ht="15" customHeight="1" s="104">
      <c r="BA4672" s="201" t="n">
        <v>0</v>
      </c>
    </row>
    <row r="4673" ht="15" customHeight="1" s="104">
      <c r="BA4673" s="201" t="n">
        <v>0</v>
      </c>
    </row>
    <row r="4674" ht="15" customHeight="1" s="104">
      <c r="BA4674" s="201" t="n">
        <v>0</v>
      </c>
    </row>
    <row r="4675" ht="15" customHeight="1" s="104">
      <c r="BA4675" s="201" t="n">
        <v>0</v>
      </c>
    </row>
    <row r="4676" ht="15" customHeight="1" s="104">
      <c r="BA4676" s="201" t="n">
        <v>0</v>
      </c>
    </row>
    <row r="4677" ht="15" customHeight="1" s="104">
      <c r="BA4677" s="201" t="n">
        <v>0</v>
      </c>
    </row>
    <row r="4678" ht="15" customHeight="1" s="104">
      <c r="BA4678" s="201" t="n">
        <v>0</v>
      </c>
    </row>
    <row r="4679" ht="15" customHeight="1" s="104">
      <c r="BA4679" s="201" t="n">
        <v>0</v>
      </c>
    </row>
    <row r="4680" ht="15" customHeight="1" s="104">
      <c r="BA4680" s="201" t="n">
        <v>0</v>
      </c>
    </row>
    <row r="4681" ht="15" customHeight="1" s="104">
      <c r="BA4681" s="201" t="n">
        <v>0</v>
      </c>
    </row>
    <row r="4682" ht="15" customHeight="1" s="104">
      <c r="BA4682" s="201" t="n">
        <v>0</v>
      </c>
    </row>
    <row r="4683" ht="15" customHeight="1" s="104">
      <c r="BA4683" s="201" t="n">
        <v>0</v>
      </c>
    </row>
    <row r="4684" ht="15" customHeight="1" s="104">
      <c r="BA4684" s="201" t="n">
        <v>0</v>
      </c>
    </row>
    <row r="4685" ht="15" customHeight="1" s="104">
      <c r="BA4685" s="201" t="n">
        <v>0</v>
      </c>
    </row>
    <row r="4686" ht="15" customHeight="1" s="104">
      <c r="BA4686" s="201" t="n">
        <v>0</v>
      </c>
    </row>
    <row r="4687" ht="15" customHeight="1" s="104">
      <c r="BA4687" s="201" t="n">
        <v>0</v>
      </c>
    </row>
    <row r="4688" ht="15" customHeight="1" s="104">
      <c r="BA4688" s="201" t="n">
        <v>0</v>
      </c>
    </row>
    <row r="4689" ht="15" customHeight="1" s="104">
      <c r="BA4689" s="201" t="n">
        <v>0</v>
      </c>
    </row>
    <row r="4690" ht="15" customHeight="1" s="104">
      <c r="BA4690" s="201" t="n">
        <v>0</v>
      </c>
    </row>
    <row r="4691" ht="15" customHeight="1" s="104">
      <c r="BA4691" s="201" t="n">
        <v>0</v>
      </c>
    </row>
    <row r="4692" ht="15" customHeight="1" s="104">
      <c r="BA4692" s="201" t="n">
        <v>0</v>
      </c>
    </row>
    <row r="4693" ht="15" customHeight="1" s="104">
      <c r="BA4693" s="201" t="n">
        <v>0</v>
      </c>
    </row>
    <row r="4694" ht="15" customHeight="1" s="104">
      <c r="BA4694" s="201" t="n">
        <v>0</v>
      </c>
    </row>
    <row r="4695" ht="15" customHeight="1" s="104">
      <c r="BA4695" s="201" t="n">
        <v>0</v>
      </c>
    </row>
    <row r="4696" ht="15" customHeight="1" s="104">
      <c r="BA4696" s="201" t="n">
        <v>0</v>
      </c>
    </row>
    <row r="4697" ht="15" customHeight="1" s="104">
      <c r="BA4697" s="201" t="n">
        <v>0</v>
      </c>
    </row>
    <row r="4698" ht="15" customHeight="1" s="104">
      <c r="BA4698" s="201" t="n">
        <v>0</v>
      </c>
    </row>
    <row r="4699" ht="15" customHeight="1" s="104">
      <c r="BA4699" s="201" t="n">
        <v>0</v>
      </c>
    </row>
    <row r="4700" ht="15" customHeight="1" s="104">
      <c r="BA4700" s="201" t="n">
        <v>0</v>
      </c>
    </row>
    <row r="4701" ht="15" customHeight="1" s="104">
      <c r="BA4701" s="201" t="n">
        <v>0</v>
      </c>
    </row>
    <row r="4702" ht="15" customHeight="1" s="104">
      <c r="BA4702" s="201" t="n">
        <v>0</v>
      </c>
    </row>
    <row r="4703" ht="15" customHeight="1" s="104">
      <c r="BA4703" s="201" t="n">
        <v>0</v>
      </c>
    </row>
    <row r="4704" ht="15" customHeight="1" s="104">
      <c r="BA4704" s="201" t="n">
        <v>0</v>
      </c>
    </row>
    <row r="4705" ht="15" customHeight="1" s="104">
      <c r="BA4705" s="201" t="n">
        <v>0</v>
      </c>
    </row>
    <row r="4706" ht="15" customHeight="1" s="104">
      <c r="BA4706" s="201" t="n">
        <v>0</v>
      </c>
    </row>
    <row r="4707" ht="15" customHeight="1" s="104">
      <c r="BA4707" s="201" t="n">
        <v>0</v>
      </c>
    </row>
    <row r="4708" ht="15" customHeight="1" s="104">
      <c r="BA4708" s="201" t="n">
        <v>0</v>
      </c>
    </row>
    <row r="4709" ht="15" customHeight="1" s="104">
      <c r="BA4709" s="201" t="n">
        <v>0</v>
      </c>
    </row>
    <row r="4710" ht="15" customHeight="1" s="104">
      <c r="BA4710" s="201" t="n">
        <v>0</v>
      </c>
    </row>
    <row r="4711" ht="15" customHeight="1" s="104">
      <c r="BA4711" s="201" t="n">
        <v>0</v>
      </c>
    </row>
    <row r="4712" ht="15" customHeight="1" s="104">
      <c r="BA4712" s="201" t="n">
        <v>0</v>
      </c>
    </row>
    <row r="4713" ht="15" customHeight="1" s="104">
      <c r="BA4713" s="201" t="n">
        <v>0</v>
      </c>
    </row>
    <row r="4714" ht="15" customHeight="1" s="104">
      <c r="BA4714" s="201" t="n">
        <v>0</v>
      </c>
    </row>
    <row r="4715" ht="15" customHeight="1" s="104">
      <c r="BA4715" s="201" t="n">
        <v>0</v>
      </c>
    </row>
    <row r="4716" ht="15" customHeight="1" s="104">
      <c r="BA4716" s="201" t="n">
        <v>0</v>
      </c>
    </row>
    <row r="4717" ht="15" customHeight="1" s="104">
      <c r="BA4717" s="201" t="n">
        <v>0</v>
      </c>
    </row>
    <row r="4718" ht="15" customHeight="1" s="104">
      <c r="BA4718" s="201" t="n">
        <v>0</v>
      </c>
    </row>
    <row r="4719" ht="15" customHeight="1" s="104">
      <c r="BA4719" s="201" t="n">
        <v>0</v>
      </c>
    </row>
    <row r="4720" ht="15" customHeight="1" s="104">
      <c r="BA4720" s="201" t="n">
        <v>0</v>
      </c>
    </row>
    <row r="4721" ht="15" customHeight="1" s="104">
      <c r="BA4721" s="201" t="n">
        <v>0</v>
      </c>
    </row>
    <row r="4722" ht="15" customHeight="1" s="104">
      <c r="BA4722" s="201" t="n">
        <v>0</v>
      </c>
    </row>
    <row r="4723" ht="15" customHeight="1" s="104">
      <c r="BA4723" s="201" t="n">
        <v>0</v>
      </c>
    </row>
    <row r="4724" ht="15" customHeight="1" s="104">
      <c r="BA4724" s="201" t="n">
        <v>0</v>
      </c>
    </row>
    <row r="4725" ht="15" customHeight="1" s="104">
      <c r="BA4725" s="201" t="n">
        <v>0</v>
      </c>
    </row>
    <row r="4726" ht="15" customHeight="1" s="104">
      <c r="BA4726" s="201" t="n">
        <v>0</v>
      </c>
    </row>
    <row r="4727" ht="15" customHeight="1" s="104">
      <c r="BA4727" s="201" t="n">
        <v>0</v>
      </c>
    </row>
    <row r="4728" ht="15" customHeight="1" s="104">
      <c r="BA4728" s="201" t="n">
        <v>0</v>
      </c>
    </row>
    <row r="4729" ht="15" customHeight="1" s="104">
      <c r="BA4729" s="201" t="n">
        <v>0</v>
      </c>
    </row>
    <row r="4730" ht="15" customHeight="1" s="104">
      <c r="BA4730" s="201" t="n">
        <v>0</v>
      </c>
    </row>
    <row r="4731" ht="15" customHeight="1" s="104">
      <c r="BA4731" s="201" t="n">
        <v>0</v>
      </c>
    </row>
    <row r="4732" ht="15" customHeight="1" s="104">
      <c r="BA4732" s="201" t="n">
        <v>0</v>
      </c>
    </row>
    <row r="4733" ht="15" customHeight="1" s="104">
      <c r="BA4733" s="201" t="n">
        <v>0</v>
      </c>
    </row>
    <row r="4734" ht="15" customHeight="1" s="104">
      <c r="BA4734" s="201" t="n">
        <v>0</v>
      </c>
    </row>
    <row r="4735" ht="15" customHeight="1" s="104">
      <c r="BA4735" s="201" t="n">
        <v>0</v>
      </c>
    </row>
    <row r="4736" ht="15" customHeight="1" s="104">
      <c r="BA4736" s="201" t="n">
        <v>0</v>
      </c>
    </row>
    <row r="4737" ht="15" customHeight="1" s="104">
      <c r="BA4737" s="201" t="n">
        <v>0</v>
      </c>
    </row>
    <row r="4738" ht="15" customHeight="1" s="104">
      <c r="BA4738" s="201" t="n">
        <v>0</v>
      </c>
    </row>
    <row r="4739" ht="15" customHeight="1" s="104">
      <c r="BA4739" s="201" t="n">
        <v>0</v>
      </c>
    </row>
    <row r="4740" ht="15" customHeight="1" s="104">
      <c r="BA4740" s="201" t="n">
        <v>0</v>
      </c>
    </row>
    <row r="4741" ht="15" customHeight="1" s="104">
      <c r="BA4741" s="201" t="n">
        <v>0</v>
      </c>
    </row>
    <row r="4742" ht="15" customHeight="1" s="104">
      <c r="BA4742" s="201" t="n">
        <v>0</v>
      </c>
    </row>
    <row r="4743" ht="15" customHeight="1" s="104">
      <c r="BA4743" s="201" t="n">
        <v>0</v>
      </c>
    </row>
    <row r="4744" ht="15" customHeight="1" s="104">
      <c r="BA4744" s="201" t="n">
        <v>0</v>
      </c>
    </row>
    <row r="4745" ht="15" customHeight="1" s="104">
      <c r="BA4745" s="201" t="n">
        <v>0</v>
      </c>
    </row>
    <row r="4746" ht="15" customHeight="1" s="104">
      <c r="BA4746" s="201" t="n">
        <v>0</v>
      </c>
    </row>
    <row r="4747" ht="15" customHeight="1" s="104">
      <c r="BA4747" s="201" t="n">
        <v>0</v>
      </c>
    </row>
    <row r="4748" ht="15" customHeight="1" s="104">
      <c r="BA4748" s="201" t="n">
        <v>0</v>
      </c>
    </row>
    <row r="4749" ht="15" customHeight="1" s="104">
      <c r="BA4749" s="201" t="n">
        <v>0</v>
      </c>
    </row>
    <row r="4750" ht="15" customHeight="1" s="104">
      <c r="BA4750" s="201" t="n">
        <v>0</v>
      </c>
    </row>
    <row r="4751" ht="15" customHeight="1" s="104">
      <c r="BA4751" s="201" t="n">
        <v>0</v>
      </c>
    </row>
    <row r="4752" ht="15" customHeight="1" s="104">
      <c r="BA4752" s="201" t="n">
        <v>0</v>
      </c>
    </row>
    <row r="4753" ht="15" customHeight="1" s="104">
      <c r="BA4753" s="201" t="n">
        <v>0</v>
      </c>
    </row>
    <row r="4754" ht="15" customHeight="1" s="104">
      <c r="BA4754" s="201" t="n">
        <v>0</v>
      </c>
    </row>
    <row r="4755" ht="15" customHeight="1" s="104">
      <c r="BA4755" s="201" t="n">
        <v>0</v>
      </c>
    </row>
    <row r="4756" ht="15" customHeight="1" s="104">
      <c r="BA4756" s="201" t="n">
        <v>0</v>
      </c>
    </row>
    <row r="4757" ht="15" customHeight="1" s="104">
      <c r="BA4757" s="201" t="n">
        <v>0</v>
      </c>
    </row>
    <row r="4758" ht="15" customHeight="1" s="104">
      <c r="BA4758" s="201" t="n">
        <v>0</v>
      </c>
    </row>
    <row r="4759" ht="15" customHeight="1" s="104">
      <c r="BA4759" s="201" t="n">
        <v>0</v>
      </c>
    </row>
    <row r="4760" ht="15" customHeight="1" s="104">
      <c r="BA4760" s="201" t="n">
        <v>0</v>
      </c>
    </row>
    <row r="4761" ht="15" customHeight="1" s="104">
      <c r="BA4761" s="201" t="n">
        <v>0</v>
      </c>
    </row>
    <row r="4762" ht="15" customHeight="1" s="104">
      <c r="BA4762" s="201" t="n">
        <v>0</v>
      </c>
    </row>
    <row r="4763" ht="15" customHeight="1" s="104">
      <c r="BA4763" s="201" t="n">
        <v>0</v>
      </c>
    </row>
    <row r="4764" ht="15" customHeight="1" s="104">
      <c r="BA4764" s="201" t="n">
        <v>0</v>
      </c>
    </row>
    <row r="4765" ht="15" customHeight="1" s="104">
      <c r="BA4765" s="201" t="n">
        <v>0</v>
      </c>
    </row>
    <row r="4766" ht="15" customHeight="1" s="104">
      <c r="BA4766" s="201" t="n">
        <v>0</v>
      </c>
    </row>
    <row r="4767" ht="15" customHeight="1" s="104">
      <c r="BA4767" s="201" t="n">
        <v>0</v>
      </c>
    </row>
    <row r="4768" ht="15" customHeight="1" s="104">
      <c r="BA4768" s="201" t="n">
        <v>0</v>
      </c>
    </row>
    <row r="4769" ht="15" customHeight="1" s="104">
      <c r="BA4769" s="201" t="n">
        <v>0</v>
      </c>
    </row>
    <row r="4770" ht="15" customHeight="1" s="104">
      <c r="BA4770" s="201" t="n">
        <v>0</v>
      </c>
    </row>
    <row r="4771" ht="15" customHeight="1" s="104">
      <c r="BA4771" s="201" t="n">
        <v>0</v>
      </c>
    </row>
    <row r="4772" ht="15" customHeight="1" s="104">
      <c r="BA4772" s="201" t="n">
        <v>0</v>
      </c>
    </row>
    <row r="4773" ht="15" customHeight="1" s="104">
      <c r="BA4773" s="201" t="n">
        <v>0</v>
      </c>
    </row>
    <row r="4774" ht="15" customHeight="1" s="104">
      <c r="BA4774" s="201" t="n">
        <v>0</v>
      </c>
    </row>
    <row r="4775" ht="15" customHeight="1" s="104">
      <c r="BA4775" s="201" t="n">
        <v>0</v>
      </c>
    </row>
    <row r="4776" ht="15" customHeight="1" s="104">
      <c r="BA4776" s="201" t="n">
        <v>0</v>
      </c>
    </row>
    <row r="4777" ht="15" customHeight="1" s="104">
      <c r="BA4777" s="201" t="n">
        <v>0</v>
      </c>
    </row>
    <row r="4778" ht="15" customHeight="1" s="104">
      <c r="BA4778" s="201" t="n">
        <v>0</v>
      </c>
    </row>
    <row r="4779" ht="15" customHeight="1" s="104">
      <c r="BA4779" s="201" t="n">
        <v>0</v>
      </c>
    </row>
    <row r="4780" ht="15" customHeight="1" s="104">
      <c r="BA4780" s="201" t="n">
        <v>0</v>
      </c>
    </row>
    <row r="4781" ht="15" customHeight="1" s="104">
      <c r="BA4781" s="201" t="n">
        <v>0</v>
      </c>
    </row>
    <row r="4782" ht="15" customHeight="1" s="104">
      <c r="BA4782" s="201" t="n">
        <v>0</v>
      </c>
    </row>
    <row r="4783" ht="15" customHeight="1" s="104">
      <c r="BA4783" s="201" t="n">
        <v>0</v>
      </c>
    </row>
    <row r="4784" ht="15" customHeight="1" s="104">
      <c r="BA4784" s="201" t="n">
        <v>0</v>
      </c>
    </row>
    <row r="4785" ht="15" customHeight="1" s="104">
      <c r="BA4785" s="201" t="n">
        <v>0</v>
      </c>
    </row>
    <row r="4786" ht="15" customHeight="1" s="104">
      <c r="BA4786" s="201" t="n">
        <v>0</v>
      </c>
    </row>
    <row r="4787" ht="15" customHeight="1" s="104">
      <c r="BA4787" s="201" t="n">
        <v>0</v>
      </c>
    </row>
    <row r="4788" ht="15" customHeight="1" s="104">
      <c r="BA4788" s="201" t="n">
        <v>0</v>
      </c>
    </row>
    <row r="4789" ht="15" customHeight="1" s="104">
      <c r="BA4789" s="201" t="n">
        <v>0</v>
      </c>
    </row>
    <row r="4790" ht="15" customHeight="1" s="104">
      <c r="BA4790" s="201" t="n">
        <v>0</v>
      </c>
    </row>
    <row r="4791" ht="15" customHeight="1" s="104">
      <c r="BA4791" s="201" t="n">
        <v>0</v>
      </c>
    </row>
    <row r="4792" ht="15" customHeight="1" s="104">
      <c r="BA4792" s="201" t="n">
        <v>0</v>
      </c>
    </row>
    <row r="4793" ht="15" customHeight="1" s="104">
      <c r="BA4793" s="201" t="n">
        <v>0</v>
      </c>
    </row>
    <row r="4794" ht="15" customHeight="1" s="104">
      <c r="BA4794" s="201" t="n">
        <v>0</v>
      </c>
    </row>
    <row r="4795" ht="15" customHeight="1" s="104">
      <c r="BA4795" s="201" t="n">
        <v>0</v>
      </c>
    </row>
    <row r="4796" ht="15" customHeight="1" s="104">
      <c r="BA4796" s="201" t="n">
        <v>0</v>
      </c>
    </row>
    <row r="4797" ht="15" customHeight="1" s="104">
      <c r="BA4797" s="201" t="n">
        <v>0</v>
      </c>
    </row>
    <row r="4798" ht="15" customHeight="1" s="104">
      <c r="BA4798" s="201" t="n">
        <v>0</v>
      </c>
    </row>
    <row r="4799" ht="15" customHeight="1" s="104">
      <c r="BA4799" s="201" t="n">
        <v>0</v>
      </c>
    </row>
    <row r="4800" ht="15" customHeight="1" s="104">
      <c r="BA4800" s="201" t="n">
        <v>0</v>
      </c>
    </row>
    <row r="4801" ht="15" customHeight="1" s="104">
      <c r="BA4801" s="201" t="n">
        <v>0</v>
      </c>
    </row>
    <row r="4802" ht="15" customHeight="1" s="104">
      <c r="BA4802" s="201" t="n">
        <v>0</v>
      </c>
    </row>
    <row r="4803" ht="15" customHeight="1" s="104">
      <c r="BA4803" s="201" t="n">
        <v>0</v>
      </c>
    </row>
    <row r="4804" ht="15" customHeight="1" s="104">
      <c r="BA4804" s="201" t="n">
        <v>0</v>
      </c>
    </row>
    <row r="4805" ht="15" customHeight="1" s="104">
      <c r="BA4805" s="201" t="n">
        <v>0</v>
      </c>
    </row>
    <row r="4806" ht="15" customHeight="1" s="104">
      <c r="BA4806" s="201" t="n">
        <v>0</v>
      </c>
    </row>
    <row r="4807" ht="15" customHeight="1" s="104">
      <c r="BA4807" s="201" t="n">
        <v>0</v>
      </c>
    </row>
    <row r="4808" ht="15" customHeight="1" s="104">
      <c r="BA4808" s="201" t="n">
        <v>0</v>
      </c>
    </row>
    <row r="4809" ht="15" customHeight="1" s="104">
      <c r="BA4809" s="201" t="n">
        <v>0</v>
      </c>
    </row>
    <row r="4810" ht="15" customHeight="1" s="104">
      <c r="BA4810" s="201" t="n">
        <v>0</v>
      </c>
    </row>
    <row r="4811" ht="15" customHeight="1" s="104">
      <c r="BA4811" s="201" t="n">
        <v>0</v>
      </c>
    </row>
    <row r="4812" ht="15" customHeight="1" s="104">
      <c r="BA4812" s="201" t="n">
        <v>0</v>
      </c>
    </row>
    <row r="4813" ht="15" customHeight="1" s="104">
      <c r="BA4813" s="201" t="n">
        <v>0</v>
      </c>
    </row>
    <row r="4814" ht="15" customHeight="1" s="104">
      <c r="BA4814" s="201" t="n">
        <v>0</v>
      </c>
    </row>
    <row r="4815" ht="15" customHeight="1" s="104">
      <c r="BA4815" s="201" t="n">
        <v>0</v>
      </c>
    </row>
    <row r="4816" ht="15" customHeight="1" s="104">
      <c r="BA4816" s="201" t="n">
        <v>0</v>
      </c>
    </row>
    <row r="4817" ht="15" customHeight="1" s="104">
      <c r="BA4817" s="201" t="n">
        <v>0</v>
      </c>
    </row>
    <row r="4818" ht="15" customHeight="1" s="104">
      <c r="BA4818" s="201" t="n">
        <v>0</v>
      </c>
    </row>
    <row r="4819" ht="15" customHeight="1" s="104">
      <c r="BA4819" s="201" t="n">
        <v>0</v>
      </c>
    </row>
    <row r="4820" ht="15" customHeight="1" s="104">
      <c r="BA4820" s="201" t="n">
        <v>0</v>
      </c>
    </row>
    <row r="4821" ht="15" customHeight="1" s="104">
      <c r="BA4821" s="201" t="n">
        <v>0</v>
      </c>
    </row>
    <row r="4822" ht="15" customHeight="1" s="104">
      <c r="BA4822" s="201" t="n">
        <v>0</v>
      </c>
    </row>
    <row r="4823" ht="15" customHeight="1" s="104">
      <c r="BA4823" s="201" t="n">
        <v>0</v>
      </c>
    </row>
    <row r="4824" ht="15" customHeight="1" s="104">
      <c r="BA4824" s="201" t="n">
        <v>0</v>
      </c>
    </row>
    <row r="4825" ht="15" customHeight="1" s="104">
      <c r="BA4825" s="201" t="n">
        <v>0</v>
      </c>
    </row>
    <row r="4826" ht="15" customHeight="1" s="104">
      <c r="BA4826" s="201" t="n">
        <v>0</v>
      </c>
    </row>
    <row r="4827" ht="15" customHeight="1" s="104">
      <c r="BA4827" s="201" t="n">
        <v>0</v>
      </c>
    </row>
    <row r="4828" ht="15" customHeight="1" s="104">
      <c r="BA4828" s="201" t="n">
        <v>0</v>
      </c>
    </row>
    <row r="4829" ht="15" customHeight="1" s="104">
      <c r="BA4829" s="201" t="n">
        <v>0</v>
      </c>
    </row>
    <row r="4830" ht="15" customHeight="1" s="104">
      <c r="BA4830" s="201" t="n">
        <v>0</v>
      </c>
    </row>
    <row r="4831" ht="15" customHeight="1" s="104">
      <c r="BA4831" s="201" t="n">
        <v>0</v>
      </c>
    </row>
    <row r="4832" ht="15" customHeight="1" s="104">
      <c r="BA4832" s="201" t="n">
        <v>0</v>
      </c>
    </row>
    <row r="4833" ht="15" customHeight="1" s="104">
      <c r="BA4833" s="201" t="n">
        <v>0</v>
      </c>
    </row>
    <row r="4834" ht="15" customHeight="1" s="104">
      <c r="BA4834" s="201" t="n">
        <v>0</v>
      </c>
    </row>
    <row r="4835" ht="15" customHeight="1" s="104">
      <c r="BA4835" s="201" t="n">
        <v>0</v>
      </c>
    </row>
    <row r="4836" ht="15" customHeight="1" s="104">
      <c r="BA4836" s="201" t="n">
        <v>0</v>
      </c>
    </row>
    <row r="4837" ht="15" customHeight="1" s="104">
      <c r="BA4837" s="201" t="n">
        <v>0</v>
      </c>
    </row>
    <row r="4838" ht="15" customHeight="1" s="104">
      <c r="BA4838" s="201" t="n">
        <v>0</v>
      </c>
    </row>
    <row r="4839" ht="15" customHeight="1" s="104">
      <c r="BA4839" s="201" t="n">
        <v>0</v>
      </c>
    </row>
    <row r="4840" ht="15" customHeight="1" s="104">
      <c r="BA4840" s="201" t="n">
        <v>0</v>
      </c>
    </row>
    <row r="4841" ht="15" customHeight="1" s="104">
      <c r="BA4841" s="201" t="n">
        <v>0</v>
      </c>
    </row>
    <row r="4842" ht="15" customHeight="1" s="104">
      <c r="BA4842" s="201" t="n">
        <v>0</v>
      </c>
    </row>
    <row r="4843" ht="15" customHeight="1" s="104">
      <c r="BA4843" s="201" t="n">
        <v>0</v>
      </c>
    </row>
    <row r="4844" ht="15" customHeight="1" s="104">
      <c r="BA4844" s="201" t="n">
        <v>0</v>
      </c>
    </row>
    <row r="4845" ht="15" customHeight="1" s="104">
      <c r="BA4845" s="201" t="n">
        <v>0</v>
      </c>
    </row>
    <row r="4846" ht="15" customHeight="1" s="104">
      <c r="BA4846" s="201" t="n">
        <v>0</v>
      </c>
    </row>
    <row r="4847" ht="15" customHeight="1" s="104">
      <c r="BA4847" s="201" t="n">
        <v>0</v>
      </c>
    </row>
    <row r="4848" ht="15" customHeight="1" s="104">
      <c r="BA4848" s="201" t="n">
        <v>0</v>
      </c>
    </row>
    <row r="4849" ht="15" customHeight="1" s="104">
      <c r="BA4849" s="201" t="n">
        <v>0</v>
      </c>
    </row>
    <row r="4850" ht="15" customHeight="1" s="104">
      <c r="BA4850" s="201" t="n">
        <v>0</v>
      </c>
    </row>
    <row r="4851" ht="15" customHeight="1" s="104">
      <c r="BA4851" s="201" t="n">
        <v>0</v>
      </c>
    </row>
    <row r="4852" ht="15" customHeight="1" s="104">
      <c r="BA4852" s="201" t="n">
        <v>0</v>
      </c>
    </row>
    <row r="4853" ht="15" customHeight="1" s="104">
      <c r="BA4853" s="201" t="n">
        <v>0</v>
      </c>
    </row>
    <row r="4854" ht="15" customHeight="1" s="104">
      <c r="BA4854" s="201" t="n">
        <v>0</v>
      </c>
    </row>
    <row r="4855" ht="15" customHeight="1" s="104">
      <c r="BA4855" s="201" t="n">
        <v>0</v>
      </c>
    </row>
    <row r="4856" ht="15" customHeight="1" s="104">
      <c r="BA4856" s="201" t="n">
        <v>0</v>
      </c>
    </row>
    <row r="4857" ht="15" customHeight="1" s="104">
      <c r="BA4857" s="201" t="n">
        <v>0</v>
      </c>
    </row>
    <row r="4858" ht="15" customHeight="1" s="104">
      <c r="BA4858" s="201" t="n">
        <v>0</v>
      </c>
    </row>
    <row r="4859" ht="15" customHeight="1" s="104">
      <c r="BA4859" s="201" t="n">
        <v>0</v>
      </c>
    </row>
    <row r="4860" ht="15" customHeight="1" s="104">
      <c r="BA4860" s="201" t="n">
        <v>0</v>
      </c>
    </row>
    <row r="4861" ht="15" customHeight="1" s="104">
      <c r="BA4861" s="201" t="n">
        <v>0</v>
      </c>
    </row>
    <row r="4862" ht="15" customHeight="1" s="104">
      <c r="BA4862" s="201" t="n">
        <v>0</v>
      </c>
    </row>
    <row r="4863" ht="15" customHeight="1" s="104">
      <c r="BA4863" s="201" t="n">
        <v>0</v>
      </c>
    </row>
    <row r="4864" ht="15" customHeight="1" s="104">
      <c r="BA4864" s="201" t="n">
        <v>0</v>
      </c>
    </row>
    <row r="4865" ht="15" customHeight="1" s="104">
      <c r="BA4865" s="201" t="n">
        <v>0</v>
      </c>
    </row>
    <row r="4866" ht="15" customHeight="1" s="104">
      <c r="BA4866" s="201" t="n">
        <v>0</v>
      </c>
    </row>
    <row r="4867" ht="15" customHeight="1" s="104">
      <c r="BA4867" s="201" t="n">
        <v>0</v>
      </c>
    </row>
    <row r="4868" ht="15" customHeight="1" s="104">
      <c r="BA4868" s="201" t="n">
        <v>0</v>
      </c>
    </row>
    <row r="4869" ht="15" customHeight="1" s="104">
      <c r="BA4869" s="201" t="n">
        <v>0</v>
      </c>
    </row>
    <row r="4870" ht="15" customHeight="1" s="104">
      <c r="BA4870" s="201" t="n">
        <v>0</v>
      </c>
    </row>
    <row r="4871" ht="15" customHeight="1" s="104">
      <c r="BA4871" s="201" t="n">
        <v>0</v>
      </c>
    </row>
    <row r="4872" ht="15" customHeight="1" s="104">
      <c r="BA4872" s="201" t="n">
        <v>0</v>
      </c>
    </row>
    <row r="4873" ht="15" customHeight="1" s="104">
      <c r="BA4873" s="201" t="n">
        <v>0</v>
      </c>
    </row>
    <row r="4874" ht="15" customHeight="1" s="104">
      <c r="BA4874" s="201" t="n">
        <v>0</v>
      </c>
    </row>
    <row r="4875" ht="15" customHeight="1" s="104">
      <c r="BA4875" s="201" t="n">
        <v>0</v>
      </c>
    </row>
    <row r="4876" ht="15" customHeight="1" s="104">
      <c r="BA4876" s="201" t="n">
        <v>0</v>
      </c>
    </row>
    <row r="4877" ht="15" customHeight="1" s="104">
      <c r="BA4877" s="201" t="n">
        <v>0</v>
      </c>
    </row>
    <row r="4878" ht="15" customHeight="1" s="104">
      <c r="BA4878" s="201" t="n">
        <v>0</v>
      </c>
    </row>
    <row r="4879" ht="15" customHeight="1" s="104">
      <c r="BA4879" s="201" t="n">
        <v>0</v>
      </c>
    </row>
    <row r="4880" ht="15" customHeight="1" s="104">
      <c r="BA4880" s="201" t="n">
        <v>0</v>
      </c>
    </row>
    <row r="4881" ht="15" customHeight="1" s="104">
      <c r="BA4881" s="201" t="n">
        <v>0</v>
      </c>
    </row>
    <row r="4882" ht="15" customHeight="1" s="104">
      <c r="BA4882" s="201" t="n">
        <v>0</v>
      </c>
    </row>
    <row r="4883" ht="15" customHeight="1" s="104">
      <c r="BA4883" s="201" t="n">
        <v>0</v>
      </c>
    </row>
    <row r="4884" ht="15" customHeight="1" s="104">
      <c r="BA4884" s="201" t="n">
        <v>0</v>
      </c>
    </row>
    <row r="4885" ht="15" customHeight="1" s="104">
      <c r="BA4885" s="201" t="n">
        <v>0</v>
      </c>
    </row>
    <row r="4886" ht="15" customHeight="1" s="104">
      <c r="BA4886" s="201" t="n">
        <v>0</v>
      </c>
    </row>
    <row r="4887" ht="15" customHeight="1" s="104">
      <c r="BA4887" s="201" t="n">
        <v>0</v>
      </c>
    </row>
    <row r="4888" ht="15" customHeight="1" s="104">
      <c r="BA4888" s="201" t="n">
        <v>0</v>
      </c>
    </row>
    <row r="4889" ht="15" customHeight="1" s="104">
      <c r="BA4889" s="201" t="n">
        <v>0</v>
      </c>
    </row>
    <row r="4890" ht="15" customHeight="1" s="104">
      <c r="BA4890" s="201" t="n">
        <v>0</v>
      </c>
    </row>
    <row r="4891" ht="15" customHeight="1" s="104">
      <c r="BA4891" s="201" t="n">
        <v>0</v>
      </c>
    </row>
    <row r="4892" ht="15" customHeight="1" s="104">
      <c r="BA4892" s="201" t="n">
        <v>0</v>
      </c>
    </row>
    <row r="4893" ht="15" customHeight="1" s="104">
      <c r="BA4893" s="201" t="n">
        <v>0</v>
      </c>
    </row>
    <row r="4894" ht="15" customHeight="1" s="104">
      <c r="BA4894" s="201" t="n">
        <v>0</v>
      </c>
    </row>
    <row r="4895" ht="15" customHeight="1" s="104">
      <c r="BA4895" s="201" t="n">
        <v>0</v>
      </c>
    </row>
    <row r="4896" ht="15" customHeight="1" s="104">
      <c r="BA4896" s="201" t="n">
        <v>0</v>
      </c>
    </row>
    <row r="4897" ht="15" customHeight="1" s="104">
      <c r="BA4897" s="201" t="n">
        <v>0</v>
      </c>
    </row>
    <row r="4898" ht="15" customHeight="1" s="104">
      <c r="BA4898" s="201" t="n">
        <v>0</v>
      </c>
    </row>
    <row r="4899" ht="15" customHeight="1" s="104">
      <c r="BA4899" s="201" t="n">
        <v>0</v>
      </c>
    </row>
    <row r="4900" ht="15" customHeight="1" s="104">
      <c r="BA4900" s="201" t="n">
        <v>0</v>
      </c>
    </row>
    <row r="4901" ht="15" customHeight="1" s="104">
      <c r="BA4901" s="201" t="n">
        <v>0</v>
      </c>
    </row>
    <row r="4902" ht="15" customHeight="1" s="104">
      <c r="BA4902" s="201" t="n">
        <v>0</v>
      </c>
    </row>
    <row r="4903" ht="15" customHeight="1" s="104">
      <c r="BA4903" s="201" t="n">
        <v>0</v>
      </c>
    </row>
    <row r="4904" ht="15" customHeight="1" s="104">
      <c r="BA4904" s="201" t="n">
        <v>0</v>
      </c>
    </row>
    <row r="4905" ht="15" customHeight="1" s="104">
      <c r="BA4905" s="201" t="n">
        <v>0</v>
      </c>
    </row>
    <row r="4906" ht="15" customHeight="1" s="104">
      <c r="BA4906" s="201" t="n">
        <v>0</v>
      </c>
    </row>
    <row r="4907" ht="15" customHeight="1" s="104">
      <c r="BA4907" s="201" t="n">
        <v>0</v>
      </c>
    </row>
    <row r="4908" ht="15" customHeight="1" s="104">
      <c r="BA4908" s="201" t="n">
        <v>0</v>
      </c>
    </row>
    <row r="4909" ht="15" customHeight="1" s="104">
      <c r="BA4909" s="201" t="n">
        <v>0</v>
      </c>
    </row>
    <row r="4910" ht="15" customHeight="1" s="104">
      <c r="BA4910" s="201" t="n">
        <v>0</v>
      </c>
    </row>
    <row r="4911" ht="15" customHeight="1" s="104">
      <c r="BA4911" s="201" t="n">
        <v>0</v>
      </c>
    </row>
    <row r="4912" ht="15" customHeight="1" s="104">
      <c r="BA4912" s="201" t="n">
        <v>0</v>
      </c>
    </row>
    <row r="4913" ht="15" customHeight="1" s="104">
      <c r="BA4913" s="201" t="n">
        <v>0</v>
      </c>
    </row>
    <row r="4914" ht="15" customHeight="1" s="104">
      <c r="BA4914" s="201" t="n">
        <v>0</v>
      </c>
    </row>
    <row r="4915" ht="15" customHeight="1" s="104">
      <c r="BA4915" s="201" t="n">
        <v>0</v>
      </c>
    </row>
    <row r="4916" ht="15" customHeight="1" s="104">
      <c r="BA4916" s="201" t="n">
        <v>0</v>
      </c>
    </row>
    <row r="4917" ht="15" customHeight="1" s="104">
      <c r="BA4917" s="201" t="n">
        <v>0</v>
      </c>
    </row>
    <row r="4918" ht="15" customHeight="1" s="104">
      <c r="BA4918" s="201" t="n">
        <v>0</v>
      </c>
    </row>
    <row r="4919" ht="15" customHeight="1" s="104">
      <c r="BA4919" s="201" t="n">
        <v>0</v>
      </c>
    </row>
    <row r="4920" ht="15" customHeight="1" s="104">
      <c r="BA4920" s="201" t="n">
        <v>0</v>
      </c>
    </row>
    <row r="4921" ht="15" customHeight="1" s="104">
      <c r="BA4921" s="201" t="n">
        <v>0</v>
      </c>
    </row>
    <row r="4922" ht="15" customHeight="1" s="104">
      <c r="BA4922" s="201" t="n">
        <v>0</v>
      </c>
    </row>
    <row r="4923" ht="15" customHeight="1" s="104">
      <c r="BA4923" s="201" t="n">
        <v>0</v>
      </c>
    </row>
    <row r="4924" ht="15" customHeight="1" s="104">
      <c r="BA4924" s="201" t="n">
        <v>0</v>
      </c>
    </row>
    <row r="4925" ht="15" customHeight="1" s="104">
      <c r="BA4925" s="201" t="n">
        <v>0</v>
      </c>
    </row>
    <row r="4926" ht="15" customHeight="1" s="104">
      <c r="BA4926" s="201" t="n">
        <v>0</v>
      </c>
    </row>
    <row r="4927" ht="15" customHeight="1" s="104">
      <c r="BA4927" s="201" t="n">
        <v>0</v>
      </c>
    </row>
    <row r="4928" ht="15" customHeight="1" s="104">
      <c r="BA4928" s="201" t="n">
        <v>0</v>
      </c>
    </row>
    <row r="4929" ht="15" customHeight="1" s="104">
      <c r="BA4929" s="201" t="n">
        <v>0</v>
      </c>
    </row>
    <row r="4930" ht="15" customHeight="1" s="104">
      <c r="BA4930" s="201" t="n">
        <v>0</v>
      </c>
    </row>
    <row r="4931" ht="15" customHeight="1" s="104">
      <c r="BA4931" s="201" t="n">
        <v>0</v>
      </c>
    </row>
    <row r="4932" ht="15" customHeight="1" s="104">
      <c r="BA4932" s="201" t="n">
        <v>0</v>
      </c>
    </row>
    <row r="4933" ht="15" customHeight="1" s="104">
      <c r="BA4933" s="201" t="n">
        <v>0</v>
      </c>
    </row>
    <row r="4934" ht="15" customHeight="1" s="104">
      <c r="BA4934" s="201" t="n">
        <v>0</v>
      </c>
    </row>
    <row r="4935" ht="15" customHeight="1" s="104">
      <c r="BA4935" s="201" t="n">
        <v>0</v>
      </c>
    </row>
    <row r="4936" ht="15" customHeight="1" s="104">
      <c r="BA4936" s="201" t="n">
        <v>0</v>
      </c>
    </row>
    <row r="4937" ht="15" customHeight="1" s="104">
      <c r="BA4937" s="201" t="n">
        <v>0</v>
      </c>
    </row>
    <row r="4938" ht="15" customHeight="1" s="104">
      <c r="BA4938" s="201" t="n">
        <v>0</v>
      </c>
    </row>
    <row r="4939" ht="15" customHeight="1" s="104">
      <c r="BA4939" s="201" t="n">
        <v>0</v>
      </c>
    </row>
    <row r="4940" ht="15" customHeight="1" s="104">
      <c r="BA4940" s="201" t="n">
        <v>0</v>
      </c>
    </row>
    <row r="4941" ht="15" customHeight="1" s="104">
      <c r="BA4941" s="201" t="n">
        <v>0</v>
      </c>
    </row>
    <row r="4942" ht="15" customHeight="1" s="104">
      <c r="BA4942" s="201" t="n">
        <v>0</v>
      </c>
    </row>
    <row r="4943" ht="15" customHeight="1" s="104">
      <c r="BA4943" s="201" t="n">
        <v>0</v>
      </c>
    </row>
    <row r="4944" ht="15" customHeight="1" s="104">
      <c r="BA4944" s="201" t="n">
        <v>0</v>
      </c>
    </row>
    <row r="4945" ht="15" customHeight="1" s="104">
      <c r="BA4945" s="201" t="n">
        <v>0</v>
      </c>
    </row>
    <row r="4946" ht="15" customHeight="1" s="104">
      <c r="BA4946" s="201" t="n">
        <v>0</v>
      </c>
    </row>
    <row r="4947" ht="15" customHeight="1" s="104">
      <c r="BA4947" s="201" t="n">
        <v>0</v>
      </c>
    </row>
    <row r="4948" ht="15" customHeight="1" s="104">
      <c r="BA4948" s="201" t="n">
        <v>0</v>
      </c>
    </row>
    <row r="4949" ht="15" customHeight="1" s="104">
      <c r="BA4949" s="201" t="n">
        <v>0</v>
      </c>
    </row>
    <row r="4950" ht="15" customHeight="1" s="104">
      <c r="BA4950" s="201" t="n">
        <v>0</v>
      </c>
    </row>
    <row r="4951" ht="15" customHeight="1" s="104">
      <c r="BA4951" s="201" t="n">
        <v>0</v>
      </c>
    </row>
    <row r="4952" ht="15" customHeight="1" s="104">
      <c r="BA4952" s="201" t="n">
        <v>0</v>
      </c>
    </row>
    <row r="4953" ht="15" customHeight="1" s="104">
      <c r="BA4953" s="201" t="n">
        <v>0</v>
      </c>
    </row>
    <row r="4954" ht="15" customHeight="1" s="104">
      <c r="BA4954" s="201" t="n">
        <v>0</v>
      </c>
    </row>
    <row r="4955" ht="15" customHeight="1" s="104">
      <c r="BA4955" s="201" t="n">
        <v>0</v>
      </c>
    </row>
    <row r="4956" ht="15" customHeight="1" s="104">
      <c r="BA4956" s="201" t="n">
        <v>0</v>
      </c>
    </row>
    <row r="4957" ht="15" customHeight="1" s="104">
      <c r="BA4957" s="201" t="n">
        <v>0</v>
      </c>
    </row>
    <row r="4958" ht="15" customHeight="1" s="104">
      <c r="BA4958" s="201" t="n">
        <v>0</v>
      </c>
    </row>
    <row r="4959" ht="15" customHeight="1" s="104">
      <c r="BA4959" s="201" t="n">
        <v>0</v>
      </c>
    </row>
    <row r="4960" ht="15" customHeight="1" s="104">
      <c r="BA4960" s="201" t="n">
        <v>0</v>
      </c>
    </row>
    <row r="4961" ht="15" customHeight="1" s="104">
      <c r="BA4961" s="201" t="n">
        <v>0</v>
      </c>
    </row>
    <row r="4962" ht="15" customHeight="1" s="104">
      <c r="BA4962" s="201" t="n">
        <v>0</v>
      </c>
    </row>
    <row r="4963" ht="15" customHeight="1" s="104">
      <c r="BA4963" s="201" t="n">
        <v>0</v>
      </c>
    </row>
    <row r="4964" ht="15" customHeight="1" s="104">
      <c r="BA4964" s="201" t="n">
        <v>0</v>
      </c>
    </row>
    <row r="4965" ht="15" customHeight="1" s="104">
      <c r="BA4965" s="201" t="n">
        <v>0</v>
      </c>
    </row>
    <row r="4966" ht="15" customHeight="1" s="104">
      <c r="BA4966" s="201" t="n">
        <v>0</v>
      </c>
    </row>
    <row r="4967" ht="15" customHeight="1" s="104">
      <c r="BA4967" s="201" t="n">
        <v>0</v>
      </c>
    </row>
    <row r="4968" ht="15" customHeight="1" s="104">
      <c r="BA4968" s="201" t="n">
        <v>0</v>
      </c>
    </row>
    <row r="4969" ht="15" customHeight="1" s="104">
      <c r="BA4969" s="201" t="n">
        <v>0</v>
      </c>
    </row>
    <row r="4970" ht="15" customHeight="1" s="104">
      <c r="BA4970" s="201" t="n">
        <v>0</v>
      </c>
    </row>
    <row r="4971" ht="15" customHeight="1" s="104">
      <c r="BA4971" s="201" t="n">
        <v>0</v>
      </c>
    </row>
    <row r="4972" ht="15" customHeight="1" s="104">
      <c r="BA4972" s="201" t="n">
        <v>0</v>
      </c>
    </row>
    <row r="4973" ht="15" customHeight="1" s="104">
      <c r="BA4973" s="201" t="n">
        <v>0</v>
      </c>
    </row>
    <row r="4974" ht="15" customHeight="1" s="104">
      <c r="BA4974" s="201" t="n">
        <v>0</v>
      </c>
    </row>
    <row r="4975" ht="15" customHeight="1" s="104">
      <c r="BA4975" s="201" t="n">
        <v>0</v>
      </c>
    </row>
    <row r="4976" ht="15" customHeight="1" s="104">
      <c r="BA4976" s="201" t="n">
        <v>0</v>
      </c>
    </row>
    <row r="4977" ht="15" customHeight="1" s="104">
      <c r="BA4977" s="201" t="n">
        <v>0</v>
      </c>
    </row>
    <row r="4978" ht="15" customHeight="1" s="104">
      <c r="BA4978" s="201" t="n">
        <v>0</v>
      </c>
    </row>
    <row r="4979" ht="15" customHeight="1" s="104">
      <c r="BA4979" s="201" t="n">
        <v>0</v>
      </c>
    </row>
    <row r="4980" ht="15" customHeight="1" s="104">
      <c r="BA4980" s="201" t="n">
        <v>0</v>
      </c>
    </row>
    <row r="4981" ht="15" customHeight="1" s="104">
      <c r="BA4981" s="201" t="n">
        <v>0</v>
      </c>
    </row>
    <row r="4982" ht="15" customHeight="1" s="104">
      <c r="BA4982" s="201" t="n">
        <v>0</v>
      </c>
    </row>
    <row r="4983" ht="15" customHeight="1" s="104">
      <c r="BA4983" s="201" t="n">
        <v>0</v>
      </c>
    </row>
    <row r="4984" ht="15" customHeight="1" s="104">
      <c r="BA4984" s="201" t="n">
        <v>0</v>
      </c>
    </row>
    <row r="4985" ht="15" customHeight="1" s="104">
      <c r="BA4985" s="201" t="n">
        <v>0</v>
      </c>
    </row>
    <row r="4986" ht="15" customHeight="1" s="104">
      <c r="BA4986" s="201" t="n">
        <v>0</v>
      </c>
    </row>
    <row r="4987" ht="15" customHeight="1" s="104">
      <c r="BA4987" s="201" t="n">
        <v>0</v>
      </c>
    </row>
    <row r="4988" ht="15" customHeight="1" s="104">
      <c r="BA4988" s="201" t="n">
        <v>0</v>
      </c>
    </row>
    <row r="4989" ht="15" customHeight="1" s="104">
      <c r="BA4989" s="201" t="n">
        <v>0</v>
      </c>
    </row>
    <row r="4990" ht="15" customHeight="1" s="104">
      <c r="BA4990" s="201" t="n">
        <v>0</v>
      </c>
    </row>
    <row r="4991" ht="15" customHeight="1" s="104">
      <c r="BA4991" s="201" t="n">
        <v>0</v>
      </c>
    </row>
    <row r="4992" ht="15" customHeight="1" s="104">
      <c r="BA4992" s="201" t="n">
        <v>0</v>
      </c>
    </row>
    <row r="4993" ht="15" customHeight="1" s="104">
      <c r="BA4993" s="201" t="n">
        <v>0</v>
      </c>
    </row>
    <row r="4994" ht="15" customHeight="1" s="104">
      <c r="BA4994" s="201" t="n">
        <v>0</v>
      </c>
    </row>
    <row r="4995" ht="15" customHeight="1" s="104">
      <c r="BA4995" s="201" t="n">
        <v>0</v>
      </c>
    </row>
    <row r="4996" ht="15" customHeight="1" s="104">
      <c r="BA4996" s="201" t="n">
        <v>0</v>
      </c>
    </row>
    <row r="4997" ht="15" customHeight="1" s="104">
      <c r="BA4997" s="201" t="n">
        <v>0</v>
      </c>
    </row>
    <row r="4998" ht="15" customHeight="1" s="104">
      <c r="BA4998" s="201" t="n">
        <v>0</v>
      </c>
    </row>
    <row r="4999" ht="15" customHeight="1" s="104">
      <c r="BA4999" s="201" t="n">
        <v>0</v>
      </c>
    </row>
    <row r="5000" ht="15" customHeight="1" s="104">
      <c r="BA5000" s="201" t="n">
        <v>0</v>
      </c>
    </row>
    <row r="5001" ht="15" customHeight="1" s="104">
      <c r="BA5001" s="201" t="n">
        <v>0</v>
      </c>
    </row>
    <row r="5002" ht="15" customHeight="1" s="104">
      <c r="BA5002" s="201" t="n">
        <v>0</v>
      </c>
    </row>
    <row r="5003" ht="15" customHeight="1" s="104">
      <c r="BA5003" s="201" t="n">
        <v>0</v>
      </c>
    </row>
    <row r="5004" ht="15" customHeight="1" s="104">
      <c r="BA5004" s="201" t="n">
        <v>0</v>
      </c>
    </row>
    <row r="5005" ht="15" customHeight="1" s="104">
      <c r="BA5005" s="201" t="n">
        <v>0</v>
      </c>
    </row>
    <row r="5006" ht="15" customHeight="1" s="104">
      <c r="BA5006" s="201" t="n">
        <v>0</v>
      </c>
    </row>
    <row r="5007" ht="15" customHeight="1" s="104">
      <c r="BA5007" s="201" t="n">
        <v>0</v>
      </c>
    </row>
    <row r="5008" ht="15" customHeight="1" s="104">
      <c r="BA5008" s="201" t="n">
        <v>0</v>
      </c>
    </row>
    <row r="5009" ht="15" customHeight="1" s="104">
      <c r="BA5009" s="201" t="n">
        <v>0</v>
      </c>
    </row>
    <row r="5010" ht="15" customHeight="1" s="104">
      <c r="BA5010" s="201" t="n">
        <v>0</v>
      </c>
    </row>
    <row r="5011" ht="15" customHeight="1" s="104">
      <c r="BA5011" s="201" t="n">
        <v>0</v>
      </c>
    </row>
    <row r="5012" ht="15" customHeight="1" s="104">
      <c r="BA5012" s="201" t="n">
        <v>0</v>
      </c>
    </row>
    <row r="5013" ht="15" customHeight="1" s="104">
      <c r="BA5013" s="201" t="n">
        <v>0</v>
      </c>
    </row>
    <row r="5014" ht="15" customHeight="1" s="104">
      <c r="BA5014" s="201" t="n">
        <v>0</v>
      </c>
    </row>
    <row r="5015" ht="15" customHeight="1" s="104">
      <c r="BA5015" s="201" t="n">
        <v>0</v>
      </c>
    </row>
    <row r="5016" ht="15" customHeight="1" s="104">
      <c r="BA5016" s="201" t="n">
        <v>0</v>
      </c>
    </row>
    <row r="5017" ht="15" customHeight="1" s="104">
      <c r="BA5017" s="201" t="n">
        <v>0</v>
      </c>
    </row>
    <row r="5018" ht="15" customHeight="1" s="104">
      <c r="BA5018" s="201" t="n">
        <v>0</v>
      </c>
    </row>
    <row r="5019" ht="15" customHeight="1" s="104">
      <c r="BA5019" s="201" t="n">
        <v>0</v>
      </c>
    </row>
    <row r="5020" ht="15" customHeight="1" s="104">
      <c r="BA5020" s="201" t="n">
        <v>0</v>
      </c>
    </row>
    <row r="5021" ht="15" customHeight="1" s="104">
      <c r="BA5021" s="201" t="n">
        <v>0</v>
      </c>
    </row>
    <row r="5022" ht="15" customHeight="1" s="104">
      <c r="BA5022" s="201" t="n">
        <v>0</v>
      </c>
    </row>
    <row r="5023" ht="15" customHeight="1" s="104">
      <c r="BA5023" s="201" t="n">
        <v>0</v>
      </c>
    </row>
    <row r="5024" ht="15" customHeight="1" s="104">
      <c r="BA5024" s="201" t="n">
        <v>0</v>
      </c>
    </row>
    <row r="5025" ht="15" customHeight="1" s="104">
      <c r="BA5025" s="201" t="n">
        <v>0</v>
      </c>
    </row>
    <row r="5026" ht="15" customHeight="1" s="104">
      <c r="BA5026" s="201" t="n">
        <v>0</v>
      </c>
    </row>
    <row r="5027" ht="15" customHeight="1" s="104">
      <c r="BA5027" s="201" t="n">
        <v>0</v>
      </c>
    </row>
    <row r="5028" ht="15" customHeight="1" s="104">
      <c r="BA5028" s="201" t="n">
        <v>0</v>
      </c>
    </row>
    <row r="5029" ht="15" customHeight="1" s="104">
      <c r="BA5029" s="201" t="n">
        <v>0</v>
      </c>
    </row>
    <row r="5030" ht="15" customHeight="1" s="104">
      <c r="BA5030" s="201" t="n">
        <v>0</v>
      </c>
    </row>
    <row r="5031" ht="15" customHeight="1" s="104">
      <c r="BA5031" s="201" t="n">
        <v>0</v>
      </c>
    </row>
    <row r="5032" ht="15" customHeight="1" s="104">
      <c r="BA5032" s="201" t="n">
        <v>0</v>
      </c>
    </row>
    <row r="5033" ht="15" customHeight="1" s="104">
      <c r="BA5033" s="201" t="n">
        <v>0</v>
      </c>
    </row>
    <row r="5034" ht="15" customHeight="1" s="104">
      <c r="BA5034" s="201" t="n">
        <v>0</v>
      </c>
    </row>
    <row r="5035" ht="15" customHeight="1" s="104">
      <c r="BA5035" s="201" t="n">
        <v>0</v>
      </c>
    </row>
    <row r="5036" ht="15" customHeight="1" s="104">
      <c r="BA5036" s="201" t="n">
        <v>0</v>
      </c>
    </row>
    <row r="5037" ht="15" customHeight="1" s="104">
      <c r="BA5037" s="201" t="n">
        <v>0</v>
      </c>
    </row>
    <row r="5038" ht="15" customHeight="1" s="104">
      <c r="BA5038" s="201" t="n">
        <v>0</v>
      </c>
    </row>
    <row r="5039" ht="15" customHeight="1" s="104">
      <c r="BA5039" s="201" t="n">
        <v>0</v>
      </c>
    </row>
    <row r="5040" ht="15" customHeight="1" s="104">
      <c r="BA5040" s="201" t="n">
        <v>0</v>
      </c>
    </row>
    <row r="5041" ht="15" customHeight="1" s="104">
      <c r="BA5041" s="201" t="n">
        <v>0</v>
      </c>
    </row>
    <row r="5042" ht="15" customHeight="1" s="104">
      <c r="BA5042" s="201" t="n">
        <v>0</v>
      </c>
    </row>
    <row r="5043" ht="15" customHeight="1" s="104">
      <c r="BA5043" s="201" t="n">
        <v>0</v>
      </c>
    </row>
    <row r="5044" ht="15" customHeight="1" s="104">
      <c r="BA5044" s="201" t="n">
        <v>0</v>
      </c>
    </row>
    <row r="5045" ht="15" customHeight="1" s="104">
      <c r="BA5045" s="201" t="n">
        <v>0</v>
      </c>
    </row>
    <row r="5046" ht="15" customHeight="1" s="104">
      <c r="BA5046" s="201" t="n">
        <v>0</v>
      </c>
    </row>
    <row r="5047" ht="15" customHeight="1" s="104">
      <c r="BA5047" s="201" t="n">
        <v>0</v>
      </c>
    </row>
    <row r="5048" ht="15" customHeight="1" s="104">
      <c r="BA5048" s="201" t="n">
        <v>0</v>
      </c>
    </row>
    <row r="5049" ht="15" customHeight="1" s="104">
      <c r="BA5049" s="201" t="n">
        <v>0</v>
      </c>
    </row>
    <row r="5050" ht="15" customHeight="1" s="104">
      <c r="BA5050" s="201" t="n">
        <v>0</v>
      </c>
    </row>
    <row r="5051" ht="15" customHeight="1" s="104">
      <c r="BA5051" s="201" t="n">
        <v>0</v>
      </c>
    </row>
    <row r="5052" ht="15" customHeight="1" s="104">
      <c r="BA5052" s="201" t="n">
        <v>0</v>
      </c>
    </row>
    <row r="5053" ht="15" customHeight="1" s="104">
      <c r="BA5053" s="201" t="n">
        <v>0</v>
      </c>
    </row>
    <row r="5054" ht="15" customHeight="1" s="104">
      <c r="BA5054" s="201" t="n">
        <v>0</v>
      </c>
    </row>
    <row r="5055" ht="15" customHeight="1" s="104">
      <c r="BA5055" s="201" t="n">
        <v>0</v>
      </c>
    </row>
    <row r="5056" ht="15" customHeight="1" s="104">
      <c r="BA5056" s="201" t="n">
        <v>0</v>
      </c>
    </row>
    <row r="5057" ht="15" customHeight="1" s="104">
      <c r="BA5057" s="201" t="n">
        <v>0</v>
      </c>
    </row>
    <row r="5058" ht="15" customHeight="1" s="104">
      <c r="BA5058" s="201" t="n">
        <v>0</v>
      </c>
    </row>
    <row r="5059" ht="15" customHeight="1" s="104">
      <c r="BA5059" s="201" t="n">
        <v>0</v>
      </c>
    </row>
    <row r="5060" ht="15" customHeight="1" s="104">
      <c r="BA5060" s="201" t="n">
        <v>0</v>
      </c>
    </row>
    <row r="5061" ht="15" customHeight="1" s="104">
      <c r="BA5061" s="201" t="n">
        <v>0</v>
      </c>
    </row>
    <row r="5062" ht="15" customHeight="1" s="104">
      <c r="BA5062" s="201" t="n">
        <v>0</v>
      </c>
    </row>
    <row r="5063" ht="15" customHeight="1" s="104">
      <c r="BA5063" s="201" t="n">
        <v>0</v>
      </c>
    </row>
    <row r="5064" ht="15" customHeight="1" s="104">
      <c r="BA5064" s="201" t="n">
        <v>0</v>
      </c>
    </row>
    <row r="5065" ht="15" customHeight="1" s="104">
      <c r="BA5065" s="201" t="n">
        <v>0</v>
      </c>
    </row>
    <row r="5066" ht="15" customHeight="1" s="104">
      <c r="BA5066" s="201" t="n">
        <v>0</v>
      </c>
    </row>
    <row r="5067" ht="15" customHeight="1" s="104">
      <c r="BA5067" s="201" t="n">
        <v>0</v>
      </c>
    </row>
    <row r="5068" ht="15" customHeight="1" s="104">
      <c r="BA5068" s="201" t="n">
        <v>0</v>
      </c>
    </row>
    <row r="5069" ht="15" customHeight="1" s="104">
      <c r="BA5069" s="201" t="n">
        <v>0</v>
      </c>
    </row>
    <row r="5070" ht="15" customHeight="1" s="104">
      <c r="BA5070" s="201" t="n">
        <v>0</v>
      </c>
    </row>
    <row r="5071" ht="15" customHeight="1" s="104">
      <c r="BA5071" s="201" t="n">
        <v>0</v>
      </c>
    </row>
    <row r="5072" ht="15" customHeight="1" s="104">
      <c r="BA5072" s="201" t="n">
        <v>0</v>
      </c>
    </row>
    <row r="5073" ht="15" customHeight="1" s="104">
      <c r="BA5073" s="201" t="n">
        <v>0</v>
      </c>
    </row>
    <row r="5074" ht="15" customHeight="1" s="104">
      <c r="BA5074" s="201" t="n">
        <v>0</v>
      </c>
    </row>
    <row r="5075" ht="15" customHeight="1" s="104">
      <c r="BA5075" s="201" t="n">
        <v>0</v>
      </c>
    </row>
    <row r="5076" ht="15" customHeight="1" s="104">
      <c r="BA5076" s="201" t="n">
        <v>0</v>
      </c>
    </row>
    <row r="5077" ht="15" customHeight="1" s="104">
      <c r="BA5077" s="201" t="n">
        <v>0</v>
      </c>
    </row>
    <row r="5078" ht="15" customHeight="1" s="104">
      <c r="BA5078" s="201" t="n">
        <v>0</v>
      </c>
    </row>
    <row r="5079" ht="15" customHeight="1" s="104">
      <c r="BA5079" s="201" t="n">
        <v>0</v>
      </c>
    </row>
    <row r="5080" ht="15" customHeight="1" s="104">
      <c r="BA5080" s="201" t="n">
        <v>0</v>
      </c>
    </row>
    <row r="5081" ht="15" customHeight="1" s="104">
      <c r="BA5081" s="201" t="n">
        <v>0</v>
      </c>
    </row>
    <row r="5082" ht="15" customHeight="1" s="104">
      <c r="BA5082" s="201" t="n">
        <v>0</v>
      </c>
    </row>
    <row r="5083" ht="15" customHeight="1" s="104">
      <c r="BA5083" s="201" t="n">
        <v>0</v>
      </c>
    </row>
    <row r="5084" ht="15" customHeight="1" s="104">
      <c r="BA5084" s="201" t="n">
        <v>0</v>
      </c>
    </row>
    <row r="5085" ht="15" customHeight="1" s="104">
      <c r="BA5085" s="201" t="n">
        <v>0</v>
      </c>
    </row>
    <row r="5086" ht="15" customHeight="1" s="104">
      <c r="BA5086" s="201" t="n">
        <v>0</v>
      </c>
    </row>
    <row r="5087" ht="15" customHeight="1" s="104">
      <c r="BA5087" s="201" t="n">
        <v>0</v>
      </c>
    </row>
    <row r="5088" ht="15" customHeight="1" s="104">
      <c r="BA5088" s="201" t="n">
        <v>0</v>
      </c>
    </row>
    <row r="5089" ht="15" customHeight="1" s="104">
      <c r="BA5089" s="201" t="n">
        <v>0</v>
      </c>
    </row>
    <row r="5090" ht="15" customHeight="1" s="104">
      <c r="BA5090" s="201" t="n">
        <v>0</v>
      </c>
    </row>
    <row r="5091" ht="15" customHeight="1" s="104">
      <c r="BA5091" s="201" t="n">
        <v>0</v>
      </c>
    </row>
    <row r="5092" ht="15" customHeight="1" s="104">
      <c r="BA5092" s="201" t="n">
        <v>0</v>
      </c>
    </row>
    <row r="5093" ht="15" customHeight="1" s="104">
      <c r="BA5093" s="201" t="n">
        <v>0</v>
      </c>
    </row>
    <row r="5094" ht="15" customHeight="1" s="104">
      <c r="BA5094" s="201" t="n">
        <v>0</v>
      </c>
    </row>
    <row r="5095" ht="15" customHeight="1" s="104">
      <c r="BA5095" s="201" t="n">
        <v>0</v>
      </c>
    </row>
    <row r="5096" ht="15" customHeight="1" s="104">
      <c r="BA5096" s="201" t="n">
        <v>0</v>
      </c>
    </row>
    <row r="5097" ht="15" customHeight="1" s="104">
      <c r="BA5097" s="201" t="n">
        <v>0</v>
      </c>
    </row>
    <row r="5098" ht="15" customHeight="1" s="104">
      <c r="BA5098" s="201" t="n">
        <v>0</v>
      </c>
    </row>
    <row r="5099" ht="15" customHeight="1" s="104">
      <c r="BA5099" s="201" t="n">
        <v>0</v>
      </c>
    </row>
    <row r="5100" ht="15" customHeight="1" s="104">
      <c r="BA5100" s="201" t="n">
        <v>0</v>
      </c>
    </row>
    <row r="5101" ht="15" customHeight="1" s="104">
      <c r="BA5101" s="201" t="n">
        <v>0</v>
      </c>
    </row>
    <row r="5102" ht="15" customHeight="1" s="104">
      <c r="BA5102" s="201" t="n">
        <v>0</v>
      </c>
    </row>
    <row r="5103" ht="15" customHeight="1" s="104">
      <c r="BA5103" s="201" t="n">
        <v>0</v>
      </c>
    </row>
    <row r="5104" ht="15" customHeight="1" s="104">
      <c r="BA5104" s="201" t="n">
        <v>0</v>
      </c>
    </row>
    <row r="5105" ht="15" customHeight="1" s="104">
      <c r="BA5105" s="201" t="n">
        <v>0</v>
      </c>
    </row>
    <row r="5106" ht="15" customHeight="1" s="104">
      <c r="BA5106" s="201" t="n">
        <v>0</v>
      </c>
    </row>
    <row r="5107" ht="15" customHeight="1" s="104">
      <c r="BA5107" s="201" t="n">
        <v>0</v>
      </c>
    </row>
    <row r="5108" ht="15" customHeight="1" s="104">
      <c r="BA5108" s="201" t="n">
        <v>0</v>
      </c>
    </row>
    <row r="5109" ht="15" customHeight="1" s="104">
      <c r="BA5109" s="201" t="n">
        <v>0</v>
      </c>
    </row>
    <row r="5110" ht="15" customHeight="1" s="104">
      <c r="BA5110" s="201" t="n">
        <v>0</v>
      </c>
    </row>
    <row r="5111" ht="15" customHeight="1" s="104">
      <c r="BA5111" s="201" t="n">
        <v>0</v>
      </c>
    </row>
    <row r="5112" ht="15" customHeight="1" s="104">
      <c r="BA5112" s="201" t="n">
        <v>0</v>
      </c>
    </row>
    <row r="5113" ht="15" customHeight="1" s="104">
      <c r="BA5113" s="201" t="n">
        <v>0</v>
      </c>
    </row>
    <row r="5114" ht="15" customHeight="1" s="104">
      <c r="BA5114" s="201" t="n">
        <v>0</v>
      </c>
    </row>
    <row r="5115" ht="15" customHeight="1" s="104">
      <c r="BA5115" s="201" t="n">
        <v>0</v>
      </c>
    </row>
    <row r="5116" ht="15" customHeight="1" s="104">
      <c r="BA5116" s="201" t="n">
        <v>0</v>
      </c>
    </row>
    <row r="5117" ht="15" customHeight="1" s="104">
      <c r="BA5117" s="201" t="n">
        <v>0</v>
      </c>
    </row>
    <row r="5118" ht="15" customHeight="1" s="104">
      <c r="BA5118" s="201" t="n">
        <v>0</v>
      </c>
    </row>
    <row r="5119" ht="15" customHeight="1" s="104">
      <c r="BA5119" s="201" t="n">
        <v>0</v>
      </c>
    </row>
    <row r="5120" ht="15" customHeight="1" s="104">
      <c r="BA5120" s="201" t="n">
        <v>0</v>
      </c>
    </row>
    <row r="5121" ht="15" customHeight="1" s="104">
      <c r="BA5121" s="201" t="n">
        <v>0</v>
      </c>
    </row>
    <row r="5122" ht="15" customHeight="1" s="104">
      <c r="BA5122" s="201" t="n">
        <v>0</v>
      </c>
    </row>
    <row r="5123" ht="15" customHeight="1" s="104">
      <c r="BA5123" s="201" t="n">
        <v>0</v>
      </c>
    </row>
    <row r="5124" ht="15" customHeight="1" s="104">
      <c r="BA5124" s="201" t="n">
        <v>0</v>
      </c>
    </row>
    <row r="5125" ht="15" customHeight="1" s="104">
      <c r="BA5125" s="201" t="n">
        <v>0</v>
      </c>
    </row>
    <row r="5126" ht="15" customHeight="1" s="104">
      <c r="BA5126" s="201" t="n">
        <v>0</v>
      </c>
    </row>
    <row r="5127" ht="15" customHeight="1" s="104">
      <c r="BA5127" s="201" t="n">
        <v>0</v>
      </c>
    </row>
    <row r="5128" ht="15" customHeight="1" s="104">
      <c r="BA5128" s="201" t="n">
        <v>0</v>
      </c>
    </row>
    <row r="5129" ht="15" customHeight="1" s="104">
      <c r="BA5129" s="201" t="n">
        <v>0</v>
      </c>
    </row>
    <row r="5130" ht="15" customHeight="1" s="104">
      <c r="BA5130" s="201" t="n">
        <v>0</v>
      </c>
    </row>
    <row r="5131" ht="15" customHeight="1" s="104">
      <c r="BA5131" s="201" t="n">
        <v>0</v>
      </c>
    </row>
    <row r="5132" ht="15" customHeight="1" s="104">
      <c r="BA5132" s="201" t="n">
        <v>0</v>
      </c>
    </row>
    <row r="5133" ht="15" customHeight="1" s="104">
      <c r="BA5133" s="201" t="n">
        <v>0</v>
      </c>
    </row>
    <row r="5134" ht="15" customHeight="1" s="104">
      <c r="BA5134" s="201" t="n">
        <v>0</v>
      </c>
    </row>
    <row r="5135" ht="15" customHeight="1" s="104">
      <c r="BA5135" s="201" t="n">
        <v>0</v>
      </c>
    </row>
    <row r="5136" ht="15" customHeight="1" s="104">
      <c r="BA5136" s="201" t="n">
        <v>0</v>
      </c>
    </row>
    <row r="5137" ht="15" customHeight="1" s="104">
      <c r="BA5137" s="201" t="n">
        <v>0</v>
      </c>
    </row>
    <row r="5138" ht="15" customHeight="1" s="104">
      <c r="BA5138" s="201" t="n">
        <v>0</v>
      </c>
    </row>
    <row r="5139" ht="15" customHeight="1" s="104">
      <c r="BA5139" s="201" t="n">
        <v>0</v>
      </c>
    </row>
    <row r="5140" ht="15" customHeight="1" s="104">
      <c r="BA5140" s="201" t="n">
        <v>0</v>
      </c>
    </row>
    <row r="5141" ht="15" customHeight="1" s="104">
      <c r="BA5141" s="201" t="n">
        <v>0</v>
      </c>
    </row>
    <row r="5142" ht="15" customHeight="1" s="104">
      <c r="BA5142" s="201" t="n">
        <v>0</v>
      </c>
    </row>
    <row r="5143" ht="15" customHeight="1" s="104">
      <c r="BA5143" s="201" t="n">
        <v>0</v>
      </c>
    </row>
    <row r="5144" ht="15" customHeight="1" s="104">
      <c r="BA5144" s="201" t="n">
        <v>0</v>
      </c>
    </row>
    <row r="5145" ht="15" customHeight="1" s="104">
      <c r="BA5145" s="201" t="n">
        <v>0</v>
      </c>
    </row>
    <row r="5146" ht="15" customHeight="1" s="104">
      <c r="BA5146" s="201" t="n">
        <v>0</v>
      </c>
    </row>
    <row r="5147" ht="15" customHeight="1" s="104">
      <c r="BA5147" s="201" t="n">
        <v>0</v>
      </c>
    </row>
    <row r="5148" ht="15" customHeight="1" s="104">
      <c r="BA5148" s="201" t="n">
        <v>0</v>
      </c>
    </row>
    <row r="5149" ht="15" customHeight="1" s="104">
      <c r="BA5149" s="201" t="n">
        <v>0</v>
      </c>
    </row>
    <row r="5150" ht="15" customHeight="1" s="104">
      <c r="BA5150" s="201" t="n">
        <v>0</v>
      </c>
    </row>
    <row r="5151" ht="15" customHeight="1" s="104">
      <c r="BA5151" s="201" t="n">
        <v>0</v>
      </c>
    </row>
    <row r="5152" ht="15" customHeight="1" s="104">
      <c r="BA5152" s="201" t="n">
        <v>0</v>
      </c>
    </row>
    <row r="5153" ht="15" customHeight="1" s="104">
      <c r="BA5153" s="201" t="n">
        <v>0</v>
      </c>
    </row>
    <row r="5154" ht="15" customHeight="1" s="104">
      <c r="BA5154" s="201" t="n">
        <v>0</v>
      </c>
    </row>
    <row r="5155" ht="15" customHeight="1" s="104">
      <c r="BA5155" s="201" t="n">
        <v>0</v>
      </c>
    </row>
    <row r="5156" ht="15" customHeight="1" s="104">
      <c r="BA5156" s="201" t="n">
        <v>0</v>
      </c>
    </row>
    <row r="5157" ht="15" customHeight="1" s="104">
      <c r="BA5157" s="201" t="n">
        <v>0</v>
      </c>
    </row>
    <row r="5158" ht="15" customHeight="1" s="104">
      <c r="BA5158" s="201" t="n">
        <v>0</v>
      </c>
    </row>
    <row r="5159" ht="15" customHeight="1" s="104">
      <c r="BA5159" s="201" t="n">
        <v>0</v>
      </c>
    </row>
    <row r="5160" ht="15" customHeight="1" s="104">
      <c r="BA5160" s="201" t="n">
        <v>0</v>
      </c>
    </row>
    <row r="5161" ht="15" customHeight="1" s="104">
      <c r="BA5161" s="201" t="n">
        <v>0</v>
      </c>
    </row>
    <row r="5162" ht="15" customHeight="1" s="104">
      <c r="BA5162" s="201" t="n">
        <v>0</v>
      </c>
    </row>
    <row r="5163" ht="15" customHeight="1" s="104">
      <c r="BA5163" s="201" t="n">
        <v>0</v>
      </c>
    </row>
    <row r="5164" ht="15" customHeight="1" s="104">
      <c r="BA5164" s="201" t="n">
        <v>0</v>
      </c>
    </row>
    <row r="5165" ht="15" customHeight="1" s="104">
      <c r="BA5165" s="201" t="n">
        <v>0</v>
      </c>
    </row>
    <row r="5166" ht="15" customHeight="1" s="104">
      <c r="BA5166" s="201" t="n">
        <v>0</v>
      </c>
    </row>
    <row r="5167" ht="15" customHeight="1" s="104">
      <c r="BA5167" s="201" t="n">
        <v>0</v>
      </c>
    </row>
    <row r="5168" ht="15" customHeight="1" s="104">
      <c r="BA5168" s="201" t="n">
        <v>0</v>
      </c>
    </row>
    <row r="5169" ht="15" customHeight="1" s="104">
      <c r="BA5169" s="201" t="n">
        <v>0</v>
      </c>
    </row>
    <row r="5170" ht="15" customHeight="1" s="104">
      <c r="BA5170" s="201" t="n">
        <v>0</v>
      </c>
    </row>
    <row r="5171" ht="15" customHeight="1" s="104">
      <c r="BA5171" s="201" t="n">
        <v>0</v>
      </c>
    </row>
    <row r="5172" ht="15" customHeight="1" s="104">
      <c r="BA5172" s="201" t="n">
        <v>0</v>
      </c>
    </row>
    <row r="5173" ht="15" customHeight="1" s="104">
      <c r="BA5173" s="201" t="n">
        <v>0</v>
      </c>
    </row>
    <row r="5174" ht="15" customHeight="1" s="104">
      <c r="BA5174" s="201" t="n">
        <v>0</v>
      </c>
    </row>
    <row r="5175" ht="15" customHeight="1" s="104">
      <c r="BA5175" s="201" t="n">
        <v>0</v>
      </c>
    </row>
    <row r="5176" ht="15" customHeight="1" s="104">
      <c r="BA5176" s="201" t="n">
        <v>0</v>
      </c>
    </row>
    <row r="5177" ht="15" customHeight="1" s="104">
      <c r="BA5177" s="201" t="n">
        <v>0</v>
      </c>
    </row>
    <row r="5178" ht="15" customHeight="1" s="104">
      <c r="BA5178" s="201" t="n">
        <v>0</v>
      </c>
    </row>
    <row r="5179" ht="15" customHeight="1" s="104">
      <c r="BA5179" s="201" t="n">
        <v>0</v>
      </c>
    </row>
    <row r="5180" ht="15" customHeight="1" s="104">
      <c r="BA5180" s="201" t="n">
        <v>0</v>
      </c>
    </row>
    <row r="5181" ht="15" customHeight="1" s="104">
      <c r="BA5181" s="201" t="n">
        <v>0</v>
      </c>
    </row>
    <row r="5182" ht="15" customHeight="1" s="104">
      <c r="BA5182" s="201" t="n">
        <v>0</v>
      </c>
    </row>
    <row r="5183" ht="15" customHeight="1" s="104">
      <c r="BA5183" s="201" t="n">
        <v>0</v>
      </c>
    </row>
    <row r="5184" ht="15" customHeight="1" s="104">
      <c r="BA5184" s="201" t="n">
        <v>0</v>
      </c>
    </row>
    <row r="5185" ht="15" customHeight="1" s="104">
      <c r="BA5185" s="201" t="n">
        <v>0</v>
      </c>
    </row>
    <row r="5186" ht="15" customHeight="1" s="104">
      <c r="BA5186" s="201" t="n">
        <v>0</v>
      </c>
    </row>
    <row r="5187" ht="15" customHeight="1" s="104">
      <c r="BA5187" s="201" t="n">
        <v>0</v>
      </c>
    </row>
    <row r="5188" ht="15" customHeight="1" s="104">
      <c r="BA5188" s="201" t="n">
        <v>0</v>
      </c>
    </row>
    <row r="5189" ht="15" customHeight="1" s="104">
      <c r="BA5189" s="201" t="n">
        <v>0</v>
      </c>
    </row>
    <row r="5190" ht="15" customHeight="1" s="104">
      <c r="BA5190" s="201" t="n">
        <v>0</v>
      </c>
    </row>
    <row r="5191" ht="15" customHeight="1" s="104">
      <c r="BA5191" s="201" t="n">
        <v>0</v>
      </c>
    </row>
    <row r="5192" ht="15" customHeight="1" s="104">
      <c r="BA5192" s="201" t="n">
        <v>0</v>
      </c>
    </row>
    <row r="5193" ht="15" customHeight="1" s="104">
      <c r="BA5193" s="201" t="n">
        <v>0</v>
      </c>
    </row>
    <row r="5194" ht="15" customHeight="1" s="104">
      <c r="BA5194" s="201" t="n">
        <v>0</v>
      </c>
    </row>
    <row r="5195" ht="15" customHeight="1" s="104">
      <c r="BA5195" s="201" t="n">
        <v>0</v>
      </c>
    </row>
    <row r="5196" ht="15" customHeight="1" s="104">
      <c r="BA5196" s="201" t="n">
        <v>0</v>
      </c>
    </row>
    <row r="5197" ht="15" customHeight="1" s="104">
      <c r="BA5197" s="201" t="n">
        <v>0</v>
      </c>
    </row>
    <row r="5198" ht="15" customHeight="1" s="104">
      <c r="BA5198" s="201" t="n">
        <v>0</v>
      </c>
    </row>
    <row r="5199" ht="15" customHeight="1" s="104">
      <c r="BA5199" s="201" t="n">
        <v>0</v>
      </c>
    </row>
    <row r="5200" ht="15" customHeight="1" s="104">
      <c r="BA5200" s="201" t="n">
        <v>0</v>
      </c>
    </row>
    <row r="5201" ht="15" customHeight="1" s="104">
      <c r="BA5201" s="201" t="n">
        <v>0</v>
      </c>
    </row>
    <row r="5202" ht="15" customHeight="1" s="104">
      <c r="BA5202" s="201" t="n">
        <v>0</v>
      </c>
    </row>
    <row r="5203" ht="15" customHeight="1" s="104">
      <c r="BA5203" s="201" t="n">
        <v>0</v>
      </c>
    </row>
    <row r="5204" ht="15" customHeight="1" s="104">
      <c r="BA5204" s="201" t="n">
        <v>0</v>
      </c>
    </row>
    <row r="5205" ht="15" customHeight="1" s="104">
      <c r="BA5205" s="201" t="n">
        <v>0</v>
      </c>
    </row>
    <row r="5206" ht="15" customHeight="1" s="104">
      <c r="BA5206" s="201" t="n">
        <v>0</v>
      </c>
    </row>
    <row r="5207" ht="15" customHeight="1" s="104">
      <c r="BA5207" s="201" t="n">
        <v>0</v>
      </c>
    </row>
    <row r="5208" ht="15" customHeight="1" s="104">
      <c r="BA5208" s="201" t="n">
        <v>0</v>
      </c>
    </row>
    <row r="5209" ht="15" customHeight="1" s="104">
      <c r="BA5209" s="201" t="n">
        <v>0</v>
      </c>
    </row>
    <row r="5210" ht="15" customHeight="1" s="104">
      <c r="BA5210" s="201" t="n">
        <v>0</v>
      </c>
    </row>
    <row r="5211" ht="15" customHeight="1" s="104">
      <c r="BA5211" s="201" t="n">
        <v>0</v>
      </c>
    </row>
    <row r="5212" ht="15" customHeight="1" s="104">
      <c r="BA5212" s="201" t="n">
        <v>0</v>
      </c>
    </row>
    <row r="5213" ht="15" customHeight="1" s="104">
      <c r="BA5213" s="201" t="n">
        <v>0</v>
      </c>
    </row>
    <row r="5214" ht="15" customHeight="1" s="104">
      <c r="BA5214" s="201" t="n">
        <v>0</v>
      </c>
    </row>
    <row r="5215" ht="15" customHeight="1" s="104">
      <c r="BA5215" s="201" t="n">
        <v>0</v>
      </c>
    </row>
    <row r="5216" ht="15" customHeight="1" s="104">
      <c r="BA5216" s="201" t="n">
        <v>0</v>
      </c>
    </row>
    <row r="5217" ht="15" customHeight="1" s="104">
      <c r="BA5217" s="201" t="n">
        <v>0</v>
      </c>
    </row>
    <row r="5218" ht="15" customHeight="1" s="104">
      <c r="BA5218" s="201" t="n">
        <v>0</v>
      </c>
    </row>
    <row r="5219" ht="15" customHeight="1" s="104">
      <c r="BA5219" s="201" t="n">
        <v>0</v>
      </c>
    </row>
    <row r="5220" ht="15" customHeight="1" s="104">
      <c r="BA5220" s="201" t="n">
        <v>0</v>
      </c>
    </row>
    <row r="5221" ht="15" customHeight="1" s="104">
      <c r="BA5221" s="201" t="n">
        <v>0</v>
      </c>
    </row>
    <row r="5222" ht="15" customHeight="1" s="104">
      <c r="BA5222" s="201" t="n">
        <v>0</v>
      </c>
    </row>
    <row r="5223" ht="15" customHeight="1" s="104">
      <c r="BA5223" s="201" t="n">
        <v>0</v>
      </c>
    </row>
    <row r="5224" ht="15" customHeight="1" s="104">
      <c r="BA5224" s="201" t="n">
        <v>0</v>
      </c>
    </row>
    <row r="5225" ht="15" customHeight="1" s="104">
      <c r="BA5225" s="201" t="n">
        <v>0</v>
      </c>
    </row>
    <row r="5226" ht="15" customHeight="1" s="104">
      <c r="BA5226" s="201" t="n">
        <v>0</v>
      </c>
    </row>
    <row r="5227" ht="15" customHeight="1" s="104">
      <c r="BA5227" s="201" t="n">
        <v>0</v>
      </c>
    </row>
    <row r="5228" ht="15" customHeight="1" s="104">
      <c r="BA5228" s="201" t="n">
        <v>0</v>
      </c>
    </row>
    <row r="5229" ht="15" customHeight="1" s="104">
      <c r="BA5229" s="201" t="n">
        <v>0</v>
      </c>
    </row>
    <row r="5230" ht="15" customHeight="1" s="104">
      <c r="BA5230" s="201" t="n">
        <v>0</v>
      </c>
    </row>
    <row r="5231" ht="15" customHeight="1" s="104">
      <c r="BA5231" s="201" t="n">
        <v>0</v>
      </c>
    </row>
    <row r="5232" ht="15" customHeight="1" s="104">
      <c r="BA5232" s="201" t="n">
        <v>0</v>
      </c>
    </row>
    <row r="5233" ht="15" customHeight="1" s="104">
      <c r="BA5233" s="201" t="n">
        <v>0</v>
      </c>
    </row>
    <row r="5234" ht="15" customHeight="1" s="104">
      <c r="BA5234" s="201" t="n">
        <v>0</v>
      </c>
    </row>
    <row r="5235" ht="15" customHeight="1" s="104">
      <c r="BA5235" s="201" t="n">
        <v>0</v>
      </c>
    </row>
    <row r="5236" ht="15" customHeight="1" s="104">
      <c r="BA5236" s="201" t="n">
        <v>0</v>
      </c>
    </row>
    <row r="5237" ht="15" customHeight="1" s="104">
      <c r="BA5237" s="201" t="n">
        <v>0</v>
      </c>
    </row>
    <row r="5238" ht="15" customHeight="1" s="104">
      <c r="BA5238" s="201" t="n">
        <v>0</v>
      </c>
    </row>
    <row r="5239" ht="15" customHeight="1" s="104">
      <c r="BA5239" s="201" t="n">
        <v>0</v>
      </c>
    </row>
    <row r="5240" ht="15" customHeight="1" s="104">
      <c r="BA5240" s="201" t="n">
        <v>0</v>
      </c>
    </row>
    <row r="5241" ht="15" customHeight="1" s="104">
      <c r="BA5241" s="201" t="n">
        <v>0</v>
      </c>
    </row>
    <row r="5242" ht="15" customHeight="1" s="104">
      <c r="BA5242" s="201" t="n">
        <v>0</v>
      </c>
    </row>
    <row r="5243" ht="15" customHeight="1" s="104">
      <c r="BA5243" s="201" t="n">
        <v>0</v>
      </c>
    </row>
    <row r="5244" ht="15" customHeight="1" s="104">
      <c r="BA5244" s="201" t="n">
        <v>0</v>
      </c>
    </row>
    <row r="5245" ht="15" customHeight="1" s="104">
      <c r="BA5245" s="201" t="n">
        <v>0</v>
      </c>
    </row>
    <row r="5246" ht="15" customHeight="1" s="104">
      <c r="BA5246" s="201" t="n">
        <v>0</v>
      </c>
    </row>
    <row r="5247" ht="15" customHeight="1" s="104">
      <c r="BA5247" s="201" t="n">
        <v>0</v>
      </c>
    </row>
    <row r="5248" ht="15" customHeight="1" s="104">
      <c r="BA5248" s="201" t="n">
        <v>0</v>
      </c>
    </row>
    <row r="5249" ht="15" customHeight="1" s="104">
      <c r="BA5249" s="201" t="n">
        <v>0</v>
      </c>
    </row>
    <row r="5250" ht="15" customHeight="1" s="104">
      <c r="BA5250" s="201" t="n">
        <v>0</v>
      </c>
    </row>
    <row r="5251" ht="15" customHeight="1" s="104">
      <c r="BA5251" s="201" t="n">
        <v>0</v>
      </c>
    </row>
    <row r="5252" ht="15" customHeight="1" s="104">
      <c r="BA5252" s="201" t="n">
        <v>0</v>
      </c>
    </row>
    <row r="5253" ht="15" customHeight="1" s="104">
      <c r="BA5253" s="201" t="n">
        <v>0</v>
      </c>
    </row>
    <row r="5254" ht="15" customHeight="1" s="104">
      <c r="BA5254" s="201" t="n">
        <v>0</v>
      </c>
    </row>
    <row r="5255" ht="15" customHeight="1" s="104">
      <c r="BA5255" s="201" t="n">
        <v>0</v>
      </c>
    </row>
    <row r="5256" ht="15" customHeight="1" s="104">
      <c r="BA5256" s="201" t="n">
        <v>0</v>
      </c>
    </row>
    <row r="5257" ht="15" customHeight="1" s="104">
      <c r="BA5257" s="201" t="n">
        <v>0</v>
      </c>
    </row>
    <row r="5258" ht="15" customHeight="1" s="104">
      <c r="BA5258" s="201" t="n">
        <v>0</v>
      </c>
    </row>
    <row r="5259" ht="15" customHeight="1" s="104">
      <c r="BA5259" s="201" t="n">
        <v>0</v>
      </c>
    </row>
    <row r="5260" ht="15" customHeight="1" s="104">
      <c r="BA5260" s="201" t="n">
        <v>0</v>
      </c>
    </row>
    <row r="5261" ht="15" customHeight="1" s="104">
      <c r="BA5261" s="201" t="n">
        <v>0</v>
      </c>
    </row>
    <row r="5262" ht="15" customHeight="1" s="104">
      <c r="BA5262" s="201" t="n">
        <v>0</v>
      </c>
    </row>
    <row r="5263" ht="15" customHeight="1" s="104">
      <c r="BA5263" s="201" t="n">
        <v>0</v>
      </c>
    </row>
    <row r="5264" ht="15" customHeight="1" s="104">
      <c r="BA5264" s="201" t="n">
        <v>0</v>
      </c>
    </row>
    <row r="5265" ht="15" customHeight="1" s="104">
      <c r="BA5265" s="201" t="n">
        <v>0</v>
      </c>
    </row>
    <row r="5266" ht="15" customHeight="1" s="104">
      <c r="BA5266" s="201" t="n">
        <v>0</v>
      </c>
    </row>
    <row r="5267" ht="15" customHeight="1" s="104">
      <c r="BA5267" s="201" t="n">
        <v>0</v>
      </c>
    </row>
    <row r="5268" ht="15" customHeight="1" s="104">
      <c r="BA5268" s="201" t="n">
        <v>0</v>
      </c>
    </row>
    <row r="5269" ht="15" customHeight="1" s="104">
      <c r="BA5269" s="201" t="n">
        <v>0</v>
      </c>
    </row>
    <row r="5270" ht="15" customHeight="1" s="104">
      <c r="BA5270" s="201" t="n">
        <v>0</v>
      </c>
    </row>
    <row r="5271" ht="15" customHeight="1" s="104">
      <c r="BA5271" s="201" t="n">
        <v>0</v>
      </c>
    </row>
    <row r="5272" ht="15" customHeight="1" s="104">
      <c r="BA5272" s="201" t="n">
        <v>0</v>
      </c>
    </row>
    <row r="5273" ht="15" customHeight="1" s="104">
      <c r="BA5273" s="201" t="n">
        <v>0</v>
      </c>
    </row>
    <row r="5274" ht="15" customHeight="1" s="104">
      <c r="BA5274" s="201" t="n">
        <v>0</v>
      </c>
    </row>
    <row r="5275" ht="15" customHeight="1" s="104">
      <c r="BA5275" s="201" t="n">
        <v>0</v>
      </c>
    </row>
    <row r="5276" ht="15" customHeight="1" s="104">
      <c r="BA5276" s="201" t="n">
        <v>0</v>
      </c>
    </row>
    <row r="5277" ht="15" customHeight="1" s="104">
      <c r="BA5277" s="201" t="n">
        <v>0</v>
      </c>
    </row>
    <row r="5278" ht="15" customHeight="1" s="104">
      <c r="BA5278" s="201" t="n">
        <v>0</v>
      </c>
    </row>
    <row r="5279" ht="15" customHeight="1" s="104">
      <c r="BA5279" s="201" t="n">
        <v>0</v>
      </c>
    </row>
    <row r="5280" ht="15" customHeight="1" s="104">
      <c r="BA5280" s="201" t="n">
        <v>0</v>
      </c>
    </row>
    <row r="5281" ht="15" customHeight="1" s="104">
      <c r="BA5281" s="201" t="n">
        <v>0</v>
      </c>
    </row>
    <row r="5282" ht="15" customHeight="1" s="104">
      <c r="BA5282" s="201" t="n">
        <v>0</v>
      </c>
    </row>
    <row r="5283" ht="15" customHeight="1" s="104">
      <c r="BA5283" s="201" t="n">
        <v>0</v>
      </c>
    </row>
    <row r="5284" ht="15" customHeight="1" s="104">
      <c r="BA5284" s="201" t="n">
        <v>0</v>
      </c>
    </row>
    <row r="5285" ht="15" customHeight="1" s="104">
      <c r="BA5285" s="201" t="n">
        <v>0</v>
      </c>
    </row>
    <row r="5286" ht="15" customHeight="1" s="104">
      <c r="BA5286" s="201" t="n">
        <v>0</v>
      </c>
    </row>
    <row r="5287" ht="15" customHeight="1" s="104">
      <c r="BA5287" s="201" t="n">
        <v>0</v>
      </c>
    </row>
    <row r="5288" ht="15" customHeight="1" s="104">
      <c r="BA5288" s="201" t="n">
        <v>0</v>
      </c>
    </row>
    <row r="5289" ht="15" customHeight="1" s="104">
      <c r="BA5289" s="201" t="n">
        <v>0</v>
      </c>
    </row>
    <row r="5290" ht="15" customHeight="1" s="104">
      <c r="BA5290" s="201" t="n">
        <v>0</v>
      </c>
    </row>
    <row r="5291" ht="15" customHeight="1" s="104">
      <c r="BA5291" s="201" t="n">
        <v>0</v>
      </c>
    </row>
    <row r="5292" ht="15" customHeight="1" s="104">
      <c r="BA5292" s="201" t="n">
        <v>0</v>
      </c>
    </row>
    <row r="5293" ht="15" customHeight="1" s="104">
      <c r="BA5293" s="201" t="n">
        <v>0</v>
      </c>
    </row>
    <row r="5294" ht="15" customHeight="1" s="104">
      <c r="BA5294" s="201" t="n">
        <v>0</v>
      </c>
    </row>
    <row r="5295" ht="15" customHeight="1" s="104">
      <c r="BA5295" s="201" t="n">
        <v>0</v>
      </c>
    </row>
    <row r="5296" ht="15" customHeight="1" s="104">
      <c r="BA5296" s="201" t="n">
        <v>0</v>
      </c>
    </row>
    <row r="5297" ht="15" customHeight="1" s="104">
      <c r="BA5297" s="201" t="n">
        <v>0</v>
      </c>
    </row>
    <row r="5298" ht="15" customHeight="1" s="104">
      <c r="BA5298" s="201" t="n">
        <v>0</v>
      </c>
    </row>
    <row r="5299" ht="15" customHeight="1" s="104">
      <c r="BA5299" s="201" t="n">
        <v>0</v>
      </c>
    </row>
    <row r="5300" ht="15" customHeight="1" s="104">
      <c r="BA5300" s="201" t="n">
        <v>0</v>
      </c>
    </row>
    <row r="5301" ht="15" customHeight="1" s="104">
      <c r="BA5301" s="201" t="n">
        <v>0</v>
      </c>
    </row>
    <row r="5302" ht="15" customHeight="1" s="104">
      <c r="BA5302" s="201" t="n">
        <v>0</v>
      </c>
    </row>
    <row r="5303" ht="15" customHeight="1" s="104">
      <c r="BA5303" s="201" t="n">
        <v>0</v>
      </c>
    </row>
    <row r="5304" ht="15" customHeight="1" s="104">
      <c r="BA5304" s="201" t="n">
        <v>0</v>
      </c>
    </row>
    <row r="5305" ht="15" customHeight="1" s="104">
      <c r="BA5305" s="201" t="n">
        <v>0</v>
      </c>
    </row>
    <row r="5306" ht="15" customHeight="1" s="104">
      <c r="BA5306" s="201" t="n">
        <v>0</v>
      </c>
    </row>
    <row r="5307" ht="15" customHeight="1" s="104">
      <c r="BA5307" s="201" t="n">
        <v>0</v>
      </c>
    </row>
    <row r="5308" ht="15" customHeight="1" s="104">
      <c r="BA5308" s="201" t="n">
        <v>0</v>
      </c>
    </row>
    <row r="5309" ht="15" customHeight="1" s="104">
      <c r="BA5309" s="201" t="n">
        <v>0</v>
      </c>
    </row>
    <row r="5310" ht="15" customHeight="1" s="104">
      <c r="BA5310" s="201" t="n">
        <v>0</v>
      </c>
    </row>
    <row r="5311" ht="15" customHeight="1" s="104">
      <c r="BA5311" s="201" t="n">
        <v>0</v>
      </c>
    </row>
    <row r="5312" ht="15" customHeight="1" s="104">
      <c r="BA5312" s="201" t="n">
        <v>0</v>
      </c>
    </row>
    <row r="5313" ht="15" customHeight="1" s="104">
      <c r="BA5313" s="201" t="n">
        <v>0</v>
      </c>
    </row>
    <row r="5314" ht="15" customHeight="1" s="104">
      <c r="BA5314" s="201" t="n">
        <v>0</v>
      </c>
    </row>
    <row r="5315" ht="15" customHeight="1" s="104">
      <c r="BA5315" s="201" t="n">
        <v>0</v>
      </c>
    </row>
    <row r="5316" ht="15" customHeight="1" s="104">
      <c r="BA5316" s="201" t="n">
        <v>0</v>
      </c>
    </row>
    <row r="5317" ht="15" customHeight="1" s="104">
      <c r="BA5317" s="201" t="n">
        <v>0</v>
      </c>
    </row>
    <row r="5318" ht="15" customHeight="1" s="104">
      <c r="BA5318" s="201" t="n">
        <v>0</v>
      </c>
    </row>
    <row r="5319" ht="15" customHeight="1" s="104">
      <c r="BA5319" s="201" t="n">
        <v>0</v>
      </c>
    </row>
    <row r="5320" ht="15" customHeight="1" s="104">
      <c r="BA5320" s="201" t="n">
        <v>0</v>
      </c>
    </row>
    <row r="5321" ht="15" customHeight="1" s="104">
      <c r="BA5321" s="201" t="n">
        <v>0</v>
      </c>
    </row>
    <row r="5322" ht="15" customHeight="1" s="104">
      <c r="BA5322" s="201" t="n">
        <v>0</v>
      </c>
    </row>
    <row r="5323" ht="15" customHeight="1" s="104">
      <c r="BA5323" s="201" t="n">
        <v>0</v>
      </c>
    </row>
    <row r="5324" ht="15" customHeight="1" s="104">
      <c r="BA5324" s="201" t="n">
        <v>0</v>
      </c>
    </row>
    <row r="5325" ht="15" customHeight="1" s="104">
      <c r="BA5325" s="201" t="n">
        <v>0</v>
      </c>
    </row>
    <row r="5326" ht="15" customHeight="1" s="104">
      <c r="BA5326" s="201" t="n">
        <v>0</v>
      </c>
    </row>
    <row r="5327" ht="15" customHeight="1" s="104">
      <c r="BA5327" s="201" t="n">
        <v>0</v>
      </c>
    </row>
    <row r="5328" ht="15" customHeight="1" s="104">
      <c r="BA5328" s="201" t="n">
        <v>0</v>
      </c>
    </row>
    <row r="5329" ht="15" customHeight="1" s="104">
      <c r="BA5329" s="201" t="n">
        <v>0</v>
      </c>
    </row>
    <row r="5330" ht="15" customHeight="1" s="104">
      <c r="BA5330" s="201" t="n">
        <v>0</v>
      </c>
    </row>
    <row r="5331" ht="15" customHeight="1" s="104">
      <c r="BA5331" s="201" t="n">
        <v>0</v>
      </c>
    </row>
    <row r="5332" ht="15" customHeight="1" s="104">
      <c r="BA5332" s="201" t="n">
        <v>0</v>
      </c>
    </row>
    <row r="5333" ht="15" customHeight="1" s="104">
      <c r="BA5333" s="201" t="n">
        <v>0</v>
      </c>
    </row>
    <row r="5334" ht="15" customHeight="1" s="104">
      <c r="BA5334" s="201" t="n">
        <v>0</v>
      </c>
    </row>
    <row r="5335" ht="15" customHeight="1" s="104">
      <c r="BA5335" s="201" t="n">
        <v>0</v>
      </c>
    </row>
    <row r="5336" ht="15" customHeight="1" s="104">
      <c r="BA5336" s="201" t="n">
        <v>0</v>
      </c>
    </row>
    <row r="5337" ht="15" customHeight="1" s="104">
      <c r="BA5337" s="201" t="n">
        <v>0</v>
      </c>
    </row>
    <row r="5338" ht="15" customHeight="1" s="104">
      <c r="BA5338" s="201" t="n">
        <v>0</v>
      </c>
    </row>
    <row r="5339" ht="15" customHeight="1" s="104">
      <c r="BA5339" s="201" t="n">
        <v>0</v>
      </c>
    </row>
    <row r="5340" ht="15" customHeight="1" s="104">
      <c r="BA5340" s="201" t="n">
        <v>0</v>
      </c>
    </row>
    <row r="5341" ht="15" customHeight="1" s="104">
      <c r="BA5341" s="201" t="n">
        <v>0</v>
      </c>
    </row>
    <row r="5342" ht="15" customHeight="1" s="104">
      <c r="BA5342" s="201" t="n">
        <v>0</v>
      </c>
    </row>
    <row r="5343" ht="15" customHeight="1" s="104">
      <c r="BA5343" s="201" t="n">
        <v>0</v>
      </c>
    </row>
    <row r="5344" ht="15" customHeight="1" s="104">
      <c r="BA5344" s="201" t="n">
        <v>0</v>
      </c>
    </row>
    <row r="5345" ht="15" customHeight="1" s="104">
      <c r="BA5345" s="201" t="n">
        <v>0</v>
      </c>
    </row>
    <row r="5346" ht="15" customHeight="1" s="104">
      <c r="BA5346" s="201" t="n">
        <v>0</v>
      </c>
    </row>
    <row r="5347" ht="15" customHeight="1" s="104">
      <c r="BA5347" s="201" t="n">
        <v>0</v>
      </c>
    </row>
    <row r="5348" ht="15" customHeight="1" s="104">
      <c r="BA5348" s="201" t="n">
        <v>0</v>
      </c>
    </row>
    <row r="5349" ht="15" customHeight="1" s="104">
      <c r="BA5349" s="201" t="n">
        <v>0</v>
      </c>
    </row>
    <row r="5350" ht="15" customHeight="1" s="104">
      <c r="BA5350" s="201" t="n">
        <v>0</v>
      </c>
    </row>
    <row r="5351" ht="15" customHeight="1" s="104">
      <c r="BA5351" s="201" t="n">
        <v>0</v>
      </c>
    </row>
    <row r="5352" ht="15" customHeight="1" s="104">
      <c r="BA5352" s="201" t="n">
        <v>0</v>
      </c>
    </row>
    <row r="5353" ht="15" customHeight="1" s="104">
      <c r="BA5353" s="201" t="n">
        <v>0</v>
      </c>
    </row>
    <row r="5354" ht="15" customHeight="1" s="104">
      <c r="BA5354" s="201" t="n">
        <v>0</v>
      </c>
    </row>
    <row r="5355" ht="15" customHeight="1" s="104">
      <c r="BA5355" s="201" t="n">
        <v>0</v>
      </c>
    </row>
    <row r="5356" ht="15" customHeight="1" s="104">
      <c r="BA5356" s="201" t="n">
        <v>0</v>
      </c>
    </row>
    <row r="5357" ht="15" customHeight="1" s="104">
      <c r="BA5357" s="201" t="n">
        <v>0</v>
      </c>
    </row>
    <row r="5358" ht="15" customHeight="1" s="104">
      <c r="BA5358" s="201" t="n">
        <v>0</v>
      </c>
    </row>
    <row r="5359" ht="15" customHeight="1" s="104">
      <c r="BA5359" s="201" t="n">
        <v>0</v>
      </c>
    </row>
    <row r="5360" ht="15" customHeight="1" s="104">
      <c r="BA5360" s="201" t="n">
        <v>0</v>
      </c>
    </row>
    <row r="5361" ht="15" customHeight="1" s="104">
      <c r="BA5361" s="201" t="n">
        <v>0</v>
      </c>
    </row>
    <row r="5362" ht="15" customHeight="1" s="104">
      <c r="BA5362" s="201" t="n">
        <v>0</v>
      </c>
    </row>
    <row r="5363" ht="15" customHeight="1" s="104">
      <c r="BA5363" s="201" t="n">
        <v>0</v>
      </c>
    </row>
    <row r="5364" ht="15" customHeight="1" s="104">
      <c r="BA5364" s="201" t="n">
        <v>0</v>
      </c>
    </row>
    <row r="5365" ht="15" customHeight="1" s="104">
      <c r="BA5365" s="201" t="n">
        <v>0</v>
      </c>
    </row>
    <row r="5366" ht="15" customHeight="1" s="104">
      <c r="BA5366" s="201" t="n">
        <v>0</v>
      </c>
    </row>
    <row r="5367" ht="15" customHeight="1" s="104">
      <c r="BA5367" s="201" t="n">
        <v>0</v>
      </c>
    </row>
    <row r="5368" ht="15" customHeight="1" s="104">
      <c r="BA5368" s="201" t="n">
        <v>0</v>
      </c>
    </row>
    <row r="5369" ht="15" customHeight="1" s="104">
      <c r="BA5369" s="201" t="n">
        <v>0</v>
      </c>
    </row>
    <row r="5370" ht="15" customHeight="1" s="104">
      <c r="BA5370" s="201" t="n">
        <v>0</v>
      </c>
    </row>
    <row r="5371" ht="15" customHeight="1" s="104">
      <c r="BA5371" s="201" t="n">
        <v>0</v>
      </c>
    </row>
    <row r="5372" ht="15" customHeight="1" s="104">
      <c r="BA5372" s="201" t="n">
        <v>0</v>
      </c>
    </row>
    <row r="5373" ht="15" customHeight="1" s="104">
      <c r="BA5373" s="201" t="n">
        <v>0</v>
      </c>
    </row>
    <row r="5374" ht="15" customHeight="1" s="104">
      <c r="BA5374" s="201" t="n">
        <v>0</v>
      </c>
    </row>
    <row r="5375" ht="15" customHeight="1" s="104">
      <c r="BA5375" s="201" t="n">
        <v>0</v>
      </c>
    </row>
    <row r="5376" ht="15" customHeight="1" s="104">
      <c r="BA5376" s="201" t="n">
        <v>0</v>
      </c>
    </row>
    <row r="5377" ht="15" customHeight="1" s="104">
      <c r="BA5377" s="201" t="n">
        <v>0</v>
      </c>
    </row>
    <row r="5378" ht="15" customHeight="1" s="104">
      <c r="BA5378" s="201" t="n">
        <v>0</v>
      </c>
    </row>
    <row r="5379" ht="15" customHeight="1" s="104">
      <c r="BA5379" s="201" t="n">
        <v>0</v>
      </c>
    </row>
    <row r="5380" ht="15" customHeight="1" s="104">
      <c r="BA5380" s="201" t="n">
        <v>0</v>
      </c>
    </row>
    <row r="5381" ht="15" customHeight="1" s="104">
      <c r="BA5381" s="201" t="n">
        <v>0</v>
      </c>
    </row>
    <row r="5382" ht="15" customHeight="1" s="104">
      <c r="BA5382" s="201" t="n">
        <v>0</v>
      </c>
    </row>
    <row r="5383" ht="15" customHeight="1" s="104">
      <c r="BA5383" s="201" t="n">
        <v>0</v>
      </c>
    </row>
    <row r="5384" ht="15" customHeight="1" s="104">
      <c r="BA5384" s="201" t="n">
        <v>0</v>
      </c>
    </row>
    <row r="5385" ht="15" customHeight="1" s="104">
      <c r="BA5385" s="201" t="n">
        <v>0</v>
      </c>
    </row>
    <row r="5386" ht="15" customHeight="1" s="104">
      <c r="BA5386" s="201" t="n">
        <v>0</v>
      </c>
    </row>
    <row r="5387" ht="15" customHeight="1" s="104">
      <c r="BA5387" s="201" t="n">
        <v>0</v>
      </c>
    </row>
    <row r="5388" ht="15" customHeight="1" s="104">
      <c r="BA5388" s="201" t="n">
        <v>0</v>
      </c>
    </row>
    <row r="5389" ht="15" customHeight="1" s="104">
      <c r="BA5389" s="201" t="n">
        <v>0</v>
      </c>
    </row>
    <row r="5390" ht="15" customHeight="1" s="104">
      <c r="BA5390" s="201" t="n">
        <v>0</v>
      </c>
    </row>
    <row r="5391" ht="15" customHeight="1" s="104">
      <c r="BA5391" s="201" t="n">
        <v>0</v>
      </c>
    </row>
    <row r="5392" ht="15" customHeight="1" s="104">
      <c r="BA5392" s="201" t="n">
        <v>0</v>
      </c>
    </row>
    <row r="5393" ht="15" customHeight="1" s="104">
      <c r="BA5393" s="201" t="n">
        <v>0</v>
      </c>
    </row>
    <row r="5394" ht="15" customHeight="1" s="104">
      <c r="BA5394" s="201" t="n">
        <v>0</v>
      </c>
    </row>
    <row r="5395" ht="15" customHeight="1" s="104">
      <c r="BA5395" s="201" t="n">
        <v>0</v>
      </c>
    </row>
    <row r="5396" ht="15" customHeight="1" s="104">
      <c r="BA5396" s="201" t="n">
        <v>0</v>
      </c>
    </row>
    <row r="5397" ht="15" customHeight="1" s="104">
      <c r="BA5397" s="201" t="n">
        <v>0</v>
      </c>
    </row>
    <row r="5398" ht="15" customHeight="1" s="104">
      <c r="BA5398" s="201" t="n">
        <v>0</v>
      </c>
    </row>
    <row r="5399" ht="15" customHeight="1" s="104">
      <c r="BA5399" s="201" t="n">
        <v>0</v>
      </c>
    </row>
    <row r="5400" ht="15" customHeight="1" s="104">
      <c r="BA5400" s="201" t="n">
        <v>0</v>
      </c>
    </row>
    <row r="5401" ht="15" customHeight="1" s="104">
      <c r="BA5401" s="201" t="n">
        <v>0</v>
      </c>
    </row>
    <row r="5402" ht="15" customHeight="1" s="104">
      <c r="BA5402" s="201" t="n">
        <v>0</v>
      </c>
    </row>
    <row r="5403" ht="15" customHeight="1" s="104">
      <c r="BA5403" s="201" t="n">
        <v>0</v>
      </c>
    </row>
    <row r="5404" ht="15" customHeight="1" s="104">
      <c r="BA5404" s="201" t="n">
        <v>0</v>
      </c>
    </row>
    <row r="5405" ht="15" customHeight="1" s="104">
      <c r="BA5405" s="201" t="n">
        <v>0</v>
      </c>
    </row>
    <row r="5406" ht="15" customHeight="1" s="104">
      <c r="BA5406" s="201" t="n">
        <v>0</v>
      </c>
    </row>
    <row r="5407" ht="15" customHeight="1" s="104">
      <c r="BA5407" s="201" t="n">
        <v>0</v>
      </c>
    </row>
    <row r="5408" ht="15" customHeight="1" s="104">
      <c r="BA5408" s="201" t="n">
        <v>0</v>
      </c>
    </row>
    <row r="5409" ht="15" customHeight="1" s="104">
      <c r="BA5409" s="201" t="n">
        <v>0</v>
      </c>
    </row>
    <row r="5410" ht="15" customHeight="1" s="104">
      <c r="BA5410" s="201" t="n">
        <v>0</v>
      </c>
    </row>
    <row r="5411" ht="15" customHeight="1" s="104">
      <c r="BA5411" s="201" t="n">
        <v>0</v>
      </c>
    </row>
    <row r="5412" ht="15" customHeight="1" s="104">
      <c r="BA5412" s="201" t="n">
        <v>0</v>
      </c>
    </row>
    <row r="5413" ht="15" customHeight="1" s="104">
      <c r="BA5413" s="201" t="n">
        <v>0</v>
      </c>
    </row>
    <row r="5414" ht="15" customHeight="1" s="104">
      <c r="BA5414" s="201" t="n">
        <v>0</v>
      </c>
    </row>
    <row r="5415" ht="15" customHeight="1" s="104">
      <c r="BA5415" s="201" t="n">
        <v>0</v>
      </c>
    </row>
    <row r="5416" ht="15" customHeight="1" s="104">
      <c r="BA5416" s="201" t="n">
        <v>0</v>
      </c>
    </row>
    <row r="5417" ht="15" customHeight="1" s="104">
      <c r="BA5417" s="201" t="n">
        <v>0</v>
      </c>
    </row>
    <row r="5418" ht="15" customHeight="1" s="104">
      <c r="BA5418" s="201" t="n">
        <v>0</v>
      </c>
    </row>
    <row r="5419" ht="15" customHeight="1" s="104">
      <c r="BA5419" s="201" t="n">
        <v>0</v>
      </c>
    </row>
    <row r="5420" ht="15" customHeight="1" s="104">
      <c r="BA5420" s="201" t="n">
        <v>0</v>
      </c>
    </row>
    <row r="5421" ht="15" customHeight="1" s="104">
      <c r="BA5421" s="201" t="n">
        <v>0</v>
      </c>
    </row>
    <row r="5422" ht="15" customHeight="1" s="104">
      <c r="BA5422" s="201" t="n">
        <v>0</v>
      </c>
    </row>
    <row r="5423" ht="15" customHeight="1" s="104">
      <c r="BA5423" s="201" t="n">
        <v>0</v>
      </c>
    </row>
    <row r="5424" ht="15" customHeight="1" s="104">
      <c r="BA5424" s="201" t="n">
        <v>0</v>
      </c>
    </row>
    <row r="5425" ht="15" customHeight="1" s="104">
      <c r="BA5425" s="201" t="n">
        <v>0</v>
      </c>
    </row>
    <row r="5426" ht="15" customHeight="1" s="104">
      <c r="BA5426" s="201" t="n">
        <v>0</v>
      </c>
    </row>
    <row r="5427" ht="15" customHeight="1" s="104">
      <c r="BA5427" s="201" t="n">
        <v>0</v>
      </c>
    </row>
    <row r="5428" ht="15" customHeight="1" s="104">
      <c r="BA5428" s="201" t="n">
        <v>0</v>
      </c>
    </row>
    <row r="5429" ht="15" customHeight="1" s="104">
      <c r="BA5429" s="201" t="n">
        <v>0</v>
      </c>
    </row>
    <row r="5430" ht="15" customHeight="1" s="104">
      <c r="BA5430" s="201" t="n">
        <v>0</v>
      </c>
    </row>
    <row r="5431" ht="15" customHeight="1" s="104">
      <c r="BA5431" s="201" t="n">
        <v>0</v>
      </c>
    </row>
    <row r="5432" ht="15" customHeight="1" s="104">
      <c r="BA5432" s="201" t="n">
        <v>0</v>
      </c>
    </row>
    <row r="5433" ht="15" customHeight="1" s="104">
      <c r="BA5433" s="201" t="n">
        <v>0</v>
      </c>
    </row>
    <row r="5434" ht="15" customHeight="1" s="104">
      <c r="BA5434" s="201" t="n">
        <v>0</v>
      </c>
    </row>
    <row r="5435" ht="15" customHeight="1" s="104">
      <c r="BA5435" s="201" t="n">
        <v>0</v>
      </c>
    </row>
    <row r="5436" ht="15" customHeight="1" s="104">
      <c r="BA5436" s="201" t="n">
        <v>0</v>
      </c>
    </row>
    <row r="5437" ht="15" customHeight="1" s="104">
      <c r="BA5437" s="201" t="n">
        <v>0</v>
      </c>
    </row>
    <row r="5438" ht="15" customHeight="1" s="104">
      <c r="BA5438" s="201" t="n">
        <v>0</v>
      </c>
    </row>
    <row r="5439" ht="15" customHeight="1" s="104">
      <c r="BA5439" s="201" t="n">
        <v>0</v>
      </c>
    </row>
    <row r="5440" ht="15" customHeight="1" s="104">
      <c r="BA5440" s="201" t="n">
        <v>0</v>
      </c>
    </row>
    <row r="5441" ht="15" customHeight="1" s="104">
      <c r="BA5441" s="201" t="n">
        <v>0</v>
      </c>
    </row>
    <row r="5442" ht="15" customHeight="1" s="104">
      <c r="BA5442" s="201" t="n">
        <v>0</v>
      </c>
    </row>
    <row r="5443" ht="15" customHeight="1" s="104">
      <c r="BA5443" s="201" t="n">
        <v>0</v>
      </c>
    </row>
    <row r="5444" ht="15" customHeight="1" s="104">
      <c r="BA5444" s="201" t="n">
        <v>0</v>
      </c>
    </row>
    <row r="5445" ht="15" customHeight="1" s="104">
      <c r="BA5445" s="201" t="n">
        <v>0</v>
      </c>
    </row>
    <row r="5446" ht="15" customHeight="1" s="104">
      <c r="BA5446" s="201" t="n">
        <v>0</v>
      </c>
    </row>
    <row r="5447" ht="15" customHeight="1" s="104">
      <c r="BA5447" s="201" t="n">
        <v>0</v>
      </c>
    </row>
    <row r="5448" ht="15" customHeight="1" s="104">
      <c r="BA5448" s="201" t="n">
        <v>0</v>
      </c>
    </row>
    <row r="5449" ht="15" customHeight="1" s="104">
      <c r="BA5449" s="201" t="n">
        <v>0</v>
      </c>
    </row>
    <row r="5450" ht="15" customHeight="1" s="104">
      <c r="BA5450" s="201" t="n">
        <v>0</v>
      </c>
    </row>
    <row r="5451" ht="15" customHeight="1" s="104">
      <c r="BA5451" s="201" t="n">
        <v>0</v>
      </c>
    </row>
    <row r="5452" ht="15" customHeight="1" s="104">
      <c r="BA5452" s="201" t="n">
        <v>0</v>
      </c>
    </row>
    <row r="5453" ht="15" customHeight="1" s="104">
      <c r="BA5453" s="201" t="n">
        <v>0</v>
      </c>
    </row>
    <row r="5454" ht="15" customHeight="1" s="104">
      <c r="BA5454" s="201" t="n">
        <v>0</v>
      </c>
    </row>
    <row r="5455" ht="15" customHeight="1" s="104">
      <c r="BA5455" s="201" t="n">
        <v>0</v>
      </c>
    </row>
    <row r="5456" ht="15" customHeight="1" s="104">
      <c r="BA5456" s="201" t="n">
        <v>0</v>
      </c>
    </row>
    <row r="5457" ht="15" customHeight="1" s="104">
      <c r="BA5457" s="201" t="n">
        <v>0</v>
      </c>
    </row>
    <row r="5458" ht="15" customHeight="1" s="104">
      <c r="BA5458" s="201" t="n">
        <v>0</v>
      </c>
    </row>
    <row r="5459" ht="15" customHeight="1" s="104">
      <c r="BA5459" s="201" t="n">
        <v>0</v>
      </c>
    </row>
    <row r="5460" ht="15" customHeight="1" s="104">
      <c r="BA5460" s="201" t="n">
        <v>0</v>
      </c>
    </row>
    <row r="5461" ht="15" customHeight="1" s="104">
      <c r="BA5461" s="201" t="n">
        <v>0</v>
      </c>
    </row>
    <row r="5462" ht="15" customHeight="1" s="104">
      <c r="BA5462" s="201" t="n">
        <v>0</v>
      </c>
    </row>
    <row r="5463" ht="15" customHeight="1" s="104">
      <c r="BA5463" s="201" t="n">
        <v>0</v>
      </c>
    </row>
    <row r="5464" ht="15" customHeight="1" s="104">
      <c r="BA5464" s="201" t="n">
        <v>0</v>
      </c>
    </row>
    <row r="5465" ht="15" customHeight="1" s="104">
      <c r="BA5465" s="201" t="n">
        <v>0</v>
      </c>
    </row>
    <row r="5466" ht="15" customHeight="1" s="104">
      <c r="BA5466" s="201" t="n">
        <v>0</v>
      </c>
    </row>
    <row r="5467" ht="15" customHeight="1" s="104">
      <c r="BA5467" s="201" t="n">
        <v>0</v>
      </c>
    </row>
    <row r="5468" ht="15" customHeight="1" s="104">
      <c r="BA5468" s="201" t="n">
        <v>0</v>
      </c>
    </row>
    <row r="5469" ht="15" customHeight="1" s="104">
      <c r="BA5469" s="201" t="n">
        <v>0</v>
      </c>
    </row>
    <row r="5470" ht="15" customHeight="1" s="104">
      <c r="BA5470" s="201" t="n">
        <v>0</v>
      </c>
    </row>
    <row r="5471" ht="15" customHeight="1" s="104">
      <c r="BA5471" s="201" t="n">
        <v>0</v>
      </c>
    </row>
    <row r="5472" ht="15" customHeight="1" s="104">
      <c r="BA5472" s="201" t="n">
        <v>0</v>
      </c>
    </row>
    <row r="5473" ht="15" customHeight="1" s="104">
      <c r="BA5473" s="201" t="n">
        <v>0</v>
      </c>
    </row>
    <row r="5474" ht="15" customHeight="1" s="104">
      <c r="BA5474" s="201" t="n">
        <v>0</v>
      </c>
    </row>
    <row r="5475" ht="15" customHeight="1" s="104">
      <c r="BA5475" s="201" t="n">
        <v>0</v>
      </c>
    </row>
    <row r="5476" ht="15" customHeight="1" s="104">
      <c r="BA5476" s="201" t="n">
        <v>0</v>
      </c>
    </row>
    <row r="5477" ht="15" customHeight="1" s="104">
      <c r="BA5477" s="201" t="n">
        <v>0</v>
      </c>
    </row>
    <row r="5478" ht="15" customHeight="1" s="104">
      <c r="BA5478" s="201" t="n">
        <v>0</v>
      </c>
    </row>
    <row r="5479" ht="15" customHeight="1" s="104">
      <c r="BA5479" s="201" t="n">
        <v>0</v>
      </c>
    </row>
    <row r="5480" ht="15" customHeight="1" s="104">
      <c r="BA5480" s="201" t="n">
        <v>0</v>
      </c>
    </row>
    <row r="5481" ht="15" customHeight="1" s="104">
      <c r="BA5481" s="201" t="n">
        <v>0</v>
      </c>
    </row>
    <row r="5482" ht="15" customHeight="1" s="104">
      <c r="BA5482" s="201" t="n">
        <v>0</v>
      </c>
    </row>
    <row r="5483" ht="15" customHeight="1" s="104">
      <c r="BA5483" s="201" t="n">
        <v>0</v>
      </c>
    </row>
    <row r="5484" ht="15" customHeight="1" s="104">
      <c r="BA5484" s="201" t="n">
        <v>0</v>
      </c>
    </row>
    <row r="5485" ht="15" customHeight="1" s="104">
      <c r="BA5485" s="201" t="n">
        <v>0</v>
      </c>
    </row>
    <row r="5486" ht="15" customHeight="1" s="104">
      <c r="BA5486" s="201" t="n">
        <v>0</v>
      </c>
    </row>
    <row r="5487" ht="15" customHeight="1" s="104">
      <c r="BA5487" s="201" t="n">
        <v>0</v>
      </c>
    </row>
    <row r="5488" ht="15" customHeight="1" s="104">
      <c r="BA5488" s="201" t="n">
        <v>0</v>
      </c>
    </row>
    <row r="5489" ht="15" customHeight="1" s="104">
      <c r="BA5489" s="201" t="n">
        <v>0</v>
      </c>
    </row>
    <row r="5490" ht="15" customHeight="1" s="104">
      <c r="BA5490" s="201" t="n">
        <v>0</v>
      </c>
    </row>
    <row r="5491" ht="15" customHeight="1" s="104">
      <c r="BA5491" s="201" t="n">
        <v>0</v>
      </c>
    </row>
    <row r="5492" ht="15" customHeight="1" s="104">
      <c r="BA5492" s="201" t="n">
        <v>0</v>
      </c>
    </row>
    <row r="5493" ht="15" customHeight="1" s="104">
      <c r="BA5493" s="201" t="n">
        <v>0</v>
      </c>
    </row>
    <row r="5494" ht="15" customHeight="1" s="104">
      <c r="BA5494" s="201" t="n">
        <v>0</v>
      </c>
    </row>
    <row r="5495" ht="15" customHeight="1" s="104">
      <c r="BA5495" s="201" t="n">
        <v>0</v>
      </c>
    </row>
    <row r="5496" ht="15" customHeight="1" s="104">
      <c r="BA5496" s="201" t="n">
        <v>0</v>
      </c>
    </row>
    <row r="5497" ht="15" customHeight="1" s="104">
      <c r="BA5497" s="201" t="n">
        <v>0</v>
      </c>
    </row>
    <row r="5498" ht="15" customHeight="1" s="104">
      <c r="BA5498" s="201" t="n">
        <v>0</v>
      </c>
    </row>
    <row r="5499" ht="15" customHeight="1" s="104">
      <c r="BA5499" s="201" t="n">
        <v>0</v>
      </c>
    </row>
    <row r="5500" ht="15" customHeight="1" s="104">
      <c r="BA5500" s="201" t="n">
        <v>0</v>
      </c>
    </row>
    <row r="5501" ht="15" customHeight="1" s="104">
      <c r="BA5501" s="201" t="n">
        <v>0</v>
      </c>
    </row>
    <row r="5502" ht="15" customHeight="1" s="104">
      <c r="BA5502" s="201" t="n">
        <v>0</v>
      </c>
    </row>
    <row r="5503" ht="15" customHeight="1" s="104">
      <c r="BA5503" s="201" t="n">
        <v>0</v>
      </c>
    </row>
    <row r="5504" ht="15" customHeight="1" s="104">
      <c r="BA5504" s="201" t="n">
        <v>0</v>
      </c>
    </row>
    <row r="5505" ht="15" customHeight="1" s="104">
      <c r="BA5505" s="201" t="n">
        <v>0</v>
      </c>
    </row>
    <row r="5506" ht="15" customHeight="1" s="104">
      <c r="BA5506" s="201" t="n">
        <v>0</v>
      </c>
    </row>
    <row r="5507" ht="15" customHeight="1" s="104">
      <c r="BA5507" s="201" t="n">
        <v>0</v>
      </c>
    </row>
    <row r="5508" ht="15" customHeight="1" s="104">
      <c r="BA5508" s="201" t="n">
        <v>0</v>
      </c>
    </row>
    <row r="5509" ht="15" customHeight="1" s="104">
      <c r="BA5509" s="201" t="n">
        <v>0</v>
      </c>
    </row>
    <row r="5510" ht="15" customHeight="1" s="104">
      <c r="BA5510" s="201" t="n">
        <v>0</v>
      </c>
    </row>
    <row r="5511" ht="15" customHeight="1" s="104">
      <c r="BA5511" s="201" t="n">
        <v>0</v>
      </c>
    </row>
    <row r="5512" ht="15" customHeight="1" s="104">
      <c r="BA5512" s="201" t="n">
        <v>0</v>
      </c>
    </row>
    <row r="5513" ht="15" customHeight="1" s="104">
      <c r="BA5513" s="201" t="n">
        <v>0</v>
      </c>
    </row>
    <row r="5514" ht="15" customHeight="1" s="104">
      <c r="BA5514" s="201" t="n">
        <v>0</v>
      </c>
    </row>
    <row r="5515" ht="15" customHeight="1" s="104">
      <c r="BA5515" s="201" t="n">
        <v>0</v>
      </c>
    </row>
    <row r="5516" ht="15" customHeight="1" s="104">
      <c r="BA5516" s="201" t="n">
        <v>0</v>
      </c>
    </row>
    <row r="5517" ht="15" customHeight="1" s="104">
      <c r="BA5517" s="201" t="n">
        <v>0</v>
      </c>
    </row>
    <row r="5518" ht="15" customHeight="1" s="104">
      <c r="BA5518" s="201" t="n">
        <v>0</v>
      </c>
    </row>
    <row r="5519" ht="15" customHeight="1" s="104">
      <c r="BA5519" s="201" t="n">
        <v>0</v>
      </c>
    </row>
    <row r="5520" ht="15" customHeight="1" s="104">
      <c r="BA5520" s="201" t="n">
        <v>0</v>
      </c>
    </row>
    <row r="5521" ht="15" customHeight="1" s="104">
      <c r="BA5521" s="201" t="n">
        <v>0</v>
      </c>
    </row>
    <row r="5522" ht="15" customHeight="1" s="104">
      <c r="BA5522" s="201" t="n">
        <v>0</v>
      </c>
    </row>
    <row r="5523" ht="15" customHeight="1" s="104">
      <c r="BA5523" s="201" t="n">
        <v>0</v>
      </c>
    </row>
    <row r="5524" ht="15" customHeight="1" s="104">
      <c r="BA5524" s="201" t="n">
        <v>0</v>
      </c>
    </row>
    <row r="5525" ht="15" customHeight="1" s="104">
      <c r="BA5525" s="201" t="n">
        <v>0</v>
      </c>
    </row>
    <row r="5526" ht="15" customHeight="1" s="104">
      <c r="BA5526" s="201" t="n">
        <v>0</v>
      </c>
    </row>
    <row r="5527" ht="15" customHeight="1" s="104">
      <c r="BA5527" s="201" t="n">
        <v>0</v>
      </c>
    </row>
    <row r="5528" ht="15" customHeight="1" s="104">
      <c r="BA5528" s="201" t="n">
        <v>0</v>
      </c>
    </row>
    <row r="5529" ht="15" customHeight="1" s="104">
      <c r="BA5529" s="201" t="n">
        <v>0</v>
      </c>
    </row>
    <row r="5530" ht="15" customHeight="1" s="104">
      <c r="BA5530" s="201" t="n">
        <v>0</v>
      </c>
    </row>
    <row r="5531" ht="15" customHeight="1" s="104">
      <c r="BA5531" s="201" t="n">
        <v>0</v>
      </c>
    </row>
    <row r="5532" ht="15" customHeight="1" s="104">
      <c r="BA5532" s="201" t="n">
        <v>0</v>
      </c>
    </row>
    <row r="5533" ht="15" customHeight="1" s="104">
      <c r="BA5533" s="201" t="n">
        <v>0</v>
      </c>
    </row>
    <row r="5534" ht="15" customHeight="1" s="104">
      <c r="BA5534" s="201" t="n">
        <v>0</v>
      </c>
    </row>
    <row r="5535" ht="15" customHeight="1" s="104">
      <c r="BA5535" s="201" t="n">
        <v>0</v>
      </c>
    </row>
    <row r="5536" ht="15" customHeight="1" s="104">
      <c r="BA5536" s="201" t="n">
        <v>0</v>
      </c>
    </row>
    <row r="5537" ht="15" customHeight="1" s="104">
      <c r="BA5537" s="201" t="n">
        <v>0</v>
      </c>
    </row>
    <row r="5538" ht="15" customHeight="1" s="104">
      <c r="BA5538" s="201" t="n">
        <v>0</v>
      </c>
    </row>
    <row r="5539" ht="15" customHeight="1" s="104">
      <c r="BA5539" s="201" t="n">
        <v>0</v>
      </c>
    </row>
    <row r="5540" ht="15" customHeight="1" s="104">
      <c r="BA5540" s="201" t="n">
        <v>0</v>
      </c>
    </row>
    <row r="5541" ht="15" customHeight="1" s="104">
      <c r="BA5541" s="201" t="n">
        <v>0</v>
      </c>
    </row>
    <row r="5542" ht="15" customHeight="1" s="104">
      <c r="BA5542" s="201" t="n">
        <v>0</v>
      </c>
    </row>
    <row r="5543" ht="15" customHeight="1" s="104">
      <c r="BA5543" s="201" t="n">
        <v>0</v>
      </c>
    </row>
    <row r="5544" ht="15" customHeight="1" s="104">
      <c r="BA5544" s="201" t="n">
        <v>0</v>
      </c>
    </row>
    <row r="5545" ht="15" customHeight="1" s="104">
      <c r="BA5545" s="201" t="n">
        <v>0</v>
      </c>
    </row>
    <row r="5546" ht="15" customHeight="1" s="104">
      <c r="BA5546" s="201" t="n">
        <v>0</v>
      </c>
    </row>
    <row r="5547" ht="15" customHeight="1" s="104">
      <c r="BA5547" s="201" t="n">
        <v>0</v>
      </c>
    </row>
    <row r="5548" ht="15" customHeight="1" s="104">
      <c r="BA5548" s="201" t="n">
        <v>0</v>
      </c>
    </row>
    <row r="5549" ht="15" customHeight="1" s="104">
      <c r="BA5549" s="201" t="n">
        <v>0</v>
      </c>
    </row>
    <row r="5550" ht="15" customHeight="1" s="104">
      <c r="BA5550" s="201" t="n">
        <v>0</v>
      </c>
    </row>
    <row r="5551" ht="15" customHeight="1" s="104">
      <c r="BA5551" s="201" t="n">
        <v>0</v>
      </c>
    </row>
    <row r="5552" ht="15" customHeight="1" s="104">
      <c r="BA5552" s="201" t="n">
        <v>0</v>
      </c>
    </row>
    <row r="5553" ht="15" customHeight="1" s="104">
      <c r="BA5553" s="201" t="n">
        <v>0</v>
      </c>
    </row>
    <row r="5554" ht="15" customHeight="1" s="104">
      <c r="BA5554" s="201" t="n">
        <v>0</v>
      </c>
    </row>
    <row r="5555" ht="15" customHeight="1" s="104">
      <c r="BA5555" s="201" t="n">
        <v>0</v>
      </c>
    </row>
    <row r="5556" ht="15" customHeight="1" s="104">
      <c r="BA5556" s="201" t="n">
        <v>0</v>
      </c>
    </row>
    <row r="5557" ht="15" customHeight="1" s="104">
      <c r="BA5557" s="201" t="n">
        <v>0</v>
      </c>
    </row>
    <row r="5558" ht="15" customHeight="1" s="104">
      <c r="BA5558" s="201" t="n">
        <v>0</v>
      </c>
    </row>
    <row r="5559" ht="15" customHeight="1" s="104">
      <c r="BA5559" s="201" t="n">
        <v>0</v>
      </c>
    </row>
    <row r="5560" ht="15" customHeight="1" s="104">
      <c r="BA5560" s="201" t="n">
        <v>0</v>
      </c>
    </row>
    <row r="5561" ht="15" customHeight="1" s="104">
      <c r="BA5561" s="201" t="n">
        <v>0</v>
      </c>
    </row>
    <row r="5562" ht="15" customHeight="1" s="104">
      <c r="BA5562" s="201" t="n">
        <v>0</v>
      </c>
    </row>
    <row r="5563" ht="15" customHeight="1" s="104">
      <c r="BA5563" s="201" t="n">
        <v>0</v>
      </c>
    </row>
    <row r="5564" ht="15" customHeight="1" s="104">
      <c r="BA5564" s="201" t="n">
        <v>0</v>
      </c>
    </row>
    <row r="5565" ht="15" customHeight="1" s="104">
      <c r="BA5565" s="201" t="n">
        <v>0</v>
      </c>
    </row>
    <row r="5566" ht="15" customHeight="1" s="104">
      <c r="BA5566" s="201" t="n">
        <v>0</v>
      </c>
    </row>
    <row r="5567" ht="15" customHeight="1" s="104">
      <c r="BA5567" s="201" t="n">
        <v>0</v>
      </c>
    </row>
    <row r="5568" ht="15" customHeight="1" s="104">
      <c r="BA5568" s="201" t="n">
        <v>0</v>
      </c>
    </row>
    <row r="5569" ht="15" customHeight="1" s="104">
      <c r="BA5569" s="201" t="n">
        <v>0</v>
      </c>
    </row>
    <row r="5570" ht="15" customHeight="1" s="104">
      <c r="BA5570" s="201" t="n">
        <v>0</v>
      </c>
    </row>
    <row r="5571" ht="15" customHeight="1" s="104">
      <c r="BA5571" s="201" t="n">
        <v>0</v>
      </c>
    </row>
    <row r="5572" ht="15" customHeight="1" s="104">
      <c r="BA5572" s="201" t="n">
        <v>0</v>
      </c>
    </row>
    <row r="5573" ht="15" customHeight="1" s="104">
      <c r="BA5573" s="201" t="n">
        <v>0</v>
      </c>
    </row>
    <row r="5574" ht="15" customHeight="1" s="104">
      <c r="BA5574" s="201" t="n">
        <v>0</v>
      </c>
    </row>
    <row r="5575" ht="15" customHeight="1" s="104">
      <c r="BA5575" s="201" t="n">
        <v>0</v>
      </c>
    </row>
    <row r="5576" ht="15" customHeight="1" s="104">
      <c r="BA5576" s="201" t="n">
        <v>0</v>
      </c>
    </row>
    <row r="5577" ht="15" customHeight="1" s="104">
      <c r="BA5577" s="201" t="n">
        <v>0</v>
      </c>
    </row>
    <row r="5578" ht="15" customHeight="1" s="104">
      <c r="BA5578" s="201" t="n">
        <v>0</v>
      </c>
    </row>
    <row r="5579" ht="15" customHeight="1" s="104">
      <c r="BA5579" s="201" t="n">
        <v>0</v>
      </c>
    </row>
    <row r="5580" ht="15" customHeight="1" s="104">
      <c r="BA5580" s="201" t="n">
        <v>0</v>
      </c>
    </row>
    <row r="5581" ht="15" customHeight="1" s="104">
      <c r="BA5581" s="201" t="n">
        <v>0</v>
      </c>
    </row>
    <row r="5582" ht="15" customHeight="1" s="104">
      <c r="BA5582" s="201" t="n">
        <v>0</v>
      </c>
    </row>
    <row r="5583" ht="15" customHeight="1" s="104">
      <c r="BA5583" s="201" t="n">
        <v>0</v>
      </c>
    </row>
    <row r="5584" ht="15" customHeight="1" s="104">
      <c r="BA5584" s="201" t="n">
        <v>0</v>
      </c>
    </row>
    <row r="5585" ht="15" customHeight="1" s="104">
      <c r="BA5585" s="201" t="n">
        <v>0</v>
      </c>
    </row>
    <row r="5586" ht="15" customHeight="1" s="104">
      <c r="BA5586" s="201" t="n">
        <v>0</v>
      </c>
    </row>
    <row r="5587" ht="15" customHeight="1" s="104">
      <c r="BA5587" s="201" t="n">
        <v>0</v>
      </c>
    </row>
    <row r="5588" ht="15" customHeight="1" s="104">
      <c r="BA5588" s="201" t="n">
        <v>0</v>
      </c>
    </row>
    <row r="5589" ht="15" customHeight="1" s="104">
      <c r="BA5589" s="201" t="n">
        <v>0</v>
      </c>
    </row>
    <row r="5590" ht="15" customHeight="1" s="104">
      <c r="BA5590" s="201" t="n">
        <v>0</v>
      </c>
    </row>
    <row r="5591" ht="15" customHeight="1" s="104">
      <c r="BA5591" s="201" t="n">
        <v>0</v>
      </c>
    </row>
    <row r="5592" ht="15" customHeight="1" s="104">
      <c r="BA5592" s="201" t="n">
        <v>0</v>
      </c>
    </row>
    <row r="5593" ht="15" customHeight="1" s="104">
      <c r="BA5593" s="201" t="n">
        <v>0</v>
      </c>
    </row>
    <row r="5594" ht="15" customHeight="1" s="104">
      <c r="BA5594" s="201" t="n">
        <v>0</v>
      </c>
    </row>
    <row r="5595" ht="15" customHeight="1" s="104">
      <c r="BA5595" s="201" t="n">
        <v>0</v>
      </c>
    </row>
    <row r="5596" ht="15" customHeight="1" s="104">
      <c r="BA5596" s="201" t="n">
        <v>0</v>
      </c>
    </row>
    <row r="5597" ht="15" customHeight="1" s="104">
      <c r="BA5597" s="201" t="n">
        <v>0</v>
      </c>
    </row>
    <row r="5598" ht="15" customHeight="1" s="104">
      <c r="BA5598" s="201" t="n">
        <v>0</v>
      </c>
    </row>
    <row r="5599" ht="15" customHeight="1" s="104">
      <c r="BA5599" s="201" t="n">
        <v>0</v>
      </c>
    </row>
    <row r="5600" ht="15" customHeight="1" s="104">
      <c r="BA5600" s="201" t="n">
        <v>0</v>
      </c>
    </row>
    <row r="5601" ht="15" customHeight="1" s="104">
      <c r="BA5601" s="201" t="n">
        <v>0</v>
      </c>
    </row>
    <row r="5602" ht="15" customHeight="1" s="104">
      <c r="BA5602" s="201" t="n">
        <v>0</v>
      </c>
    </row>
    <row r="5603" ht="15" customHeight="1" s="104">
      <c r="BA5603" s="201" t="n">
        <v>0</v>
      </c>
    </row>
    <row r="5604" ht="15" customHeight="1" s="104">
      <c r="BA5604" s="201" t="n">
        <v>0</v>
      </c>
    </row>
    <row r="5605" ht="15" customHeight="1" s="104">
      <c r="BA5605" s="201" t="n">
        <v>0</v>
      </c>
    </row>
    <row r="5606" ht="15" customHeight="1" s="104">
      <c r="BA5606" s="201" t="n">
        <v>0</v>
      </c>
    </row>
    <row r="5607" ht="15" customHeight="1" s="104">
      <c r="BA5607" s="201" t="n">
        <v>0</v>
      </c>
    </row>
    <row r="5608" ht="15" customHeight="1" s="104">
      <c r="BA5608" s="201" t="n">
        <v>0</v>
      </c>
    </row>
    <row r="5609" ht="15" customHeight="1" s="104">
      <c r="BA5609" s="201" t="n">
        <v>0</v>
      </c>
    </row>
    <row r="5610" ht="15" customHeight="1" s="104">
      <c r="BA5610" s="201" t="n">
        <v>0</v>
      </c>
    </row>
    <row r="5611" ht="15" customHeight="1" s="104">
      <c r="BA5611" s="201" t="n">
        <v>0</v>
      </c>
    </row>
    <row r="5612" ht="15" customHeight="1" s="104">
      <c r="BA5612" s="201" t="n">
        <v>0</v>
      </c>
    </row>
    <row r="5613" ht="15" customHeight="1" s="104">
      <c r="BA5613" s="201" t="n">
        <v>0</v>
      </c>
    </row>
    <row r="5614" ht="15" customHeight="1" s="104">
      <c r="BA5614" s="201" t="n">
        <v>0</v>
      </c>
    </row>
    <row r="5615" ht="15" customHeight="1" s="104">
      <c r="BA5615" s="201" t="n">
        <v>0</v>
      </c>
    </row>
    <row r="5616" ht="15" customHeight="1" s="104">
      <c r="BA5616" s="201" t="n">
        <v>0</v>
      </c>
    </row>
    <row r="5617" ht="15" customHeight="1" s="104">
      <c r="BA5617" s="201" t="n">
        <v>0</v>
      </c>
    </row>
    <row r="5618" ht="15" customHeight="1" s="104">
      <c r="BA5618" s="201" t="n">
        <v>0</v>
      </c>
    </row>
    <row r="5619" ht="15" customHeight="1" s="104">
      <c r="BA5619" s="201" t="n">
        <v>0</v>
      </c>
    </row>
    <row r="5620" ht="15" customHeight="1" s="104">
      <c r="BA5620" s="201" t="n">
        <v>0</v>
      </c>
    </row>
    <row r="5621" ht="15" customHeight="1" s="104">
      <c r="BA5621" s="201" t="n">
        <v>0</v>
      </c>
    </row>
    <row r="5622" ht="15" customHeight="1" s="104">
      <c r="BA5622" s="201" t="n">
        <v>0</v>
      </c>
    </row>
    <row r="5623" ht="15" customHeight="1" s="104">
      <c r="BA5623" s="201" t="n">
        <v>0</v>
      </c>
    </row>
    <row r="5624" ht="15" customHeight="1" s="104">
      <c r="BA5624" s="201" t="n">
        <v>0</v>
      </c>
    </row>
    <row r="5625" ht="15" customHeight="1" s="104">
      <c r="BA5625" s="201" t="n">
        <v>0</v>
      </c>
    </row>
    <row r="5626" ht="15" customHeight="1" s="104">
      <c r="BA5626" s="201" t="n">
        <v>0</v>
      </c>
    </row>
    <row r="5627" ht="15" customHeight="1" s="104">
      <c r="BA5627" s="201" t="n">
        <v>0</v>
      </c>
    </row>
    <row r="5628" ht="15" customHeight="1" s="104">
      <c r="BA5628" s="201" t="n">
        <v>0</v>
      </c>
    </row>
    <row r="5629" ht="15" customHeight="1" s="104">
      <c r="BA5629" s="201" t="n">
        <v>0</v>
      </c>
    </row>
    <row r="5630" ht="15" customHeight="1" s="104">
      <c r="BA5630" s="201" t="n">
        <v>0</v>
      </c>
    </row>
    <row r="5631" ht="15" customHeight="1" s="104">
      <c r="BA5631" s="201" t="n">
        <v>0</v>
      </c>
    </row>
    <row r="5632" ht="15" customHeight="1" s="104">
      <c r="BA5632" s="201" t="n">
        <v>0</v>
      </c>
    </row>
    <row r="5633" ht="15" customHeight="1" s="104">
      <c r="BA5633" s="201" t="n">
        <v>0</v>
      </c>
    </row>
    <row r="5634" ht="15" customHeight="1" s="104">
      <c r="BA5634" s="201" t="n">
        <v>0</v>
      </c>
    </row>
    <row r="5635" ht="15" customHeight="1" s="104">
      <c r="BA5635" s="201" t="n">
        <v>0</v>
      </c>
    </row>
    <row r="5636" ht="15" customHeight="1" s="104">
      <c r="BA5636" s="201" t="n">
        <v>0</v>
      </c>
    </row>
    <row r="5637" ht="15" customHeight="1" s="104">
      <c r="BA5637" s="201" t="n">
        <v>0</v>
      </c>
    </row>
    <row r="5638" ht="15" customHeight="1" s="104">
      <c r="BA5638" s="201" t="n">
        <v>0</v>
      </c>
    </row>
    <row r="5639" ht="15" customHeight="1" s="104">
      <c r="BA5639" s="201" t="n">
        <v>0</v>
      </c>
    </row>
    <row r="5640" ht="15" customHeight="1" s="104">
      <c r="BA5640" s="201" t="n">
        <v>0</v>
      </c>
    </row>
    <row r="5641" ht="15" customHeight="1" s="104">
      <c r="BA5641" s="201" t="n">
        <v>0</v>
      </c>
    </row>
    <row r="5642" ht="15" customHeight="1" s="104">
      <c r="BA5642" s="201" t="n">
        <v>0</v>
      </c>
    </row>
    <row r="5643" ht="15" customHeight="1" s="104">
      <c r="BA5643" s="201" t="n">
        <v>0</v>
      </c>
    </row>
    <row r="5644" ht="15" customHeight="1" s="104">
      <c r="BA5644" s="201" t="n">
        <v>0</v>
      </c>
    </row>
    <row r="5645" ht="15" customHeight="1" s="104">
      <c r="BA5645" s="201" t="n">
        <v>0</v>
      </c>
    </row>
    <row r="5646" ht="15" customHeight="1" s="104">
      <c r="BA5646" s="201" t="n">
        <v>0</v>
      </c>
    </row>
    <row r="5647" ht="15" customHeight="1" s="104">
      <c r="BA5647" s="201" t="n">
        <v>0</v>
      </c>
    </row>
    <row r="5648" ht="15" customHeight="1" s="104">
      <c r="BA5648" s="201" t="n">
        <v>0</v>
      </c>
    </row>
    <row r="5649" ht="15" customHeight="1" s="104">
      <c r="BA5649" s="201" t="n">
        <v>0</v>
      </c>
    </row>
    <row r="5650" ht="15" customHeight="1" s="104">
      <c r="BA5650" s="201" t="n">
        <v>0</v>
      </c>
    </row>
    <row r="5651" ht="15" customHeight="1" s="104">
      <c r="BA5651" s="201" t="n">
        <v>0</v>
      </c>
    </row>
    <row r="5652" ht="15" customHeight="1" s="104">
      <c r="BA5652" s="201" t="n">
        <v>0</v>
      </c>
    </row>
    <row r="5653" ht="15" customHeight="1" s="104">
      <c r="BA5653" s="201" t="n">
        <v>0</v>
      </c>
    </row>
    <row r="5654" ht="15" customHeight="1" s="104">
      <c r="BA5654" s="201" t="n">
        <v>0</v>
      </c>
    </row>
    <row r="5655" ht="15" customHeight="1" s="104">
      <c r="BA5655" s="201" t="n">
        <v>0</v>
      </c>
    </row>
    <row r="5656" ht="15" customHeight="1" s="104">
      <c r="BA5656" s="201" t="n">
        <v>0</v>
      </c>
    </row>
    <row r="5657" ht="15" customHeight="1" s="104">
      <c r="BA5657" s="201" t="n">
        <v>0</v>
      </c>
    </row>
    <row r="5658" ht="15" customHeight="1" s="104">
      <c r="BA5658" s="201" t="n">
        <v>0</v>
      </c>
    </row>
    <row r="5659" ht="15" customHeight="1" s="104">
      <c r="BA5659" s="201" t="n">
        <v>0</v>
      </c>
    </row>
    <row r="5660" ht="15" customHeight="1" s="104">
      <c r="BA5660" s="201" t="n">
        <v>0</v>
      </c>
    </row>
    <row r="5661" ht="15" customHeight="1" s="104">
      <c r="BA5661" s="201" t="n">
        <v>0</v>
      </c>
    </row>
    <row r="5662" ht="15" customHeight="1" s="104">
      <c r="BA5662" s="201" t="n">
        <v>0</v>
      </c>
    </row>
    <row r="5663" ht="15" customHeight="1" s="104">
      <c r="BA5663" s="201" t="n">
        <v>0</v>
      </c>
    </row>
    <row r="5664" ht="15" customHeight="1" s="104">
      <c r="BA5664" s="201" t="n">
        <v>0</v>
      </c>
    </row>
    <row r="5665" ht="15" customHeight="1" s="104">
      <c r="BA5665" s="201" t="n">
        <v>0</v>
      </c>
    </row>
    <row r="5666" ht="15" customHeight="1" s="104">
      <c r="BA5666" s="201" t="n">
        <v>0</v>
      </c>
    </row>
    <row r="5667" ht="15" customHeight="1" s="104">
      <c r="BA5667" s="201" t="n">
        <v>0</v>
      </c>
    </row>
    <row r="5668" ht="15" customHeight="1" s="104">
      <c r="BA5668" s="201" t="n">
        <v>0</v>
      </c>
    </row>
    <row r="5669" ht="15" customHeight="1" s="104">
      <c r="BA5669" s="201" t="n">
        <v>0</v>
      </c>
    </row>
    <row r="5670" ht="15" customHeight="1" s="104">
      <c r="BA5670" s="201" t="n">
        <v>0</v>
      </c>
    </row>
    <row r="5671" ht="15" customHeight="1" s="104">
      <c r="BA5671" s="201" t="n">
        <v>0</v>
      </c>
    </row>
    <row r="5672" ht="15" customHeight="1" s="104">
      <c r="BA5672" s="201" t="n">
        <v>0</v>
      </c>
    </row>
    <row r="5673" ht="15" customHeight="1" s="104">
      <c r="BA5673" s="201" t="n">
        <v>0</v>
      </c>
    </row>
    <row r="5674" ht="15" customHeight="1" s="104">
      <c r="BA5674" s="201" t="n">
        <v>0</v>
      </c>
    </row>
    <row r="5675" ht="15" customHeight="1" s="104">
      <c r="BA5675" s="201" t="n">
        <v>0</v>
      </c>
    </row>
    <row r="5676" ht="15" customHeight="1" s="104">
      <c r="BA5676" s="201" t="n">
        <v>0</v>
      </c>
    </row>
    <row r="5677" ht="15" customHeight="1" s="104">
      <c r="BA5677" s="201" t="n">
        <v>0</v>
      </c>
    </row>
    <row r="5678" ht="15" customHeight="1" s="104">
      <c r="BA5678" s="201" t="n">
        <v>0</v>
      </c>
    </row>
    <row r="5679" ht="15" customHeight="1" s="104">
      <c r="BA5679" s="201" t="n">
        <v>0</v>
      </c>
    </row>
    <row r="5680" ht="15" customHeight="1" s="104">
      <c r="BA5680" s="201" t="n">
        <v>0</v>
      </c>
    </row>
    <row r="5681" ht="15" customHeight="1" s="104">
      <c r="BA5681" s="201" t="n">
        <v>0</v>
      </c>
    </row>
    <row r="5682" ht="15" customHeight="1" s="104">
      <c r="BA5682" s="201" t="n">
        <v>0</v>
      </c>
    </row>
    <row r="5683" ht="15" customHeight="1" s="104">
      <c r="BA5683" s="201" t="n">
        <v>0</v>
      </c>
    </row>
    <row r="5684" ht="15" customHeight="1" s="104">
      <c r="BA5684" s="201" t="n">
        <v>0</v>
      </c>
    </row>
    <row r="5685" ht="15" customHeight="1" s="104">
      <c r="BA5685" s="201" t="n">
        <v>0</v>
      </c>
    </row>
    <row r="5686" ht="15" customHeight="1" s="104">
      <c r="BA5686" s="201" t="n">
        <v>0</v>
      </c>
    </row>
    <row r="5687" ht="15" customHeight="1" s="104">
      <c r="BA5687" s="201" t="n">
        <v>0</v>
      </c>
    </row>
    <row r="5688" ht="15" customHeight="1" s="104">
      <c r="BA5688" s="201" t="n">
        <v>0</v>
      </c>
    </row>
    <row r="5689" ht="15" customHeight="1" s="104">
      <c r="BA5689" s="201" t="n">
        <v>0</v>
      </c>
    </row>
    <row r="5690" ht="15" customHeight="1" s="104">
      <c r="BA5690" s="201" t="n">
        <v>0</v>
      </c>
    </row>
    <row r="5691" ht="15" customHeight="1" s="104">
      <c r="BA5691" s="201" t="n">
        <v>0</v>
      </c>
    </row>
    <row r="5692" ht="15" customHeight="1" s="104">
      <c r="BA5692" s="201" t="n">
        <v>0</v>
      </c>
    </row>
    <row r="5693" ht="15" customHeight="1" s="104">
      <c r="BA5693" s="201" t="n">
        <v>0</v>
      </c>
    </row>
    <row r="5694" ht="15" customHeight="1" s="104">
      <c r="BA5694" s="201" t="n">
        <v>0</v>
      </c>
    </row>
    <row r="5695" ht="15" customHeight="1" s="104">
      <c r="BA5695" s="201" t="n">
        <v>0</v>
      </c>
    </row>
    <row r="5696" ht="15" customHeight="1" s="104">
      <c r="BA5696" s="201" t="n">
        <v>0</v>
      </c>
    </row>
    <row r="5697" ht="15" customHeight="1" s="104">
      <c r="BA5697" s="201" t="n">
        <v>0</v>
      </c>
    </row>
    <row r="5698" ht="15" customHeight="1" s="104">
      <c r="BA5698" s="201" t="n">
        <v>0</v>
      </c>
    </row>
    <row r="5699" ht="15" customHeight="1" s="104">
      <c r="BA5699" s="201" t="n">
        <v>0</v>
      </c>
    </row>
    <row r="5700" ht="15" customHeight="1" s="104">
      <c r="BA5700" s="201" t="n">
        <v>0</v>
      </c>
    </row>
    <row r="5701" ht="15" customHeight="1" s="104">
      <c r="BA5701" s="201" t="n">
        <v>0</v>
      </c>
    </row>
    <row r="5702" ht="15" customHeight="1" s="104">
      <c r="BA5702" s="201" t="n">
        <v>0</v>
      </c>
    </row>
    <row r="5703" ht="15" customHeight="1" s="104">
      <c r="BA5703" s="201" t="n">
        <v>0</v>
      </c>
    </row>
    <row r="5704" ht="15" customHeight="1" s="104">
      <c r="BA5704" s="201" t="n">
        <v>0</v>
      </c>
    </row>
    <row r="5705" ht="15" customHeight="1" s="104">
      <c r="BA5705" s="201" t="n">
        <v>0</v>
      </c>
    </row>
    <row r="5706" ht="15" customHeight="1" s="104">
      <c r="BA5706" s="201" t="n">
        <v>0</v>
      </c>
    </row>
    <row r="5707" ht="15" customHeight="1" s="104">
      <c r="BA5707" s="201" t="n">
        <v>0</v>
      </c>
    </row>
    <row r="5708" ht="15" customHeight="1" s="104">
      <c r="BA5708" s="201" t="n">
        <v>0</v>
      </c>
    </row>
    <row r="5709" ht="15" customHeight="1" s="104">
      <c r="BA5709" s="201" t="n">
        <v>0</v>
      </c>
    </row>
    <row r="5710" ht="15" customHeight="1" s="104">
      <c r="BA5710" s="201" t="n">
        <v>0</v>
      </c>
    </row>
    <row r="5711" ht="15" customHeight="1" s="104">
      <c r="BA5711" s="201" t="n">
        <v>0</v>
      </c>
    </row>
    <row r="5712" ht="15" customHeight="1" s="104">
      <c r="BA5712" s="201" t="n">
        <v>0</v>
      </c>
    </row>
    <row r="5713" ht="15" customHeight="1" s="104">
      <c r="BA5713" s="201" t="n">
        <v>0</v>
      </c>
    </row>
    <row r="5714" ht="15" customHeight="1" s="104">
      <c r="BA5714" s="201" t="n">
        <v>0</v>
      </c>
    </row>
    <row r="5715" ht="15" customHeight="1" s="104">
      <c r="BA5715" s="201" t="n">
        <v>0</v>
      </c>
    </row>
    <row r="5716" ht="15" customHeight="1" s="104">
      <c r="BA5716" s="201" t="n">
        <v>0</v>
      </c>
    </row>
    <row r="5717" ht="15" customHeight="1" s="104">
      <c r="BA5717" s="201" t="n">
        <v>0</v>
      </c>
    </row>
    <row r="5718" ht="15" customHeight="1" s="104">
      <c r="BA5718" s="201" t="n">
        <v>0</v>
      </c>
    </row>
    <row r="5719" ht="15" customHeight="1" s="104">
      <c r="BA5719" s="201" t="n">
        <v>0</v>
      </c>
    </row>
    <row r="5720" ht="15" customHeight="1" s="104">
      <c r="BA5720" s="201" t="n">
        <v>0</v>
      </c>
    </row>
    <row r="5721" ht="15" customHeight="1" s="104">
      <c r="BA5721" s="201" t="n">
        <v>0</v>
      </c>
    </row>
    <row r="5722" ht="15" customHeight="1" s="104">
      <c r="BA5722" s="201" t="n">
        <v>0</v>
      </c>
    </row>
    <row r="5723" ht="15" customHeight="1" s="104">
      <c r="BA5723" s="201" t="n">
        <v>0</v>
      </c>
    </row>
    <row r="5724" ht="15" customHeight="1" s="104">
      <c r="BA5724" s="201" t="n">
        <v>0</v>
      </c>
    </row>
    <row r="5725" ht="15" customHeight="1" s="104">
      <c r="BA5725" s="201" t="n">
        <v>0</v>
      </c>
    </row>
    <row r="5726" ht="15" customHeight="1" s="104">
      <c r="BA5726" s="201" t="n">
        <v>0</v>
      </c>
    </row>
    <row r="5727" ht="15" customHeight="1" s="104">
      <c r="BA5727" s="201" t="n">
        <v>0</v>
      </c>
    </row>
    <row r="5728" ht="15" customHeight="1" s="104">
      <c r="BA5728" s="201" t="n">
        <v>0</v>
      </c>
    </row>
    <row r="5729" ht="15" customHeight="1" s="104">
      <c r="BA5729" s="201" t="n">
        <v>0</v>
      </c>
    </row>
    <row r="5730" ht="15" customHeight="1" s="104">
      <c r="BA5730" s="201" t="n">
        <v>0</v>
      </c>
    </row>
    <row r="5731" ht="15" customHeight="1" s="104">
      <c r="BA5731" s="201" t="n">
        <v>0</v>
      </c>
    </row>
    <row r="5732" ht="15" customHeight="1" s="104">
      <c r="BA5732" s="201" t="n">
        <v>0</v>
      </c>
    </row>
    <row r="5733" ht="15" customHeight="1" s="104">
      <c r="BA5733" s="201" t="n">
        <v>0</v>
      </c>
    </row>
    <row r="5734" ht="15" customHeight="1" s="104">
      <c r="BA5734" s="201" t="n">
        <v>0</v>
      </c>
    </row>
    <row r="5735" ht="15" customHeight="1" s="104">
      <c r="BA5735" s="201" t="n">
        <v>0</v>
      </c>
    </row>
    <row r="5736" ht="15" customHeight="1" s="104">
      <c r="BA5736" s="201" t="n">
        <v>0</v>
      </c>
    </row>
    <row r="5737" ht="15" customHeight="1" s="104">
      <c r="BA5737" s="201" t="n">
        <v>0</v>
      </c>
    </row>
    <row r="5738" ht="15" customHeight="1" s="104">
      <c r="BA5738" s="201" t="n">
        <v>0</v>
      </c>
    </row>
    <row r="5739" ht="15" customHeight="1" s="104">
      <c r="BA5739" s="201" t="n">
        <v>0</v>
      </c>
    </row>
    <row r="5740" ht="15" customHeight="1" s="104">
      <c r="BA5740" s="201" t="n">
        <v>0</v>
      </c>
    </row>
    <row r="5741" ht="15" customHeight="1" s="104">
      <c r="BA5741" s="201" t="n">
        <v>0</v>
      </c>
    </row>
    <row r="5742" ht="15" customHeight="1" s="104">
      <c r="BA5742" s="201" t="n">
        <v>0</v>
      </c>
    </row>
    <row r="5743" ht="15" customHeight="1" s="104">
      <c r="BA5743" s="201" t="n">
        <v>0</v>
      </c>
    </row>
    <row r="5744" ht="15" customHeight="1" s="104">
      <c r="BA5744" s="201" t="n">
        <v>0</v>
      </c>
    </row>
    <row r="5745" ht="15" customHeight="1" s="104">
      <c r="BA5745" s="201" t="n">
        <v>0</v>
      </c>
    </row>
    <row r="5746" ht="15" customHeight="1" s="104">
      <c r="BA5746" s="201" t="n">
        <v>0</v>
      </c>
    </row>
    <row r="5747" ht="15" customHeight="1" s="104">
      <c r="BA5747" s="201" t="n">
        <v>0</v>
      </c>
    </row>
    <row r="5748" ht="15" customHeight="1" s="104">
      <c r="BA5748" s="201" t="n">
        <v>0</v>
      </c>
    </row>
    <row r="5749" ht="15" customHeight="1" s="104">
      <c r="BA5749" s="201" t="n">
        <v>0</v>
      </c>
    </row>
    <row r="5750" ht="15" customHeight="1" s="104">
      <c r="BA5750" s="201" t="n">
        <v>0</v>
      </c>
    </row>
    <row r="5751" ht="15" customHeight="1" s="104">
      <c r="BA5751" s="201" t="n">
        <v>0</v>
      </c>
    </row>
    <row r="5752" ht="15" customHeight="1" s="104">
      <c r="BA5752" s="201" t="n">
        <v>0</v>
      </c>
    </row>
    <row r="5753" ht="15" customHeight="1" s="104">
      <c r="BA5753" s="201" t="n">
        <v>0</v>
      </c>
    </row>
    <row r="5754" ht="15" customHeight="1" s="104">
      <c r="BA5754" s="201" t="n">
        <v>0</v>
      </c>
    </row>
    <row r="5755" ht="15" customHeight="1" s="104">
      <c r="BA5755" s="201" t="n">
        <v>0</v>
      </c>
    </row>
    <row r="5756" ht="15" customHeight="1" s="104">
      <c r="BA5756" s="201" t="n">
        <v>0</v>
      </c>
    </row>
    <row r="5757" ht="15" customHeight="1" s="104">
      <c r="BA5757" s="201" t="n">
        <v>0</v>
      </c>
    </row>
    <row r="5758" ht="15" customHeight="1" s="104">
      <c r="BA5758" s="201" t="n">
        <v>0</v>
      </c>
    </row>
    <row r="5759" ht="15" customHeight="1" s="104">
      <c r="BA5759" s="201" t="n">
        <v>0</v>
      </c>
    </row>
    <row r="5760" ht="15" customHeight="1" s="104">
      <c r="BA5760" s="201" t="n">
        <v>0</v>
      </c>
    </row>
    <row r="5761" ht="15" customHeight="1" s="104">
      <c r="BA5761" s="201" t="n">
        <v>0</v>
      </c>
    </row>
    <row r="5762" ht="15" customHeight="1" s="104">
      <c r="BA5762" s="201" t="n">
        <v>0</v>
      </c>
    </row>
    <row r="5763" ht="15" customHeight="1" s="104">
      <c r="BA5763" s="201" t="n">
        <v>0</v>
      </c>
    </row>
    <row r="5764" ht="15" customHeight="1" s="104">
      <c r="BA5764" s="201" t="n">
        <v>0</v>
      </c>
    </row>
    <row r="5765" ht="15" customHeight="1" s="104">
      <c r="BA5765" s="201" t="n">
        <v>0</v>
      </c>
    </row>
    <row r="5766" ht="15" customHeight="1" s="104">
      <c r="BA5766" s="201" t="n">
        <v>0</v>
      </c>
    </row>
    <row r="5767" ht="15" customHeight="1" s="104">
      <c r="BA5767" s="201" t="n">
        <v>0</v>
      </c>
    </row>
    <row r="5768" ht="15" customHeight="1" s="104">
      <c r="BA5768" s="201" t="n">
        <v>0</v>
      </c>
    </row>
    <row r="5769" ht="15" customHeight="1" s="104">
      <c r="BA5769" s="201" t="n">
        <v>0</v>
      </c>
    </row>
    <row r="5770" ht="15" customHeight="1" s="104">
      <c r="BA5770" s="201" t="n">
        <v>0</v>
      </c>
    </row>
    <row r="5771" ht="15" customHeight="1" s="104">
      <c r="BA5771" s="201" t="n">
        <v>0</v>
      </c>
    </row>
    <row r="5772" ht="15" customHeight="1" s="104">
      <c r="BA5772" s="201" t="n">
        <v>0</v>
      </c>
    </row>
    <row r="5773" ht="15" customHeight="1" s="104">
      <c r="BA5773" s="201" t="n">
        <v>0</v>
      </c>
    </row>
    <row r="5774" ht="15" customHeight="1" s="104">
      <c r="BA5774" s="201" t="n">
        <v>0</v>
      </c>
    </row>
    <row r="5775" ht="15" customHeight="1" s="104">
      <c r="BA5775" s="201" t="n">
        <v>0</v>
      </c>
    </row>
    <row r="5776" ht="15" customHeight="1" s="104">
      <c r="BA5776" s="201" t="n">
        <v>0</v>
      </c>
    </row>
    <row r="5777" ht="15" customHeight="1" s="104">
      <c r="BA5777" s="201" t="n">
        <v>0</v>
      </c>
    </row>
    <row r="5778" ht="15" customHeight="1" s="104">
      <c r="BA5778" s="201" t="n">
        <v>0</v>
      </c>
    </row>
    <row r="5779" ht="15" customHeight="1" s="104">
      <c r="BA5779" s="201" t="n">
        <v>0</v>
      </c>
    </row>
    <row r="5780" ht="15" customHeight="1" s="104">
      <c r="BA5780" s="201" t="n">
        <v>0</v>
      </c>
    </row>
    <row r="5781" ht="15" customHeight="1" s="104">
      <c r="BA5781" s="201" t="n">
        <v>0</v>
      </c>
    </row>
    <row r="5782" ht="15" customHeight="1" s="104">
      <c r="BA5782" s="201" t="n">
        <v>0</v>
      </c>
    </row>
    <row r="5783" ht="15" customHeight="1" s="104">
      <c r="BA5783" s="201" t="n">
        <v>0</v>
      </c>
    </row>
    <row r="5784" ht="15" customHeight="1" s="104">
      <c r="BA5784" s="201" t="n">
        <v>0</v>
      </c>
    </row>
    <row r="5785" ht="15" customHeight="1" s="104">
      <c r="BA5785" s="201" t="n">
        <v>0</v>
      </c>
    </row>
    <row r="5786" ht="15" customHeight="1" s="104">
      <c r="BA5786" s="201" t="n">
        <v>0</v>
      </c>
    </row>
    <row r="5787" ht="15" customHeight="1" s="104">
      <c r="BA5787" s="201" t="n">
        <v>0</v>
      </c>
    </row>
    <row r="5788" ht="15" customHeight="1" s="104">
      <c r="BA5788" s="201" t="n">
        <v>0</v>
      </c>
    </row>
    <row r="5789" ht="15" customHeight="1" s="104">
      <c r="BA5789" s="201" t="n">
        <v>0</v>
      </c>
    </row>
    <row r="5790" ht="15" customHeight="1" s="104">
      <c r="BA5790" s="201" t="n">
        <v>0</v>
      </c>
    </row>
    <row r="5791" ht="15" customHeight="1" s="104">
      <c r="BA5791" s="201" t="n">
        <v>0</v>
      </c>
    </row>
    <row r="5792" ht="15" customHeight="1" s="104">
      <c r="BA5792" s="201" t="n">
        <v>0</v>
      </c>
    </row>
    <row r="5793" ht="15" customHeight="1" s="104">
      <c r="BA5793" s="201" t="n">
        <v>0</v>
      </c>
    </row>
    <row r="5794" ht="15" customHeight="1" s="104">
      <c r="BA5794" s="201" t="n">
        <v>0</v>
      </c>
    </row>
    <row r="5795" ht="15" customHeight="1" s="104">
      <c r="BA5795" s="201" t="n">
        <v>0</v>
      </c>
    </row>
    <row r="5796" ht="15" customHeight="1" s="104">
      <c r="BA5796" s="201" t="n">
        <v>0</v>
      </c>
    </row>
    <row r="5797" ht="15" customHeight="1" s="104">
      <c r="BA5797" s="201" t="n">
        <v>0</v>
      </c>
    </row>
    <row r="5798" ht="15" customHeight="1" s="104">
      <c r="BA5798" s="201" t="n">
        <v>0</v>
      </c>
    </row>
    <row r="5799" ht="15" customHeight="1" s="104">
      <c r="BA5799" s="201" t="n">
        <v>0</v>
      </c>
    </row>
    <row r="5800" ht="15" customHeight="1" s="104">
      <c r="BA5800" s="201" t="n">
        <v>0</v>
      </c>
    </row>
    <row r="5801" ht="15" customHeight="1" s="104">
      <c r="BA5801" s="201" t="n">
        <v>0</v>
      </c>
    </row>
    <row r="5802" ht="15" customHeight="1" s="104">
      <c r="BA5802" s="201" t="n">
        <v>0</v>
      </c>
    </row>
    <row r="5803" ht="15" customHeight="1" s="104">
      <c r="BA5803" s="201" t="n">
        <v>0</v>
      </c>
    </row>
    <row r="5804" ht="15" customHeight="1" s="104">
      <c r="BA5804" s="201" t="n">
        <v>0</v>
      </c>
    </row>
    <row r="5805" ht="15" customHeight="1" s="104">
      <c r="BA5805" s="201" t="n">
        <v>0</v>
      </c>
    </row>
    <row r="5806" ht="15" customHeight="1" s="104">
      <c r="BA5806" s="201" t="n">
        <v>0</v>
      </c>
    </row>
    <row r="5807" ht="15" customHeight="1" s="104">
      <c r="BA5807" s="201" t="n">
        <v>0</v>
      </c>
    </row>
    <row r="5808" ht="15" customHeight="1" s="104">
      <c r="BA5808" s="201" t="n">
        <v>0</v>
      </c>
    </row>
    <row r="5809" ht="15" customHeight="1" s="104">
      <c r="BA5809" s="201" t="n">
        <v>0</v>
      </c>
    </row>
    <row r="5810" ht="15" customHeight="1" s="104">
      <c r="BA5810" s="201" t="n">
        <v>0</v>
      </c>
    </row>
    <row r="5811" ht="15" customHeight="1" s="104">
      <c r="BA5811" s="201" t="n">
        <v>0</v>
      </c>
    </row>
    <row r="5812" ht="15" customHeight="1" s="104">
      <c r="BA5812" s="201" t="n">
        <v>0</v>
      </c>
    </row>
    <row r="5813" ht="15" customHeight="1" s="104">
      <c r="BA5813" s="201" t="n">
        <v>0</v>
      </c>
    </row>
    <row r="5814" ht="15" customHeight="1" s="104">
      <c r="BA5814" s="201" t="n">
        <v>0</v>
      </c>
    </row>
    <row r="5815" ht="15" customHeight="1" s="104">
      <c r="BA5815" s="201" t="n">
        <v>0</v>
      </c>
    </row>
    <row r="5816" ht="15" customHeight="1" s="104">
      <c r="BA5816" s="201" t="n">
        <v>0</v>
      </c>
    </row>
    <row r="5817" ht="15" customHeight="1" s="104">
      <c r="BA5817" s="201" t="n">
        <v>0</v>
      </c>
    </row>
    <row r="5818" ht="15" customHeight="1" s="104">
      <c r="BA5818" s="201" t="n">
        <v>0</v>
      </c>
    </row>
    <row r="5819" ht="15" customHeight="1" s="104">
      <c r="BA5819" s="201" t="n">
        <v>0</v>
      </c>
    </row>
    <row r="5820" ht="15" customHeight="1" s="104">
      <c r="BA5820" s="201" t="n">
        <v>0</v>
      </c>
    </row>
    <row r="5821" ht="15" customHeight="1" s="104">
      <c r="BA5821" s="201" t="n">
        <v>0</v>
      </c>
    </row>
    <row r="5822" ht="15" customHeight="1" s="104">
      <c r="BA5822" s="201" t="n">
        <v>0</v>
      </c>
    </row>
    <row r="5823" ht="15" customHeight="1" s="104">
      <c r="BA5823" s="201" t="n">
        <v>0</v>
      </c>
    </row>
    <row r="5824" ht="15" customHeight="1" s="104">
      <c r="BA5824" s="201" t="n">
        <v>0</v>
      </c>
    </row>
    <row r="5825" ht="15" customHeight="1" s="104">
      <c r="BA5825" s="201" t="n">
        <v>0</v>
      </c>
    </row>
    <row r="5826" ht="15" customHeight="1" s="104">
      <c r="BA5826" s="201" t="n">
        <v>0</v>
      </c>
    </row>
    <row r="5827" ht="15" customHeight="1" s="104">
      <c r="BA5827" s="201" t="n">
        <v>0</v>
      </c>
    </row>
    <row r="5828" ht="15" customHeight="1" s="104">
      <c r="BA5828" s="201" t="n">
        <v>0</v>
      </c>
    </row>
    <row r="5829" ht="15" customHeight="1" s="104">
      <c r="BA5829" s="201" t="n">
        <v>0</v>
      </c>
    </row>
    <row r="5830" ht="15" customHeight="1" s="104">
      <c r="BA5830" s="201" t="n">
        <v>0</v>
      </c>
    </row>
    <row r="5831" ht="15" customHeight="1" s="104">
      <c r="BA5831" s="201" t="n">
        <v>0</v>
      </c>
    </row>
    <row r="5832" ht="15" customHeight="1" s="104">
      <c r="BA5832" s="201" t="n">
        <v>0</v>
      </c>
    </row>
    <row r="5833" ht="15" customHeight="1" s="104">
      <c r="BA5833" s="201" t="n">
        <v>0</v>
      </c>
    </row>
    <row r="5834" ht="15" customHeight="1" s="104">
      <c r="BA5834" s="201" t="n">
        <v>0</v>
      </c>
    </row>
    <row r="5835" ht="15" customHeight="1" s="104">
      <c r="BA5835" s="201" t="n">
        <v>0</v>
      </c>
    </row>
    <row r="5836" ht="15" customHeight="1" s="104">
      <c r="BA5836" s="201" t="n">
        <v>0</v>
      </c>
    </row>
    <row r="5837" ht="15" customHeight="1" s="104">
      <c r="BA5837" s="201" t="n">
        <v>0</v>
      </c>
    </row>
    <row r="5838" ht="15" customHeight="1" s="104">
      <c r="BA5838" s="201" t="n">
        <v>0</v>
      </c>
    </row>
    <row r="5839" ht="15" customHeight="1" s="104">
      <c r="BA5839" s="201" t="n">
        <v>0</v>
      </c>
    </row>
    <row r="5840" ht="15" customHeight="1" s="104">
      <c r="BA5840" s="201" t="n">
        <v>0</v>
      </c>
    </row>
    <row r="5841" ht="15" customHeight="1" s="104">
      <c r="BA5841" s="201" t="n">
        <v>0</v>
      </c>
    </row>
    <row r="5842" ht="15" customHeight="1" s="104">
      <c r="BA5842" s="201" t="n">
        <v>0</v>
      </c>
    </row>
    <row r="5843" ht="15" customHeight="1" s="104">
      <c r="BA5843" s="201" t="n">
        <v>0</v>
      </c>
    </row>
    <row r="5844" ht="15" customHeight="1" s="104">
      <c r="BA5844" s="201" t="n">
        <v>0</v>
      </c>
    </row>
    <row r="5845" ht="15" customHeight="1" s="104">
      <c r="BA5845" s="201" t="n">
        <v>0</v>
      </c>
    </row>
    <row r="5846" ht="15" customHeight="1" s="104">
      <c r="BA5846" s="201" t="n">
        <v>0</v>
      </c>
    </row>
    <row r="5847" ht="15" customHeight="1" s="104">
      <c r="BA5847" s="201" t="n">
        <v>0</v>
      </c>
    </row>
    <row r="5848" ht="15" customHeight="1" s="104">
      <c r="BA5848" s="201" t="n">
        <v>0</v>
      </c>
    </row>
    <row r="5849" ht="15" customHeight="1" s="104">
      <c r="BA5849" s="201" t="n">
        <v>0</v>
      </c>
    </row>
    <row r="5850" ht="15" customHeight="1" s="104">
      <c r="BA5850" s="201" t="n">
        <v>0</v>
      </c>
    </row>
    <row r="5851" ht="15" customHeight="1" s="104">
      <c r="BA5851" s="201" t="n">
        <v>0</v>
      </c>
    </row>
    <row r="5852" ht="15" customHeight="1" s="104">
      <c r="BA5852" s="201" t="n">
        <v>0</v>
      </c>
    </row>
    <row r="5853" ht="15" customHeight="1" s="104">
      <c r="BA5853" s="201" t="n">
        <v>0</v>
      </c>
    </row>
    <row r="5854" ht="15" customHeight="1" s="104">
      <c r="BA5854" s="201" t="n">
        <v>0</v>
      </c>
    </row>
    <row r="5855" ht="15" customHeight="1" s="104">
      <c r="BA5855" s="201" t="n">
        <v>0</v>
      </c>
    </row>
    <row r="5856" ht="15" customHeight="1" s="104">
      <c r="BA5856" s="201" t="n">
        <v>0</v>
      </c>
    </row>
    <row r="5857" ht="15" customHeight="1" s="104">
      <c r="BA5857" s="201" t="n">
        <v>0</v>
      </c>
    </row>
    <row r="5858" ht="15" customHeight="1" s="104">
      <c r="BA5858" s="201" t="n">
        <v>0</v>
      </c>
    </row>
    <row r="5859" ht="15" customHeight="1" s="104">
      <c r="BA5859" s="201" t="n">
        <v>0</v>
      </c>
    </row>
    <row r="5860" ht="15" customHeight="1" s="104">
      <c r="BA5860" s="201" t="n">
        <v>0</v>
      </c>
    </row>
    <row r="5861" ht="15" customHeight="1" s="104">
      <c r="BA5861" s="201" t="n">
        <v>0</v>
      </c>
    </row>
    <row r="5862" ht="15" customHeight="1" s="104">
      <c r="BA5862" s="201" t="n">
        <v>0</v>
      </c>
    </row>
    <row r="5863" ht="15" customHeight="1" s="104">
      <c r="BA5863" s="201" t="n">
        <v>0</v>
      </c>
    </row>
    <row r="5864" ht="15" customHeight="1" s="104">
      <c r="BA5864" s="201" t="n">
        <v>0</v>
      </c>
    </row>
    <row r="5865" ht="15" customHeight="1" s="104">
      <c r="BA5865" s="201" t="n">
        <v>0</v>
      </c>
    </row>
    <row r="5866" ht="15" customHeight="1" s="104">
      <c r="BA5866" s="201" t="n">
        <v>0</v>
      </c>
    </row>
    <row r="5867" ht="15" customHeight="1" s="104">
      <c r="BA5867" s="201" t="n">
        <v>0</v>
      </c>
    </row>
    <row r="5868" ht="15" customHeight="1" s="104">
      <c r="BA5868" s="201" t="n">
        <v>0</v>
      </c>
    </row>
    <row r="5869" ht="15" customHeight="1" s="104">
      <c r="BA5869" s="201" t="n">
        <v>0</v>
      </c>
    </row>
    <row r="5870" ht="15" customHeight="1" s="104">
      <c r="BA5870" s="201" t="n">
        <v>0</v>
      </c>
    </row>
    <row r="5871" ht="15" customHeight="1" s="104">
      <c r="BA5871" s="201" t="n">
        <v>0</v>
      </c>
    </row>
    <row r="5872" ht="15" customHeight="1" s="104">
      <c r="BA5872" s="201" t="n">
        <v>0</v>
      </c>
    </row>
    <row r="5873" ht="15" customHeight="1" s="104">
      <c r="BA5873" s="201" t="n">
        <v>0</v>
      </c>
    </row>
    <row r="5874" ht="15" customHeight="1" s="104">
      <c r="BA5874" s="201" t="n">
        <v>0</v>
      </c>
    </row>
    <row r="5875" ht="15" customHeight="1" s="104">
      <c r="BA5875" s="201" t="n">
        <v>0</v>
      </c>
    </row>
    <row r="5876" ht="15" customHeight="1" s="104">
      <c r="BA5876" s="201" t="n">
        <v>0</v>
      </c>
    </row>
    <row r="5877" ht="15" customHeight="1" s="104">
      <c r="BA5877" s="201" t="n">
        <v>0</v>
      </c>
    </row>
    <row r="5878" ht="15" customHeight="1" s="104">
      <c r="BA5878" s="201" t="n">
        <v>0</v>
      </c>
    </row>
    <row r="5879" ht="15" customHeight="1" s="104">
      <c r="BA5879" s="201" t="n">
        <v>0</v>
      </c>
    </row>
    <row r="5880" ht="15" customHeight="1" s="104">
      <c r="BA5880" s="201" t="n">
        <v>0</v>
      </c>
    </row>
    <row r="5881" ht="15" customHeight="1" s="104">
      <c r="BA5881" s="201" t="n">
        <v>0</v>
      </c>
    </row>
    <row r="5882" ht="15" customHeight="1" s="104">
      <c r="BA5882" s="201" t="n">
        <v>0</v>
      </c>
    </row>
    <row r="5883" ht="15" customHeight="1" s="104">
      <c r="BA5883" s="201" t="n">
        <v>0</v>
      </c>
    </row>
    <row r="5884" ht="15" customHeight="1" s="104">
      <c r="BA5884" s="201" t="n">
        <v>0</v>
      </c>
    </row>
    <row r="5885" ht="15" customHeight="1" s="104">
      <c r="BA5885" s="201" t="n">
        <v>0</v>
      </c>
    </row>
    <row r="5886" ht="15" customHeight="1" s="104">
      <c r="BA5886" s="201" t="n">
        <v>0</v>
      </c>
    </row>
    <row r="5887" ht="15" customHeight="1" s="104">
      <c r="BA5887" s="201" t="n">
        <v>0</v>
      </c>
    </row>
    <row r="5888" ht="15" customHeight="1" s="104">
      <c r="BA5888" s="201" t="n">
        <v>0</v>
      </c>
    </row>
    <row r="5889" ht="15" customHeight="1" s="104">
      <c r="BA5889" s="201" t="n">
        <v>0</v>
      </c>
    </row>
    <row r="5890" ht="15" customHeight="1" s="104">
      <c r="BA5890" s="201" t="n">
        <v>0</v>
      </c>
    </row>
    <row r="5891" ht="15" customHeight="1" s="104">
      <c r="BA5891" s="201" t="n">
        <v>0</v>
      </c>
    </row>
    <row r="5892" ht="15" customHeight="1" s="104">
      <c r="BA5892" s="201" t="n">
        <v>0</v>
      </c>
    </row>
    <row r="5893" ht="15" customHeight="1" s="104">
      <c r="BA5893" s="201" t="n">
        <v>0</v>
      </c>
    </row>
    <row r="5894" ht="15" customHeight="1" s="104">
      <c r="BA5894" s="201" t="n">
        <v>0</v>
      </c>
    </row>
    <row r="5895" ht="15" customHeight="1" s="104">
      <c r="BA5895" s="201" t="n">
        <v>0</v>
      </c>
    </row>
    <row r="5896" ht="15" customHeight="1" s="104">
      <c r="BA5896" s="201" t="n">
        <v>0</v>
      </c>
    </row>
    <row r="5897" ht="15" customHeight="1" s="104">
      <c r="BA5897" s="201" t="n">
        <v>0</v>
      </c>
    </row>
    <row r="5898" ht="15" customHeight="1" s="104">
      <c r="BA5898" s="201" t="n">
        <v>0</v>
      </c>
    </row>
    <row r="5899" ht="15" customHeight="1" s="104">
      <c r="BA5899" s="201" t="n">
        <v>0</v>
      </c>
    </row>
    <row r="5900" ht="15" customHeight="1" s="104">
      <c r="BA5900" s="201" t="n">
        <v>0</v>
      </c>
    </row>
    <row r="5901" ht="15" customHeight="1" s="104">
      <c r="BA5901" s="201" t="n">
        <v>0</v>
      </c>
    </row>
    <row r="5902" ht="15" customHeight="1" s="104">
      <c r="BA5902" s="201" t="n">
        <v>0</v>
      </c>
    </row>
    <row r="5903" ht="15" customHeight="1" s="104">
      <c r="BA5903" s="201" t="n">
        <v>0</v>
      </c>
    </row>
    <row r="5904" ht="15" customHeight="1" s="104">
      <c r="BA5904" s="201" t="n">
        <v>0</v>
      </c>
    </row>
    <row r="5905" ht="15" customHeight="1" s="104">
      <c r="BA5905" s="201" t="n">
        <v>0</v>
      </c>
    </row>
    <row r="5906" ht="15" customHeight="1" s="104">
      <c r="BA5906" s="201" t="n">
        <v>0</v>
      </c>
    </row>
    <row r="5907" ht="15" customHeight="1" s="104">
      <c r="BA5907" s="201" t="n">
        <v>0</v>
      </c>
    </row>
    <row r="5908" ht="15" customHeight="1" s="104">
      <c r="BA5908" s="201" t="n">
        <v>0</v>
      </c>
    </row>
    <row r="5909" ht="15" customHeight="1" s="104">
      <c r="BA5909" s="201" t="n">
        <v>0</v>
      </c>
    </row>
    <row r="5910" ht="15" customHeight="1" s="104">
      <c r="BA5910" s="201" t="n">
        <v>0</v>
      </c>
    </row>
    <row r="5911" ht="15" customHeight="1" s="104">
      <c r="BA5911" s="201" t="n">
        <v>0</v>
      </c>
    </row>
    <row r="5912" ht="15" customHeight="1" s="104">
      <c r="BA5912" s="201" t="n">
        <v>0</v>
      </c>
    </row>
    <row r="5913" ht="15" customHeight="1" s="104">
      <c r="BA5913" s="201" t="n">
        <v>0</v>
      </c>
    </row>
    <row r="5914" ht="15" customHeight="1" s="104">
      <c r="BA5914" s="201" t="n">
        <v>0</v>
      </c>
    </row>
    <row r="5915" ht="15" customHeight="1" s="104">
      <c r="BA5915" s="201" t="n">
        <v>0</v>
      </c>
    </row>
    <row r="5916" ht="15" customHeight="1" s="104">
      <c r="BA5916" s="201" t="n">
        <v>0</v>
      </c>
    </row>
    <row r="5917" ht="15" customHeight="1" s="104">
      <c r="BA5917" s="201" t="n">
        <v>0</v>
      </c>
    </row>
    <row r="5918" ht="15" customHeight="1" s="104">
      <c r="BA5918" s="201" t="n">
        <v>0</v>
      </c>
    </row>
    <row r="5919" ht="15" customHeight="1" s="104">
      <c r="BA5919" s="201" t="n">
        <v>0</v>
      </c>
    </row>
    <row r="5920" ht="15" customHeight="1" s="104">
      <c r="BA5920" s="201" t="n">
        <v>0</v>
      </c>
    </row>
    <row r="5921" ht="15" customHeight="1" s="104">
      <c r="BA5921" s="201" t="n">
        <v>0</v>
      </c>
    </row>
    <row r="5922" ht="15" customHeight="1" s="104">
      <c r="BA5922" s="201" t="n">
        <v>0</v>
      </c>
    </row>
    <row r="5923" ht="15" customHeight="1" s="104">
      <c r="BA5923" s="201" t="n">
        <v>0</v>
      </c>
    </row>
    <row r="5924" ht="15" customHeight="1" s="104">
      <c r="BA5924" s="201" t="n">
        <v>0</v>
      </c>
    </row>
    <row r="5925" ht="15" customHeight="1" s="104">
      <c r="BA5925" s="201" t="n">
        <v>0</v>
      </c>
    </row>
    <row r="5926" ht="15" customHeight="1" s="104">
      <c r="BA5926" s="201" t="n">
        <v>0</v>
      </c>
    </row>
    <row r="5927" ht="15" customHeight="1" s="104">
      <c r="BA5927" s="201" t="n">
        <v>0</v>
      </c>
    </row>
    <row r="5928" ht="15" customHeight="1" s="104">
      <c r="BA5928" s="201" t="n">
        <v>0</v>
      </c>
    </row>
    <row r="5929" ht="15" customHeight="1" s="104">
      <c r="BA5929" s="201" t="n">
        <v>0</v>
      </c>
    </row>
    <row r="5930" ht="15" customHeight="1" s="104">
      <c r="BA5930" s="201" t="n">
        <v>0</v>
      </c>
    </row>
    <row r="5931" ht="15" customHeight="1" s="104">
      <c r="BA5931" s="201" t="n">
        <v>0</v>
      </c>
    </row>
    <row r="5932" ht="15" customHeight="1" s="104">
      <c r="BA5932" s="201" t="n">
        <v>0</v>
      </c>
    </row>
    <row r="5933" ht="15" customHeight="1" s="104">
      <c r="BA5933" s="201" t="n">
        <v>0</v>
      </c>
    </row>
    <row r="5934" ht="15" customHeight="1" s="104">
      <c r="BA5934" s="201" t="n">
        <v>0</v>
      </c>
    </row>
    <row r="5935" ht="15" customHeight="1" s="104">
      <c r="BA5935" s="201" t="n">
        <v>0</v>
      </c>
    </row>
    <row r="5936" ht="15" customHeight="1" s="104">
      <c r="BA5936" s="201" t="n">
        <v>0</v>
      </c>
    </row>
    <row r="5937" ht="15" customHeight="1" s="104">
      <c r="BA5937" s="201" t="n">
        <v>0</v>
      </c>
    </row>
    <row r="5938" ht="15" customHeight="1" s="104">
      <c r="BA5938" s="201" t="n">
        <v>0</v>
      </c>
    </row>
    <row r="5939" ht="15" customHeight="1" s="104">
      <c r="BA5939" s="201" t="n">
        <v>0</v>
      </c>
    </row>
    <row r="5940" ht="15" customHeight="1" s="104">
      <c r="BA5940" s="201" t="n">
        <v>0</v>
      </c>
    </row>
    <row r="5941" ht="15" customHeight="1" s="104">
      <c r="BA5941" s="201" t="n">
        <v>0</v>
      </c>
    </row>
    <row r="5942" ht="15" customHeight="1" s="104">
      <c r="BA5942" s="201" t="n">
        <v>0</v>
      </c>
    </row>
    <row r="5943" ht="15" customHeight="1" s="104">
      <c r="BA5943" s="201" t="n">
        <v>0</v>
      </c>
    </row>
    <row r="5944" ht="15" customHeight="1" s="104">
      <c r="BA5944" s="201" t="n">
        <v>0</v>
      </c>
    </row>
    <row r="5945" ht="15" customHeight="1" s="104">
      <c r="BA5945" s="201" t="n">
        <v>0</v>
      </c>
    </row>
    <row r="5946" ht="15" customHeight="1" s="104">
      <c r="BA5946" s="201" t="n">
        <v>0</v>
      </c>
    </row>
    <row r="5947" ht="15" customHeight="1" s="104">
      <c r="BA5947" s="201" t="n">
        <v>0</v>
      </c>
    </row>
    <row r="5948" ht="15" customHeight="1" s="104">
      <c r="BA5948" s="201" t="n">
        <v>0</v>
      </c>
    </row>
    <row r="5949" ht="15" customHeight="1" s="104">
      <c r="BA5949" s="201" t="n">
        <v>0</v>
      </c>
    </row>
    <row r="5950" ht="15" customHeight="1" s="104">
      <c r="BA5950" s="201" t="n">
        <v>0</v>
      </c>
    </row>
    <row r="5951" ht="15" customHeight="1" s="104">
      <c r="BA5951" s="201" t="n">
        <v>0</v>
      </c>
    </row>
    <row r="5952" ht="15" customHeight="1" s="104">
      <c r="BA5952" s="201" t="n">
        <v>0</v>
      </c>
    </row>
    <row r="5953" ht="15" customHeight="1" s="104">
      <c r="BA5953" s="201" t="n">
        <v>0</v>
      </c>
    </row>
    <row r="5954" ht="15" customHeight="1" s="104">
      <c r="BA5954" s="201" t="n">
        <v>0</v>
      </c>
    </row>
    <row r="5955" ht="15" customHeight="1" s="104">
      <c r="BA5955" s="201" t="n">
        <v>0</v>
      </c>
    </row>
    <row r="5956" ht="15" customHeight="1" s="104">
      <c r="BA5956" s="201" t="n">
        <v>0</v>
      </c>
    </row>
    <row r="5957" ht="15" customHeight="1" s="104">
      <c r="BA5957" s="201" t="n">
        <v>0</v>
      </c>
    </row>
    <row r="5958" ht="15" customHeight="1" s="104">
      <c r="BA5958" s="201" t="n">
        <v>0</v>
      </c>
    </row>
    <row r="5959" ht="15" customHeight="1" s="104">
      <c r="BA5959" s="201" t="n">
        <v>0</v>
      </c>
    </row>
    <row r="5960" ht="15" customHeight="1" s="104">
      <c r="BA5960" s="201" t="n">
        <v>0</v>
      </c>
    </row>
    <row r="5961" ht="15" customHeight="1" s="104">
      <c r="BA5961" s="201" t="n">
        <v>0</v>
      </c>
    </row>
    <row r="5962" ht="15" customHeight="1" s="104">
      <c r="BA5962" s="201" t="n">
        <v>0</v>
      </c>
    </row>
    <row r="5963" ht="15" customHeight="1" s="104">
      <c r="BA5963" s="201" t="n">
        <v>0</v>
      </c>
    </row>
    <row r="5964" ht="15" customHeight="1" s="104">
      <c r="BA5964" s="201" t="n">
        <v>0</v>
      </c>
    </row>
    <row r="5965" ht="15" customHeight="1" s="104">
      <c r="BA5965" s="201" t="n">
        <v>0</v>
      </c>
    </row>
    <row r="5966" ht="15" customHeight="1" s="104">
      <c r="BA5966" s="201" t="n">
        <v>0</v>
      </c>
    </row>
    <row r="5967" ht="15" customHeight="1" s="104">
      <c r="BA5967" s="201" t="n">
        <v>0</v>
      </c>
    </row>
    <row r="5968" ht="15" customHeight="1" s="104">
      <c r="BA5968" s="201" t="n">
        <v>0</v>
      </c>
    </row>
    <row r="5969" ht="15" customHeight="1" s="104">
      <c r="BA5969" s="201" t="n">
        <v>0</v>
      </c>
    </row>
    <row r="5970" ht="15" customHeight="1" s="104">
      <c r="BA5970" s="201" t="n">
        <v>0</v>
      </c>
    </row>
    <row r="5971" ht="15" customHeight="1" s="104">
      <c r="BA5971" s="201" t="n">
        <v>0</v>
      </c>
    </row>
    <row r="5972" ht="15" customHeight="1" s="104">
      <c r="BA5972" s="201" t="n">
        <v>0</v>
      </c>
    </row>
    <row r="5973" ht="15" customHeight="1" s="104">
      <c r="BA5973" s="201" t="n">
        <v>0</v>
      </c>
    </row>
    <row r="5974" ht="15" customHeight="1" s="104">
      <c r="BA5974" s="201" t="n">
        <v>0</v>
      </c>
    </row>
    <row r="5975" ht="15" customHeight="1" s="104">
      <c r="BA5975" s="201" t="n">
        <v>0</v>
      </c>
    </row>
    <row r="5976" ht="15" customHeight="1" s="104">
      <c r="BA5976" s="201" t="n">
        <v>0</v>
      </c>
    </row>
    <row r="5977" ht="15" customHeight="1" s="104">
      <c r="BA5977" s="201" t="n">
        <v>0</v>
      </c>
    </row>
    <row r="5978" ht="15" customHeight="1" s="104">
      <c r="BA5978" s="201" t="n">
        <v>0</v>
      </c>
    </row>
    <row r="5979" ht="15" customHeight="1" s="104">
      <c r="BA5979" s="201" t="n">
        <v>0</v>
      </c>
    </row>
    <row r="5980" ht="15" customHeight="1" s="104">
      <c r="BA5980" s="201" t="n">
        <v>0</v>
      </c>
    </row>
    <row r="5981" ht="15" customHeight="1" s="104">
      <c r="BA5981" s="201" t="n">
        <v>0</v>
      </c>
    </row>
    <row r="5982" ht="15" customHeight="1" s="104">
      <c r="BA5982" s="201" t="n">
        <v>0</v>
      </c>
    </row>
    <row r="5983" ht="15" customHeight="1" s="104">
      <c r="BA5983" s="201" t="n">
        <v>0</v>
      </c>
    </row>
    <row r="5984" ht="15" customHeight="1" s="104">
      <c r="BA5984" s="201" t="n">
        <v>0</v>
      </c>
    </row>
    <row r="5985" ht="15" customHeight="1" s="104">
      <c r="BA5985" s="201" t="n">
        <v>0</v>
      </c>
    </row>
    <row r="5986" ht="15" customHeight="1" s="104">
      <c r="BA5986" s="201" t="n">
        <v>0</v>
      </c>
    </row>
    <row r="5987" ht="15" customHeight="1" s="104">
      <c r="BA5987" s="201" t="n">
        <v>0</v>
      </c>
    </row>
    <row r="5988" ht="15" customHeight="1" s="104">
      <c r="BA5988" s="201" t="n">
        <v>0</v>
      </c>
    </row>
    <row r="5989" ht="15" customHeight="1" s="104">
      <c r="BA5989" s="201" t="n">
        <v>0</v>
      </c>
    </row>
    <row r="5990" ht="15" customHeight="1" s="104">
      <c r="BA5990" s="201" t="n">
        <v>0</v>
      </c>
    </row>
    <row r="5991" ht="15" customHeight="1" s="104">
      <c r="BA5991" s="201" t="n">
        <v>0</v>
      </c>
    </row>
    <row r="5992" ht="15" customHeight="1" s="104">
      <c r="BA5992" s="201" t="n">
        <v>0</v>
      </c>
    </row>
    <row r="5993" ht="15" customHeight="1" s="104">
      <c r="BA5993" s="201" t="n">
        <v>0</v>
      </c>
    </row>
    <row r="5994" ht="15" customHeight="1" s="104">
      <c r="BA5994" s="201" t="n">
        <v>0</v>
      </c>
    </row>
    <row r="5995" ht="15" customHeight="1" s="104">
      <c r="BA5995" s="201" t="n">
        <v>0</v>
      </c>
    </row>
    <row r="5996" ht="15" customHeight="1" s="104">
      <c r="BA5996" s="201" t="n">
        <v>0</v>
      </c>
    </row>
    <row r="5997" ht="15" customHeight="1" s="104">
      <c r="BA5997" s="201" t="n">
        <v>0</v>
      </c>
    </row>
    <row r="5998" ht="15" customHeight="1" s="104">
      <c r="BA5998" s="201" t="n">
        <v>0</v>
      </c>
    </row>
    <row r="5999" ht="15" customHeight="1" s="104">
      <c r="BA5999" s="201" t="n">
        <v>0</v>
      </c>
    </row>
    <row r="6000" ht="15" customHeight="1" s="104">
      <c r="BA6000" s="201" t="n">
        <v>0</v>
      </c>
    </row>
    <row r="6001" ht="15" customHeight="1" s="104">
      <c r="BA6001" s="201" t="n">
        <v>0</v>
      </c>
    </row>
    <row r="6002" ht="15" customHeight="1" s="104">
      <c r="BA6002" s="201" t="n">
        <v>0</v>
      </c>
    </row>
    <row r="6003" ht="15" customHeight="1" s="104">
      <c r="BA6003" s="201" t="n">
        <v>0</v>
      </c>
    </row>
    <row r="6004" ht="15" customHeight="1" s="104">
      <c r="BA6004" s="201" t="n">
        <v>0</v>
      </c>
    </row>
    <row r="6005" ht="15" customHeight="1" s="104">
      <c r="BA6005" s="201" t="n">
        <v>0</v>
      </c>
    </row>
    <row r="6006" ht="15" customHeight="1" s="104">
      <c r="BA6006" s="201" t="n">
        <v>0</v>
      </c>
    </row>
    <row r="6007" ht="15" customHeight="1" s="104">
      <c r="BA6007" s="201" t="n">
        <v>0</v>
      </c>
    </row>
    <row r="6008" ht="15" customHeight="1" s="104">
      <c r="BA6008" s="201" t="n">
        <v>0</v>
      </c>
    </row>
    <row r="6009" ht="15" customHeight="1" s="104">
      <c r="BA6009" s="201" t="n">
        <v>0</v>
      </c>
    </row>
    <row r="6010" ht="15" customHeight="1" s="104">
      <c r="BA6010" s="201" t="n">
        <v>0</v>
      </c>
    </row>
    <row r="6011" ht="15" customHeight="1" s="104">
      <c r="BA6011" s="201" t="n">
        <v>0</v>
      </c>
    </row>
    <row r="6012" ht="15" customHeight="1" s="104">
      <c r="BA6012" s="201" t="n">
        <v>0</v>
      </c>
    </row>
    <row r="6013" ht="15" customHeight="1" s="104">
      <c r="BA6013" s="201" t="n">
        <v>0</v>
      </c>
    </row>
    <row r="6014" ht="15" customHeight="1" s="104">
      <c r="BA6014" s="201" t="n">
        <v>0</v>
      </c>
    </row>
    <row r="6015" ht="15" customHeight="1" s="104">
      <c r="BA6015" s="201" t="n">
        <v>0</v>
      </c>
    </row>
    <row r="6016" ht="15" customHeight="1" s="104">
      <c r="BA6016" s="201" t="n">
        <v>0</v>
      </c>
    </row>
    <row r="6017" ht="15" customHeight="1" s="104">
      <c r="BA6017" s="201" t="n">
        <v>0</v>
      </c>
    </row>
    <row r="6018" ht="15" customHeight="1" s="104">
      <c r="BA6018" s="201" t="n">
        <v>0</v>
      </c>
    </row>
    <row r="6019" ht="15" customHeight="1" s="104">
      <c r="BA6019" s="201" t="n">
        <v>0</v>
      </c>
    </row>
    <row r="6020" ht="15" customHeight="1" s="104">
      <c r="BA6020" s="201" t="n">
        <v>0</v>
      </c>
    </row>
    <row r="6021" ht="15" customHeight="1" s="104">
      <c r="BA6021" s="201" t="n">
        <v>0</v>
      </c>
    </row>
    <row r="6022" ht="15" customHeight="1" s="104">
      <c r="BA6022" s="201" t="n">
        <v>0</v>
      </c>
    </row>
    <row r="6023" ht="15" customHeight="1" s="104">
      <c r="BA6023" s="201" t="n">
        <v>0</v>
      </c>
    </row>
    <row r="6024" ht="15" customHeight="1" s="104">
      <c r="BA6024" s="201" t="n">
        <v>0</v>
      </c>
    </row>
    <row r="6025" ht="15" customHeight="1" s="104">
      <c r="BA6025" s="201" t="n">
        <v>0</v>
      </c>
    </row>
    <row r="6026" ht="15" customHeight="1" s="104">
      <c r="BA6026" s="201" t="n">
        <v>0</v>
      </c>
    </row>
    <row r="6027" ht="15" customHeight="1" s="104">
      <c r="BA6027" s="201" t="n">
        <v>0</v>
      </c>
    </row>
    <row r="6028" ht="15" customHeight="1" s="104">
      <c r="BA6028" s="201" t="n">
        <v>0</v>
      </c>
    </row>
    <row r="6029" ht="15" customHeight="1" s="104">
      <c r="BA6029" s="201" t="n">
        <v>0</v>
      </c>
    </row>
    <row r="6030" ht="15" customHeight="1" s="104">
      <c r="BA6030" s="201" t="n">
        <v>0</v>
      </c>
    </row>
    <row r="6031" ht="15" customHeight="1" s="104">
      <c r="BA6031" s="201" t="n">
        <v>0</v>
      </c>
    </row>
    <row r="6032" ht="15" customHeight="1" s="104">
      <c r="BA6032" s="201" t="n">
        <v>0</v>
      </c>
    </row>
    <row r="6033" ht="15" customHeight="1" s="104">
      <c r="BA6033" s="201" t="n">
        <v>0</v>
      </c>
    </row>
    <row r="6034" ht="15" customHeight="1" s="104">
      <c r="BA6034" s="201" t="n">
        <v>0</v>
      </c>
    </row>
    <row r="6035" ht="15" customHeight="1" s="104">
      <c r="BA6035" s="201" t="n">
        <v>0</v>
      </c>
    </row>
    <row r="6036" ht="15" customHeight="1" s="104">
      <c r="BA6036" s="201" t="n">
        <v>0</v>
      </c>
    </row>
    <row r="6037" ht="15" customHeight="1" s="104">
      <c r="BA6037" s="201" t="n">
        <v>0</v>
      </c>
    </row>
    <row r="6038" ht="15" customHeight="1" s="104">
      <c r="BA6038" s="201" t="n">
        <v>0</v>
      </c>
    </row>
    <row r="6039" ht="15" customHeight="1" s="104">
      <c r="BA6039" s="201" t="n">
        <v>0</v>
      </c>
    </row>
    <row r="6040" ht="15" customHeight="1" s="104">
      <c r="BA6040" s="201" t="n">
        <v>0</v>
      </c>
    </row>
    <row r="6041" ht="15" customHeight="1" s="104">
      <c r="BA6041" s="201" t="n">
        <v>0</v>
      </c>
    </row>
    <row r="6042" ht="15" customHeight="1" s="104">
      <c r="BA6042" s="201" t="n">
        <v>0</v>
      </c>
    </row>
    <row r="6043" ht="15" customHeight="1" s="104">
      <c r="BA6043" s="201" t="n">
        <v>0</v>
      </c>
    </row>
    <row r="6044" ht="15" customHeight="1" s="104">
      <c r="BA6044" s="201" t="n">
        <v>0</v>
      </c>
    </row>
    <row r="6045" ht="15" customHeight="1" s="104">
      <c r="BA6045" s="201" t="n">
        <v>0</v>
      </c>
    </row>
    <row r="6046" ht="15" customHeight="1" s="104">
      <c r="BA6046" s="201" t="n">
        <v>0</v>
      </c>
    </row>
    <row r="6047" ht="15" customHeight="1" s="104">
      <c r="BA6047" s="201" t="n">
        <v>0</v>
      </c>
    </row>
    <row r="6048" ht="15" customHeight="1" s="104">
      <c r="BA6048" s="201" t="n">
        <v>0</v>
      </c>
    </row>
    <row r="6049" ht="15" customHeight="1" s="104">
      <c r="BA6049" s="201" t="n">
        <v>0</v>
      </c>
    </row>
    <row r="6050" ht="15" customHeight="1" s="104">
      <c r="BA6050" s="201" t="n">
        <v>0</v>
      </c>
    </row>
    <row r="6051" ht="15" customHeight="1" s="104">
      <c r="BA6051" s="201" t="n">
        <v>0</v>
      </c>
    </row>
    <row r="6052" ht="15" customHeight="1" s="104">
      <c r="BA6052" s="201" t="n">
        <v>0</v>
      </c>
    </row>
    <row r="6053" ht="15" customHeight="1" s="104">
      <c r="BA6053" s="201" t="n">
        <v>0</v>
      </c>
    </row>
    <row r="6054" ht="15" customHeight="1" s="104">
      <c r="BA6054" s="201" t="n">
        <v>0</v>
      </c>
    </row>
    <row r="6055" ht="15" customHeight="1" s="104">
      <c r="BA6055" s="201" t="n">
        <v>0</v>
      </c>
    </row>
    <row r="6056" ht="15" customHeight="1" s="104">
      <c r="BA6056" s="201" t="n">
        <v>0</v>
      </c>
    </row>
    <row r="6057" ht="15" customHeight="1" s="104">
      <c r="BA6057" s="201" t="n">
        <v>0</v>
      </c>
    </row>
    <row r="6058" ht="15" customHeight="1" s="104">
      <c r="BA6058" s="201" t="n">
        <v>0</v>
      </c>
    </row>
    <row r="6059" ht="15" customHeight="1" s="104">
      <c r="BA6059" s="201" t="n">
        <v>0</v>
      </c>
    </row>
    <row r="6060" ht="15" customHeight="1" s="104">
      <c r="BA6060" s="201" t="n">
        <v>0</v>
      </c>
    </row>
    <row r="6061" ht="15" customHeight="1" s="104">
      <c r="BA6061" s="201" t="n">
        <v>0</v>
      </c>
    </row>
    <row r="6062" ht="15" customHeight="1" s="104">
      <c r="BA6062" s="201" t="n">
        <v>0</v>
      </c>
    </row>
    <row r="6063" ht="15" customHeight="1" s="104">
      <c r="BA6063" s="201" t="n">
        <v>0</v>
      </c>
    </row>
    <row r="6064" ht="15" customHeight="1" s="104">
      <c r="BA6064" s="201" t="n">
        <v>0</v>
      </c>
    </row>
    <row r="6065" ht="15" customHeight="1" s="104">
      <c r="BA6065" s="201" t="n">
        <v>0</v>
      </c>
    </row>
    <row r="6066" ht="15" customHeight="1" s="104">
      <c r="BA6066" s="201" t="n">
        <v>0</v>
      </c>
    </row>
    <row r="6067" ht="15" customHeight="1" s="104">
      <c r="BA6067" s="201" t="n">
        <v>0</v>
      </c>
    </row>
    <row r="6068" ht="15" customHeight="1" s="104">
      <c r="BA6068" s="201" t="n">
        <v>0</v>
      </c>
    </row>
    <row r="6069" ht="15" customHeight="1" s="104">
      <c r="BA6069" s="201" t="n">
        <v>0</v>
      </c>
    </row>
    <row r="6070" ht="15" customHeight="1" s="104">
      <c r="BA6070" s="201" t="n">
        <v>0</v>
      </c>
    </row>
    <row r="6071" ht="15" customHeight="1" s="104">
      <c r="BA6071" s="201" t="n">
        <v>0</v>
      </c>
    </row>
    <row r="6072" ht="15" customHeight="1" s="104">
      <c r="BA6072" s="201" t="n">
        <v>0</v>
      </c>
    </row>
    <row r="6073" ht="15" customHeight="1" s="104">
      <c r="BA6073" s="201" t="n">
        <v>0</v>
      </c>
    </row>
    <row r="6074" ht="15" customHeight="1" s="104">
      <c r="BA6074" s="201" t="n">
        <v>0</v>
      </c>
    </row>
    <row r="6075" ht="15" customHeight="1" s="104">
      <c r="BA6075" s="201" t="n">
        <v>0</v>
      </c>
    </row>
    <row r="6076" ht="15" customHeight="1" s="104">
      <c r="BA6076" s="201" t="n">
        <v>0</v>
      </c>
    </row>
    <row r="6077" ht="15" customHeight="1" s="104">
      <c r="BA6077" s="201" t="n">
        <v>0</v>
      </c>
    </row>
    <row r="6078" ht="15" customHeight="1" s="104">
      <c r="BA6078" s="201" t="n">
        <v>0</v>
      </c>
    </row>
    <row r="6079" ht="15" customHeight="1" s="104">
      <c r="BA6079" s="201" t="n">
        <v>0</v>
      </c>
    </row>
    <row r="6080" ht="15" customHeight="1" s="104">
      <c r="BA6080" s="201" t="n">
        <v>0</v>
      </c>
    </row>
    <row r="6081" ht="15" customHeight="1" s="104">
      <c r="BA6081" s="201" t="n">
        <v>0</v>
      </c>
    </row>
    <row r="6082" ht="15" customHeight="1" s="104">
      <c r="BA6082" s="201" t="n">
        <v>0</v>
      </c>
    </row>
    <row r="6083" ht="15" customHeight="1" s="104">
      <c r="BA6083" s="201" t="n">
        <v>0</v>
      </c>
    </row>
    <row r="6084" ht="15" customHeight="1" s="104">
      <c r="BA6084" s="201" t="n">
        <v>0</v>
      </c>
    </row>
    <row r="6085" ht="15" customHeight="1" s="104">
      <c r="BA6085" s="201" t="n">
        <v>0</v>
      </c>
    </row>
    <row r="6086" ht="15" customHeight="1" s="104">
      <c r="BA6086" s="201" t="n">
        <v>0</v>
      </c>
    </row>
    <row r="6087" ht="15" customHeight="1" s="104">
      <c r="BA6087" s="201" t="n">
        <v>0</v>
      </c>
    </row>
    <row r="6088" ht="15" customHeight="1" s="104">
      <c r="BA6088" s="201" t="n">
        <v>0</v>
      </c>
    </row>
    <row r="6089" ht="15" customHeight="1" s="104">
      <c r="BA6089" s="201" t="n">
        <v>0</v>
      </c>
    </row>
    <row r="6090" ht="15" customHeight="1" s="104">
      <c r="BA6090" s="201" t="n">
        <v>0</v>
      </c>
    </row>
    <row r="6091" ht="15" customHeight="1" s="104">
      <c r="BA6091" s="201" t="n">
        <v>0</v>
      </c>
    </row>
    <row r="6092" ht="15" customHeight="1" s="104">
      <c r="BA6092" s="201" t="n">
        <v>0</v>
      </c>
    </row>
    <row r="6093" ht="15" customHeight="1" s="104">
      <c r="BA6093" s="201" t="n">
        <v>0</v>
      </c>
    </row>
    <row r="6094" ht="15" customHeight="1" s="104">
      <c r="BA6094" s="201" t="n">
        <v>0</v>
      </c>
    </row>
    <row r="6095" ht="15" customHeight="1" s="104">
      <c r="BA6095" s="201" t="n">
        <v>0</v>
      </c>
    </row>
    <row r="6096" ht="15" customHeight="1" s="104">
      <c r="BA6096" s="201" t="n">
        <v>0</v>
      </c>
    </row>
    <row r="6097" ht="15" customHeight="1" s="104">
      <c r="BA6097" s="201" t="n">
        <v>0</v>
      </c>
    </row>
    <row r="6098" ht="15" customHeight="1" s="104">
      <c r="BA6098" s="201" t="n">
        <v>0</v>
      </c>
    </row>
    <row r="6099" ht="15" customHeight="1" s="104">
      <c r="BA6099" s="201" t="n">
        <v>0</v>
      </c>
    </row>
    <row r="6100" ht="15" customHeight="1" s="104">
      <c r="BA6100" s="201" t="n">
        <v>0</v>
      </c>
    </row>
    <row r="6101" ht="15" customHeight="1" s="104">
      <c r="BA6101" s="201" t="n">
        <v>0</v>
      </c>
    </row>
    <row r="6102" ht="15" customHeight="1" s="104">
      <c r="BA6102" s="201" t="n">
        <v>0</v>
      </c>
    </row>
    <row r="6103" ht="15" customHeight="1" s="104">
      <c r="BA6103" s="201" t="n">
        <v>0</v>
      </c>
    </row>
    <row r="6104" ht="15" customHeight="1" s="104">
      <c r="BA6104" s="201" t="n">
        <v>0</v>
      </c>
    </row>
    <row r="6105" ht="15" customHeight="1" s="104">
      <c r="BA6105" s="201" t="n">
        <v>0</v>
      </c>
    </row>
    <row r="6106" ht="15" customHeight="1" s="104">
      <c r="BA6106" s="201" t="n">
        <v>0</v>
      </c>
    </row>
    <row r="6107" ht="15" customHeight="1" s="104">
      <c r="BA6107" s="201" t="n">
        <v>0</v>
      </c>
    </row>
    <row r="6108" ht="15" customHeight="1" s="104">
      <c r="BA6108" s="201" t="n">
        <v>0</v>
      </c>
    </row>
    <row r="6109" ht="15" customHeight="1" s="104">
      <c r="BA6109" s="201" t="n">
        <v>0</v>
      </c>
    </row>
    <row r="6110" ht="15" customHeight="1" s="104">
      <c r="BA6110" s="201" t="n">
        <v>0</v>
      </c>
    </row>
    <row r="6111" ht="15" customHeight="1" s="104">
      <c r="BA6111" s="201" t="n">
        <v>0</v>
      </c>
    </row>
    <row r="6112" ht="15" customHeight="1" s="104">
      <c r="BA6112" s="201" t="n">
        <v>0</v>
      </c>
    </row>
    <row r="6113" ht="15" customHeight="1" s="104">
      <c r="BA6113" s="201" t="n">
        <v>0</v>
      </c>
    </row>
    <row r="6114" ht="15" customHeight="1" s="104">
      <c r="BA6114" s="201" t="n">
        <v>0</v>
      </c>
    </row>
    <row r="6115" ht="15" customHeight="1" s="104">
      <c r="BA6115" s="201" t="n">
        <v>0</v>
      </c>
    </row>
    <row r="6116" ht="15" customHeight="1" s="104">
      <c r="BA6116" s="201" t="n">
        <v>0</v>
      </c>
    </row>
    <row r="6117" ht="15" customHeight="1" s="104">
      <c r="BA6117" s="201" t="n">
        <v>0</v>
      </c>
    </row>
    <row r="6118" ht="15" customHeight="1" s="104">
      <c r="BA6118" s="201" t="n">
        <v>0</v>
      </c>
    </row>
    <row r="6119" ht="15" customHeight="1" s="104">
      <c r="BA6119" s="201" t="n">
        <v>0</v>
      </c>
    </row>
    <row r="6120" ht="15" customHeight="1" s="104">
      <c r="BA6120" s="201" t="n">
        <v>0</v>
      </c>
    </row>
    <row r="6121" ht="15" customHeight="1" s="104">
      <c r="BA6121" s="201" t="n">
        <v>0</v>
      </c>
    </row>
    <row r="6122" ht="15" customHeight="1" s="104">
      <c r="BA6122" s="201" t="n">
        <v>0</v>
      </c>
    </row>
    <row r="6123" ht="15" customHeight="1" s="104">
      <c r="BA6123" s="201" t="n">
        <v>0</v>
      </c>
    </row>
    <row r="6124" ht="15" customHeight="1" s="104">
      <c r="BA6124" s="201" t="n">
        <v>0</v>
      </c>
    </row>
    <row r="6125" ht="15" customHeight="1" s="104">
      <c r="BA6125" s="201" t="n">
        <v>0</v>
      </c>
    </row>
    <row r="6126" ht="15" customHeight="1" s="104">
      <c r="BA6126" s="201" t="n">
        <v>0</v>
      </c>
    </row>
    <row r="6127" ht="15" customHeight="1" s="104">
      <c r="BA6127" s="201" t="n">
        <v>0</v>
      </c>
    </row>
    <row r="6128" ht="15" customHeight="1" s="104">
      <c r="BA6128" s="201" t="n">
        <v>0</v>
      </c>
    </row>
    <row r="6129" ht="15" customHeight="1" s="104">
      <c r="BA6129" s="201" t="n">
        <v>0</v>
      </c>
    </row>
    <row r="6130" ht="15" customHeight="1" s="104">
      <c r="BA6130" s="201" t="n">
        <v>0</v>
      </c>
    </row>
    <row r="6131" ht="15" customHeight="1" s="104">
      <c r="BA6131" s="201" t="n">
        <v>0</v>
      </c>
    </row>
    <row r="6132" ht="15" customHeight="1" s="104">
      <c r="BA6132" s="201" t="n">
        <v>0</v>
      </c>
    </row>
    <row r="6133" ht="15" customHeight="1" s="104">
      <c r="BA6133" s="201" t="n">
        <v>0</v>
      </c>
    </row>
    <row r="6134" ht="15" customHeight="1" s="104">
      <c r="BA6134" s="201" t="n">
        <v>0</v>
      </c>
    </row>
    <row r="6135" ht="15" customHeight="1" s="104">
      <c r="BA6135" s="201" t="n">
        <v>0</v>
      </c>
    </row>
    <row r="6136" ht="15" customHeight="1" s="104">
      <c r="BA6136" s="201" t="n">
        <v>0</v>
      </c>
    </row>
    <row r="6137" ht="15" customHeight="1" s="104">
      <c r="BA6137" s="201" t="n">
        <v>0</v>
      </c>
    </row>
    <row r="6138" ht="15" customHeight="1" s="104">
      <c r="BA6138" s="201" t="n">
        <v>0</v>
      </c>
    </row>
    <row r="6139" ht="15" customHeight="1" s="104">
      <c r="BA6139" s="201" t="n">
        <v>0</v>
      </c>
    </row>
    <row r="6140" ht="15" customHeight="1" s="104">
      <c r="BA6140" s="201" t="n">
        <v>0</v>
      </c>
    </row>
    <row r="6141" ht="15" customHeight="1" s="104">
      <c r="BA6141" s="201" t="n">
        <v>0</v>
      </c>
    </row>
    <row r="6142" ht="15" customHeight="1" s="104">
      <c r="BA6142" s="201" t="n">
        <v>0</v>
      </c>
    </row>
    <row r="6143" ht="15" customHeight="1" s="104">
      <c r="BA6143" s="201" t="n">
        <v>0</v>
      </c>
    </row>
    <row r="6144" ht="15" customHeight="1" s="104">
      <c r="BA6144" s="201" t="n">
        <v>0</v>
      </c>
    </row>
    <row r="6145" ht="15" customHeight="1" s="104">
      <c r="BA6145" s="201" t="n">
        <v>0</v>
      </c>
    </row>
    <row r="6146" ht="15" customHeight="1" s="104">
      <c r="BA6146" s="201" t="n">
        <v>0</v>
      </c>
    </row>
    <row r="6147" ht="15" customHeight="1" s="104">
      <c r="BA6147" s="201" t="n">
        <v>0</v>
      </c>
    </row>
    <row r="6148" ht="15" customHeight="1" s="104">
      <c r="BA6148" s="201" t="n">
        <v>0</v>
      </c>
    </row>
    <row r="6149" ht="15" customHeight="1" s="104">
      <c r="BA6149" s="201" t="n">
        <v>0</v>
      </c>
    </row>
    <row r="6150" ht="15" customHeight="1" s="104">
      <c r="BA6150" s="201" t="n">
        <v>0</v>
      </c>
    </row>
    <row r="6151" ht="15" customHeight="1" s="104">
      <c r="BA6151" s="201" t="n">
        <v>0</v>
      </c>
    </row>
    <row r="6152" ht="15" customHeight="1" s="104">
      <c r="BA6152" s="201" t="n">
        <v>0</v>
      </c>
    </row>
    <row r="6153" ht="15" customHeight="1" s="104">
      <c r="BA6153" s="201" t="n">
        <v>0</v>
      </c>
    </row>
    <row r="6154" ht="15" customHeight="1" s="104">
      <c r="BA6154" s="201" t="n">
        <v>0</v>
      </c>
    </row>
    <row r="6155" ht="15" customHeight="1" s="104">
      <c r="BA6155" s="201" t="n">
        <v>0</v>
      </c>
    </row>
    <row r="6156" ht="15" customHeight="1" s="104">
      <c r="BA6156" s="201" t="n">
        <v>0</v>
      </c>
    </row>
    <row r="6157" ht="15" customHeight="1" s="104">
      <c r="BA6157" s="201" t="n">
        <v>0</v>
      </c>
    </row>
    <row r="6158" ht="15" customHeight="1" s="104">
      <c r="BA6158" s="201" t="n">
        <v>0</v>
      </c>
    </row>
    <row r="6159" ht="15" customHeight="1" s="104">
      <c r="BA6159" s="201" t="n">
        <v>0</v>
      </c>
    </row>
    <row r="6160" ht="15" customHeight="1" s="104">
      <c r="BA6160" s="201" t="n">
        <v>0</v>
      </c>
    </row>
    <row r="6161" ht="15" customHeight="1" s="104">
      <c r="BA6161" s="201" t="n">
        <v>0</v>
      </c>
    </row>
    <row r="6162" ht="15" customHeight="1" s="104">
      <c r="BA6162" s="201" t="n">
        <v>0</v>
      </c>
    </row>
    <row r="6163" ht="15" customHeight="1" s="104">
      <c r="BA6163" s="201" t="n">
        <v>0</v>
      </c>
    </row>
    <row r="6164" ht="15" customHeight="1" s="104">
      <c r="BA6164" s="201" t="n">
        <v>0</v>
      </c>
    </row>
    <row r="6165" ht="15" customHeight="1" s="104">
      <c r="BA6165" s="201" t="n">
        <v>0</v>
      </c>
    </row>
    <row r="6166" ht="15" customHeight="1" s="104">
      <c r="BA6166" s="201" t="n">
        <v>0</v>
      </c>
    </row>
    <row r="6167" ht="15" customHeight="1" s="104">
      <c r="BA6167" s="201" t="n">
        <v>0</v>
      </c>
    </row>
    <row r="6168" ht="15" customHeight="1" s="104">
      <c r="BA6168" s="201" t="n">
        <v>0</v>
      </c>
    </row>
    <row r="6169" ht="15" customHeight="1" s="104">
      <c r="BA6169" s="201" t="n">
        <v>0</v>
      </c>
    </row>
    <row r="6170" ht="15" customHeight="1" s="104">
      <c r="BA6170" s="201" t="n">
        <v>0</v>
      </c>
    </row>
    <row r="6171" ht="15" customHeight="1" s="104">
      <c r="BA6171" s="201" t="n">
        <v>0</v>
      </c>
    </row>
    <row r="6172" ht="15" customHeight="1" s="104">
      <c r="BA6172" s="201" t="n">
        <v>0</v>
      </c>
    </row>
    <row r="6173" ht="15" customHeight="1" s="104">
      <c r="BA6173" s="201" t="n">
        <v>0</v>
      </c>
    </row>
    <row r="6174" ht="15" customHeight="1" s="104">
      <c r="BA6174" s="201" t="n">
        <v>0</v>
      </c>
    </row>
    <row r="6175" ht="15" customHeight="1" s="104">
      <c r="BA6175" s="201" t="n">
        <v>0</v>
      </c>
    </row>
    <row r="6176" ht="15" customHeight="1" s="104">
      <c r="BA6176" s="201" t="n">
        <v>0</v>
      </c>
    </row>
    <row r="6177" ht="15" customHeight="1" s="104">
      <c r="BA6177" s="201" t="n">
        <v>0</v>
      </c>
    </row>
    <row r="6178" ht="15" customHeight="1" s="104">
      <c r="BA6178" s="201" t="n">
        <v>0</v>
      </c>
    </row>
    <row r="6179" ht="15" customHeight="1" s="104">
      <c r="BA6179" s="201" t="n">
        <v>0</v>
      </c>
    </row>
    <row r="6180" ht="15" customHeight="1" s="104">
      <c r="BA6180" s="201" t="n">
        <v>0</v>
      </c>
    </row>
    <row r="6181" ht="15" customHeight="1" s="104">
      <c r="BA6181" s="201" t="n">
        <v>0</v>
      </c>
    </row>
    <row r="6182" ht="15" customHeight="1" s="104">
      <c r="BA6182" s="201" t="n">
        <v>0</v>
      </c>
    </row>
    <row r="6183" ht="15" customHeight="1" s="104">
      <c r="BA6183" s="201" t="n">
        <v>0</v>
      </c>
    </row>
    <row r="6184" ht="15" customHeight="1" s="104">
      <c r="BA6184" s="201" t="n">
        <v>0</v>
      </c>
    </row>
    <row r="6185" ht="15" customHeight="1" s="104">
      <c r="BA6185" s="201" t="n">
        <v>0</v>
      </c>
    </row>
    <row r="6186" ht="15" customHeight="1" s="104">
      <c r="BA6186" s="201" t="n">
        <v>0</v>
      </c>
    </row>
    <row r="6187" ht="15" customHeight="1" s="104">
      <c r="BA6187" s="201" t="n">
        <v>0</v>
      </c>
    </row>
    <row r="6188" ht="15" customHeight="1" s="104">
      <c r="BA6188" s="201" t="n">
        <v>0</v>
      </c>
    </row>
    <row r="6189" ht="15" customHeight="1" s="104">
      <c r="BA6189" s="201" t="n">
        <v>0</v>
      </c>
    </row>
    <row r="6190" ht="15" customHeight="1" s="104">
      <c r="BA6190" s="201" t="n">
        <v>0</v>
      </c>
    </row>
    <row r="6191" ht="15" customHeight="1" s="104">
      <c r="BA6191" s="201" t="n">
        <v>0</v>
      </c>
    </row>
    <row r="6192" ht="15" customHeight="1" s="104">
      <c r="BA6192" s="201" t="n">
        <v>0</v>
      </c>
    </row>
    <row r="6193" ht="15" customHeight="1" s="104">
      <c r="BA6193" s="201" t="n">
        <v>0</v>
      </c>
    </row>
    <row r="6194" ht="15" customHeight="1" s="104">
      <c r="BA6194" s="201" t="n">
        <v>0</v>
      </c>
    </row>
    <row r="6195" ht="15" customHeight="1" s="104">
      <c r="BA6195" s="201" t="n">
        <v>0</v>
      </c>
    </row>
    <row r="6196" ht="15" customHeight="1" s="104">
      <c r="BA6196" s="201" t="n">
        <v>0</v>
      </c>
    </row>
    <row r="6197" ht="15" customHeight="1" s="104">
      <c r="BA6197" s="201" t="n">
        <v>0</v>
      </c>
    </row>
    <row r="6198" ht="15" customHeight="1" s="104">
      <c r="BA6198" s="201" t="n">
        <v>0</v>
      </c>
    </row>
    <row r="6199" ht="15" customHeight="1" s="104">
      <c r="BA6199" s="201" t="n">
        <v>0</v>
      </c>
    </row>
    <row r="6200" ht="15" customHeight="1" s="104">
      <c r="BA6200" s="201" t="n">
        <v>0</v>
      </c>
    </row>
    <row r="6201" ht="15" customHeight="1" s="104">
      <c r="BA6201" s="201" t="n">
        <v>0</v>
      </c>
    </row>
    <row r="6202" ht="15" customHeight="1" s="104">
      <c r="BA6202" s="201" t="n">
        <v>0</v>
      </c>
    </row>
    <row r="6203" ht="15" customHeight="1" s="104">
      <c r="BA6203" s="201" t="n">
        <v>0</v>
      </c>
    </row>
    <row r="6204" ht="15" customHeight="1" s="104">
      <c r="BA6204" s="201" t="n">
        <v>0</v>
      </c>
    </row>
    <row r="6205" ht="15" customHeight="1" s="104">
      <c r="BA6205" s="201" t="n">
        <v>0</v>
      </c>
    </row>
    <row r="6206" ht="15" customHeight="1" s="104">
      <c r="BA6206" s="201" t="n">
        <v>0</v>
      </c>
    </row>
    <row r="6207" ht="15" customHeight="1" s="104">
      <c r="BA6207" s="201" t="n">
        <v>0</v>
      </c>
    </row>
    <row r="6208" ht="15" customHeight="1" s="104">
      <c r="BA6208" s="201" t="n">
        <v>0</v>
      </c>
    </row>
    <row r="6209" ht="15" customHeight="1" s="104">
      <c r="BA6209" s="201" t="n">
        <v>0</v>
      </c>
    </row>
    <row r="6210" ht="15" customHeight="1" s="104">
      <c r="BA6210" s="201" t="n">
        <v>0</v>
      </c>
    </row>
    <row r="6211" ht="15" customHeight="1" s="104">
      <c r="BA6211" s="201" t="n">
        <v>0</v>
      </c>
    </row>
    <row r="6212" ht="15" customHeight="1" s="104">
      <c r="BA6212" s="201" t="n">
        <v>0</v>
      </c>
    </row>
    <row r="6213" ht="15" customHeight="1" s="104">
      <c r="BA6213" s="201" t="n">
        <v>0</v>
      </c>
    </row>
    <row r="6214" ht="15" customHeight="1" s="104">
      <c r="BA6214" s="201" t="n">
        <v>0</v>
      </c>
    </row>
    <row r="6215" ht="15" customHeight="1" s="104">
      <c r="BA6215" s="201" t="n">
        <v>0</v>
      </c>
    </row>
    <row r="6216" ht="15" customHeight="1" s="104">
      <c r="BA6216" s="201" t="n">
        <v>0</v>
      </c>
    </row>
    <row r="6217" ht="15" customHeight="1" s="104">
      <c r="BA6217" s="201" t="n">
        <v>0</v>
      </c>
    </row>
    <row r="6218" ht="15" customHeight="1" s="104">
      <c r="BA6218" s="201" t="n">
        <v>0</v>
      </c>
    </row>
    <row r="6219" ht="15" customHeight="1" s="104">
      <c r="BA6219" s="201" t="n">
        <v>0</v>
      </c>
    </row>
    <row r="6220" ht="15" customHeight="1" s="104">
      <c r="BA6220" s="201" t="n">
        <v>0</v>
      </c>
    </row>
    <row r="6221" ht="15" customHeight="1" s="104">
      <c r="BA6221" s="201" t="n">
        <v>0</v>
      </c>
    </row>
    <row r="6222" ht="15" customHeight="1" s="104">
      <c r="BA6222" s="201" t="n">
        <v>0</v>
      </c>
    </row>
    <row r="6223" ht="15" customHeight="1" s="104">
      <c r="BA6223" s="201" t="n">
        <v>0</v>
      </c>
    </row>
    <row r="6224" ht="15" customHeight="1" s="104">
      <c r="BA6224" s="201" t="n">
        <v>0</v>
      </c>
    </row>
    <row r="6225" ht="15" customHeight="1" s="104">
      <c r="BA6225" s="201" t="n">
        <v>0</v>
      </c>
    </row>
    <row r="6226" ht="15" customHeight="1" s="104">
      <c r="BA6226" s="201" t="n">
        <v>0</v>
      </c>
    </row>
    <row r="6227" ht="15" customHeight="1" s="104">
      <c r="BA6227" s="201" t="n">
        <v>0</v>
      </c>
    </row>
    <row r="6228" ht="15" customHeight="1" s="104">
      <c r="BA6228" s="201" t="n">
        <v>0</v>
      </c>
    </row>
    <row r="6229" ht="15" customHeight="1" s="104">
      <c r="BA6229" s="201" t="n">
        <v>0</v>
      </c>
    </row>
    <row r="6230" ht="15" customHeight="1" s="104">
      <c r="BA6230" s="201" t="n">
        <v>0</v>
      </c>
    </row>
    <row r="6231" ht="15" customHeight="1" s="104">
      <c r="BA6231" s="201" t="n">
        <v>0</v>
      </c>
    </row>
    <row r="6232" ht="15" customHeight="1" s="104">
      <c r="BA6232" s="201" t="n">
        <v>0</v>
      </c>
    </row>
    <row r="6233" ht="15" customHeight="1" s="104">
      <c r="BA6233" s="201" t="n">
        <v>0</v>
      </c>
    </row>
    <row r="6234" ht="15" customHeight="1" s="104">
      <c r="BA6234" s="201" t="n">
        <v>0</v>
      </c>
    </row>
    <row r="6235" ht="15" customHeight="1" s="104">
      <c r="BA6235" s="201" t="n">
        <v>0</v>
      </c>
    </row>
    <row r="6236" ht="15" customHeight="1" s="104">
      <c r="BA6236" s="201" t="n">
        <v>0</v>
      </c>
    </row>
    <row r="6237" ht="15" customHeight="1" s="104">
      <c r="BA6237" s="201" t="n">
        <v>0</v>
      </c>
    </row>
    <row r="6238" ht="15" customHeight="1" s="104">
      <c r="BA6238" s="201" t="n">
        <v>0</v>
      </c>
    </row>
    <row r="6239" ht="15" customHeight="1" s="104">
      <c r="BA6239" s="201" t="n">
        <v>0</v>
      </c>
    </row>
    <row r="6240" ht="15" customHeight="1" s="104">
      <c r="BA6240" s="201" t="n">
        <v>0</v>
      </c>
    </row>
    <row r="6241" ht="15" customHeight="1" s="104">
      <c r="BA6241" s="201" t="n">
        <v>0</v>
      </c>
    </row>
    <row r="6242" ht="15" customHeight="1" s="104">
      <c r="BA6242" s="201" t="n">
        <v>0</v>
      </c>
    </row>
    <row r="6243" ht="15" customHeight="1" s="104">
      <c r="BA6243" s="201" t="n">
        <v>0</v>
      </c>
    </row>
    <row r="6244" ht="15" customHeight="1" s="104">
      <c r="BA6244" s="201" t="n">
        <v>0</v>
      </c>
    </row>
    <row r="6245" ht="15" customHeight="1" s="104">
      <c r="BA6245" s="201" t="n">
        <v>0</v>
      </c>
    </row>
    <row r="6246" ht="15" customHeight="1" s="104">
      <c r="BA6246" s="201" t="n">
        <v>0</v>
      </c>
    </row>
    <row r="6247" ht="15" customHeight="1" s="104">
      <c r="BA6247" s="201" t="n">
        <v>0</v>
      </c>
    </row>
    <row r="6248" ht="15" customHeight="1" s="104">
      <c r="BA6248" s="201" t="n">
        <v>0</v>
      </c>
    </row>
    <row r="6249" ht="15" customHeight="1" s="104">
      <c r="BA6249" s="201" t="n">
        <v>0</v>
      </c>
    </row>
    <row r="6250" ht="15" customHeight="1" s="104">
      <c r="BA6250" s="201" t="n">
        <v>0</v>
      </c>
    </row>
    <row r="6251" ht="15" customHeight="1" s="104">
      <c r="BA6251" s="201" t="n">
        <v>0</v>
      </c>
    </row>
    <row r="6252" ht="15" customHeight="1" s="104">
      <c r="BA6252" s="201" t="n">
        <v>0</v>
      </c>
    </row>
    <row r="6253" ht="15" customHeight="1" s="104">
      <c r="BA6253" s="201" t="n">
        <v>0</v>
      </c>
    </row>
    <row r="6254" ht="15" customHeight="1" s="104">
      <c r="BA6254" s="201" t="n">
        <v>0</v>
      </c>
    </row>
    <row r="6255" ht="15" customHeight="1" s="104">
      <c r="BA6255" s="201" t="n">
        <v>0</v>
      </c>
    </row>
    <row r="6256" ht="15" customHeight="1" s="104">
      <c r="BA6256" s="201" t="n">
        <v>0</v>
      </c>
    </row>
    <row r="6257" ht="15" customHeight="1" s="104">
      <c r="BA6257" s="201" t="n">
        <v>0</v>
      </c>
    </row>
    <row r="6258" ht="15" customHeight="1" s="104">
      <c r="BA6258" s="201" t="n">
        <v>0</v>
      </c>
    </row>
    <row r="6259" ht="15" customHeight="1" s="104">
      <c r="BA6259" s="201" t="n">
        <v>0</v>
      </c>
    </row>
    <row r="6260" ht="15" customHeight="1" s="104">
      <c r="BA6260" s="201" t="n">
        <v>0</v>
      </c>
    </row>
    <row r="6261" ht="15" customHeight="1" s="104">
      <c r="BA6261" s="201" t="n">
        <v>0</v>
      </c>
    </row>
    <row r="6262" ht="15" customHeight="1" s="104">
      <c r="BA6262" s="201" t="n">
        <v>0</v>
      </c>
    </row>
    <row r="6263" ht="15" customHeight="1" s="104">
      <c r="BA6263" s="201" t="n">
        <v>0</v>
      </c>
    </row>
    <row r="6264" ht="15" customHeight="1" s="104">
      <c r="BA6264" s="201" t="n">
        <v>0</v>
      </c>
    </row>
    <row r="6265" ht="15" customHeight="1" s="104">
      <c r="BA6265" s="201" t="n">
        <v>0</v>
      </c>
    </row>
    <row r="6266" ht="15" customHeight="1" s="104">
      <c r="BA6266" s="201" t="n">
        <v>0</v>
      </c>
    </row>
    <row r="6267" ht="15" customHeight="1" s="104">
      <c r="BA6267" s="201" t="n">
        <v>0</v>
      </c>
    </row>
    <row r="6268" ht="15" customHeight="1" s="104">
      <c r="BA6268" s="201" t="n">
        <v>0</v>
      </c>
    </row>
    <row r="6269" ht="15" customHeight="1" s="104">
      <c r="BA6269" s="201" t="n">
        <v>0</v>
      </c>
    </row>
    <row r="6270" ht="15" customHeight="1" s="104">
      <c r="BA6270" s="201" t="n">
        <v>0</v>
      </c>
    </row>
    <row r="6271" ht="15" customHeight="1" s="104">
      <c r="BA6271" s="201" t="n">
        <v>0</v>
      </c>
    </row>
    <row r="6272" ht="15" customHeight="1" s="104">
      <c r="BA6272" s="201" t="n">
        <v>0</v>
      </c>
    </row>
    <row r="6273" ht="15" customHeight="1" s="104">
      <c r="BA6273" s="201" t="n">
        <v>0</v>
      </c>
    </row>
    <row r="6274" ht="15" customHeight="1" s="104">
      <c r="BA6274" s="201" t="n">
        <v>0</v>
      </c>
    </row>
    <row r="6275" ht="15" customHeight="1" s="104">
      <c r="BA6275" s="201" t="n">
        <v>0</v>
      </c>
    </row>
    <row r="6276" ht="15" customHeight="1" s="104">
      <c r="BA6276" s="201" t="n">
        <v>0</v>
      </c>
    </row>
    <row r="6277" ht="15" customHeight="1" s="104">
      <c r="BA6277" s="201" t="n">
        <v>0</v>
      </c>
    </row>
    <row r="6278" ht="15" customHeight="1" s="104">
      <c r="BA6278" s="201" t="n">
        <v>0</v>
      </c>
    </row>
    <row r="6279" ht="15" customHeight="1" s="104">
      <c r="BA6279" s="201" t="n">
        <v>0</v>
      </c>
    </row>
    <row r="6280" ht="15" customHeight="1" s="104">
      <c r="BA6280" s="201" t="n">
        <v>0</v>
      </c>
    </row>
    <row r="6281" ht="15" customHeight="1" s="104">
      <c r="BA6281" s="201" t="n">
        <v>0</v>
      </c>
    </row>
    <row r="6282" ht="15" customHeight="1" s="104">
      <c r="BA6282" s="201" t="n">
        <v>0</v>
      </c>
    </row>
    <row r="6283" ht="15" customHeight="1" s="104">
      <c r="BA6283" s="201" t="n">
        <v>0</v>
      </c>
    </row>
    <row r="6284" ht="15" customHeight="1" s="104">
      <c r="BA6284" s="201" t="n">
        <v>0</v>
      </c>
    </row>
    <row r="6285" ht="15" customHeight="1" s="104">
      <c r="BA6285" s="201" t="n">
        <v>0</v>
      </c>
    </row>
    <row r="6286" ht="15" customHeight="1" s="104">
      <c r="BA6286" s="201" t="n">
        <v>0</v>
      </c>
    </row>
    <row r="6287" ht="15" customHeight="1" s="104">
      <c r="BA6287" s="201" t="n">
        <v>0</v>
      </c>
    </row>
    <row r="6288" ht="15" customHeight="1" s="104">
      <c r="BA6288" s="201" t="n">
        <v>0</v>
      </c>
    </row>
    <row r="6289" ht="15" customHeight="1" s="104">
      <c r="BA6289" s="201" t="n">
        <v>0</v>
      </c>
    </row>
    <row r="6290" ht="15" customHeight="1" s="104">
      <c r="BA6290" s="201" t="n">
        <v>0</v>
      </c>
    </row>
    <row r="6291" ht="15" customHeight="1" s="104">
      <c r="BA6291" s="201" t="n">
        <v>0</v>
      </c>
    </row>
    <row r="6292" ht="15" customHeight="1" s="104">
      <c r="BA6292" s="201" t="n">
        <v>0</v>
      </c>
    </row>
    <row r="6293" ht="15" customHeight="1" s="104">
      <c r="BA6293" s="201" t="n">
        <v>0</v>
      </c>
    </row>
    <row r="6294" ht="15" customHeight="1" s="104">
      <c r="BA6294" s="201" t="n">
        <v>0</v>
      </c>
    </row>
    <row r="6295" ht="15" customHeight="1" s="104">
      <c r="BA6295" s="201" t="n">
        <v>0</v>
      </c>
    </row>
    <row r="6296" ht="15" customHeight="1" s="104">
      <c r="BA6296" s="201" t="n">
        <v>0</v>
      </c>
    </row>
    <row r="6297" ht="15" customHeight="1" s="104">
      <c r="BA6297" s="201" t="n">
        <v>0</v>
      </c>
    </row>
    <row r="6298" ht="15" customHeight="1" s="104">
      <c r="BA6298" s="201" t="n">
        <v>0</v>
      </c>
    </row>
    <row r="6299" ht="15" customHeight="1" s="104">
      <c r="BA6299" s="201" t="n">
        <v>0</v>
      </c>
    </row>
    <row r="6300" ht="15" customHeight="1" s="104">
      <c r="BA6300" s="201" t="n">
        <v>0</v>
      </c>
    </row>
    <row r="6301" ht="15" customHeight="1" s="104">
      <c r="BA6301" s="201" t="n">
        <v>0</v>
      </c>
    </row>
    <row r="6302" ht="15" customHeight="1" s="104">
      <c r="BA6302" s="201" t="n">
        <v>0</v>
      </c>
    </row>
    <row r="6303" ht="15" customHeight="1" s="104">
      <c r="BA6303" s="201" t="n">
        <v>0</v>
      </c>
    </row>
    <row r="6304" ht="15" customHeight="1" s="104">
      <c r="BA6304" s="201" t="n">
        <v>0</v>
      </c>
    </row>
    <row r="6305" ht="15" customHeight="1" s="104">
      <c r="BA6305" s="201" t="n">
        <v>0</v>
      </c>
    </row>
    <row r="6306" ht="15" customHeight="1" s="104">
      <c r="BA6306" s="201" t="n">
        <v>0</v>
      </c>
    </row>
    <row r="6307" ht="15" customHeight="1" s="104">
      <c r="BA6307" s="201" t="n">
        <v>0</v>
      </c>
    </row>
    <row r="6308" ht="15" customHeight="1" s="104">
      <c r="BA6308" s="201" t="n">
        <v>0</v>
      </c>
    </row>
    <row r="6309" ht="15" customHeight="1" s="104">
      <c r="BA6309" s="201" t="n">
        <v>0</v>
      </c>
    </row>
    <row r="6310" ht="15" customHeight="1" s="104">
      <c r="BA6310" s="201" t="n">
        <v>0</v>
      </c>
    </row>
    <row r="6311" ht="15" customHeight="1" s="104">
      <c r="BA6311" s="201" t="n">
        <v>0</v>
      </c>
    </row>
    <row r="6312" ht="15" customHeight="1" s="104">
      <c r="BA6312" s="201" t="n">
        <v>0</v>
      </c>
    </row>
    <row r="6313" ht="15" customHeight="1" s="104">
      <c r="BA6313" s="201" t="n">
        <v>0</v>
      </c>
    </row>
    <row r="6314" ht="15" customHeight="1" s="104">
      <c r="BA6314" s="201" t="n">
        <v>0</v>
      </c>
    </row>
    <row r="6315" ht="15" customHeight="1" s="104">
      <c r="BA6315" s="201" t="n">
        <v>0</v>
      </c>
    </row>
    <row r="6316" ht="15" customHeight="1" s="104">
      <c r="BA6316" s="201" t="n">
        <v>0</v>
      </c>
    </row>
    <row r="6317" ht="15" customHeight="1" s="104">
      <c r="BA6317" s="201" t="n">
        <v>0</v>
      </c>
    </row>
    <row r="6318" ht="15" customHeight="1" s="104">
      <c r="BA6318" s="201" t="n">
        <v>0</v>
      </c>
    </row>
    <row r="6319" ht="15" customHeight="1" s="104">
      <c r="BA6319" s="201" t="n">
        <v>0</v>
      </c>
    </row>
    <row r="6320" ht="15" customHeight="1" s="104">
      <c r="BA6320" s="201" t="n">
        <v>0</v>
      </c>
    </row>
    <row r="6321" ht="15" customHeight="1" s="104">
      <c r="BA6321" s="201" t="n">
        <v>0</v>
      </c>
    </row>
    <row r="6322" ht="15" customHeight="1" s="104">
      <c r="BA6322" s="201" t="n">
        <v>0</v>
      </c>
    </row>
    <row r="6323" ht="15" customHeight="1" s="104">
      <c r="BA6323" s="201" t="n">
        <v>0</v>
      </c>
    </row>
    <row r="6324" ht="15" customHeight="1" s="104">
      <c r="BA6324" s="201" t="n">
        <v>0</v>
      </c>
    </row>
    <row r="6325" ht="15" customHeight="1" s="104">
      <c r="BA6325" s="201" t="n">
        <v>0</v>
      </c>
    </row>
    <row r="6326" ht="15" customHeight="1" s="104">
      <c r="BA6326" s="201" t="n">
        <v>0</v>
      </c>
    </row>
    <row r="6327" ht="15" customHeight="1" s="104">
      <c r="BA6327" s="201" t="n">
        <v>0</v>
      </c>
    </row>
    <row r="6328" ht="15" customHeight="1" s="104">
      <c r="BA6328" s="201" t="n">
        <v>0</v>
      </c>
    </row>
    <row r="6329" ht="15" customHeight="1" s="104">
      <c r="BA6329" s="201" t="n">
        <v>0</v>
      </c>
    </row>
    <row r="6330" ht="15" customHeight="1" s="104">
      <c r="BA6330" s="201" t="n">
        <v>0</v>
      </c>
    </row>
    <row r="6331" ht="15" customHeight="1" s="104">
      <c r="BA6331" s="201" t="n">
        <v>0</v>
      </c>
    </row>
    <row r="6332" ht="15" customHeight="1" s="104">
      <c r="BA6332" s="201" t="n">
        <v>0</v>
      </c>
    </row>
    <row r="6333" ht="15" customHeight="1" s="104">
      <c r="BA6333" s="201" t="n">
        <v>0</v>
      </c>
    </row>
    <row r="6334" ht="15" customHeight="1" s="104">
      <c r="BA6334" s="201" t="n">
        <v>0</v>
      </c>
    </row>
    <row r="6335" ht="15" customHeight="1" s="104">
      <c r="BA6335" s="201" t="n">
        <v>0</v>
      </c>
    </row>
    <row r="6336" ht="15" customHeight="1" s="104">
      <c r="BA6336" s="201" t="n">
        <v>0</v>
      </c>
    </row>
    <row r="6337" ht="15" customHeight="1" s="104">
      <c r="BA6337" s="201" t="n">
        <v>0</v>
      </c>
    </row>
    <row r="6338" ht="15" customHeight="1" s="104">
      <c r="BA6338" s="201" t="n">
        <v>0</v>
      </c>
    </row>
    <row r="6339" ht="15" customHeight="1" s="104">
      <c r="BA6339" s="201" t="n">
        <v>0</v>
      </c>
    </row>
    <row r="6340" ht="15" customHeight="1" s="104">
      <c r="BA6340" s="201" t="n">
        <v>0</v>
      </c>
    </row>
    <row r="6341" ht="15" customHeight="1" s="104">
      <c r="BA6341" s="201" t="n">
        <v>0</v>
      </c>
    </row>
    <row r="6342" ht="15" customHeight="1" s="104">
      <c r="BA6342" s="201" t="n">
        <v>0</v>
      </c>
    </row>
    <row r="6343" ht="15" customHeight="1" s="104">
      <c r="BA6343" s="201" t="n">
        <v>0</v>
      </c>
    </row>
    <row r="6344" ht="15" customHeight="1" s="104">
      <c r="BA6344" s="201" t="n">
        <v>0</v>
      </c>
    </row>
    <row r="6345" ht="15" customHeight="1" s="104">
      <c r="BA6345" s="201" t="n">
        <v>0</v>
      </c>
    </row>
    <row r="6346" ht="15" customHeight="1" s="104">
      <c r="BA6346" s="201" t="n">
        <v>0</v>
      </c>
    </row>
    <row r="6347" ht="15" customHeight="1" s="104">
      <c r="BA6347" s="201" t="n">
        <v>0</v>
      </c>
    </row>
    <row r="6348" ht="15" customHeight="1" s="104">
      <c r="BA6348" s="201" t="n">
        <v>0</v>
      </c>
    </row>
    <row r="6349" ht="15" customHeight="1" s="104">
      <c r="BA6349" s="201" t="n">
        <v>0</v>
      </c>
    </row>
    <row r="6350" ht="15" customHeight="1" s="104">
      <c r="BA6350" s="201" t="n">
        <v>0</v>
      </c>
    </row>
    <row r="6351" ht="15" customHeight="1" s="104">
      <c r="BA6351" s="201" t="n">
        <v>0</v>
      </c>
    </row>
    <row r="6352" ht="15" customHeight="1" s="104">
      <c r="BA6352" s="201" t="n">
        <v>0</v>
      </c>
    </row>
    <row r="6353" ht="15" customHeight="1" s="104">
      <c r="BA6353" s="201" t="n">
        <v>0</v>
      </c>
    </row>
    <row r="6354" ht="15" customHeight="1" s="104">
      <c r="BA6354" s="201" t="n">
        <v>0</v>
      </c>
    </row>
    <row r="6355" ht="15" customHeight="1" s="104">
      <c r="BA6355" s="201" t="n">
        <v>0</v>
      </c>
    </row>
    <row r="6356" ht="15" customHeight="1" s="104">
      <c r="BA6356" s="201" t="n">
        <v>0</v>
      </c>
    </row>
    <row r="6357" ht="15" customHeight="1" s="104">
      <c r="BA6357" s="201" t="n">
        <v>0</v>
      </c>
    </row>
    <row r="6358" ht="15" customHeight="1" s="104">
      <c r="BA6358" s="201" t="n">
        <v>0</v>
      </c>
    </row>
    <row r="6359" ht="15" customHeight="1" s="104">
      <c r="BA6359" s="201" t="n">
        <v>0</v>
      </c>
    </row>
    <row r="6360" ht="15" customHeight="1" s="104">
      <c r="BA6360" s="201" t="n">
        <v>0</v>
      </c>
    </row>
    <row r="6361" ht="15" customHeight="1" s="104">
      <c r="BA6361" s="201" t="n">
        <v>0</v>
      </c>
    </row>
    <row r="6362" ht="15" customHeight="1" s="104">
      <c r="BA6362" s="201" t="n">
        <v>0</v>
      </c>
    </row>
    <row r="6363" ht="15" customHeight="1" s="104">
      <c r="BA6363" s="201" t="n">
        <v>0</v>
      </c>
    </row>
    <row r="6364" ht="15" customHeight="1" s="104">
      <c r="BA6364" s="201" t="n">
        <v>0</v>
      </c>
    </row>
    <row r="6365" ht="15" customHeight="1" s="104">
      <c r="BA6365" s="201" t="n">
        <v>0</v>
      </c>
    </row>
    <row r="6366" ht="15" customHeight="1" s="104">
      <c r="BA6366" s="201" t="n">
        <v>0</v>
      </c>
    </row>
    <row r="6367" ht="15" customHeight="1" s="104">
      <c r="BA6367" s="201" t="n">
        <v>0</v>
      </c>
    </row>
    <row r="6368" ht="15" customHeight="1" s="104">
      <c r="BA6368" s="201" t="n">
        <v>0</v>
      </c>
    </row>
    <row r="6369" ht="15" customHeight="1" s="104">
      <c r="BA6369" s="201" t="n">
        <v>0</v>
      </c>
    </row>
    <row r="6370" ht="15" customHeight="1" s="104">
      <c r="BA6370" s="201" t="n">
        <v>0</v>
      </c>
    </row>
    <row r="6371" ht="15" customHeight="1" s="104">
      <c r="BA6371" s="201" t="n">
        <v>0</v>
      </c>
    </row>
    <row r="6372" ht="15" customHeight="1" s="104">
      <c r="BA6372" s="201" t="n">
        <v>0</v>
      </c>
    </row>
    <row r="6373" ht="15" customHeight="1" s="104">
      <c r="BA6373" s="201" t="n">
        <v>0</v>
      </c>
    </row>
    <row r="6374" ht="15" customHeight="1" s="104">
      <c r="BA6374" s="201" t="n">
        <v>0</v>
      </c>
    </row>
    <row r="6375" ht="15" customHeight="1" s="104">
      <c r="BA6375" s="201" t="n">
        <v>0</v>
      </c>
    </row>
    <row r="6376" ht="15" customHeight="1" s="104">
      <c r="BA6376" s="201" t="n">
        <v>0</v>
      </c>
    </row>
    <row r="6377" ht="15" customHeight="1" s="104">
      <c r="BA6377" s="201" t="n">
        <v>0</v>
      </c>
    </row>
    <row r="6378" ht="15" customHeight="1" s="104">
      <c r="BA6378" s="201" t="n">
        <v>0</v>
      </c>
    </row>
    <row r="6379" ht="15" customHeight="1" s="104">
      <c r="BA6379" s="201" t="n">
        <v>0</v>
      </c>
    </row>
    <row r="6380" ht="15" customHeight="1" s="104">
      <c r="BA6380" s="201" t="n">
        <v>0</v>
      </c>
    </row>
    <row r="6381" ht="15" customHeight="1" s="104">
      <c r="BA6381" s="201" t="n">
        <v>0</v>
      </c>
    </row>
    <row r="6382" ht="15" customHeight="1" s="104">
      <c r="BA6382" s="201" t="n">
        <v>0</v>
      </c>
    </row>
    <row r="6383" ht="15" customHeight="1" s="104">
      <c r="BA6383" s="201" t="n">
        <v>0</v>
      </c>
    </row>
    <row r="6384" ht="15" customHeight="1" s="104">
      <c r="BA6384" s="201" t="n">
        <v>0</v>
      </c>
    </row>
    <row r="6385" ht="15" customHeight="1" s="104">
      <c r="BA6385" s="201" t="n">
        <v>0</v>
      </c>
    </row>
    <row r="6386" ht="15" customHeight="1" s="104">
      <c r="BA6386" s="201" t="n">
        <v>0</v>
      </c>
    </row>
    <row r="6387" ht="15" customHeight="1" s="104">
      <c r="BA6387" s="201" t="n">
        <v>0</v>
      </c>
    </row>
    <row r="6388" ht="15" customHeight="1" s="104">
      <c r="BA6388" s="201" t="n">
        <v>0</v>
      </c>
    </row>
    <row r="6389" ht="15" customHeight="1" s="104">
      <c r="BA6389" s="201" t="n">
        <v>0</v>
      </c>
    </row>
    <row r="6390" ht="15" customHeight="1" s="104">
      <c r="BA6390" s="201" t="n">
        <v>0</v>
      </c>
    </row>
    <row r="6391" ht="15" customHeight="1" s="104">
      <c r="BA6391" s="201" t="n">
        <v>0</v>
      </c>
    </row>
    <row r="6392" ht="15" customHeight="1" s="104">
      <c r="BA6392" s="201" t="n">
        <v>0</v>
      </c>
    </row>
    <row r="6393" ht="15" customHeight="1" s="104">
      <c r="BA6393" s="201" t="n">
        <v>0</v>
      </c>
    </row>
    <row r="6394" ht="15" customHeight="1" s="104">
      <c r="BA6394" s="201" t="n">
        <v>0</v>
      </c>
    </row>
    <row r="6395" ht="15" customHeight="1" s="104">
      <c r="BA6395" s="201" t="n">
        <v>0</v>
      </c>
    </row>
    <row r="6396" ht="15" customHeight="1" s="104">
      <c r="BA6396" s="201" t="n">
        <v>0</v>
      </c>
    </row>
    <row r="6397" ht="15" customHeight="1" s="104">
      <c r="BA6397" s="201" t="n">
        <v>0</v>
      </c>
    </row>
    <row r="6398" ht="15" customHeight="1" s="104">
      <c r="BA6398" s="201" t="n">
        <v>0</v>
      </c>
    </row>
    <row r="6399" ht="15" customHeight="1" s="104">
      <c r="BA6399" s="201" t="n">
        <v>0</v>
      </c>
    </row>
    <row r="6400" ht="15" customHeight="1" s="104">
      <c r="BA6400" s="201" t="n">
        <v>0</v>
      </c>
    </row>
    <row r="6401" ht="15" customHeight="1" s="104">
      <c r="BA6401" s="201" t="n">
        <v>0</v>
      </c>
    </row>
    <row r="6402" ht="15" customHeight="1" s="104">
      <c r="BA6402" s="201" t="n">
        <v>0</v>
      </c>
    </row>
    <row r="6403" ht="15" customHeight="1" s="104">
      <c r="BA6403" s="201" t="n">
        <v>0</v>
      </c>
    </row>
    <row r="6404" ht="15" customHeight="1" s="104">
      <c r="BA6404" s="201" t="n">
        <v>0</v>
      </c>
    </row>
    <row r="6405" ht="15" customHeight="1" s="104">
      <c r="BA6405" s="201" t="n">
        <v>0</v>
      </c>
    </row>
    <row r="6406" ht="15" customHeight="1" s="104">
      <c r="BA6406" s="201" t="n">
        <v>0</v>
      </c>
    </row>
    <row r="6407" ht="15" customHeight="1" s="104">
      <c r="BA6407" s="201" t="n">
        <v>0</v>
      </c>
    </row>
    <row r="6408" ht="15" customHeight="1" s="104">
      <c r="BA6408" s="201" t="n">
        <v>0</v>
      </c>
    </row>
    <row r="6409" ht="15" customHeight="1" s="104">
      <c r="BA6409" s="201" t="n">
        <v>0</v>
      </c>
    </row>
    <row r="6410" ht="15" customHeight="1" s="104">
      <c r="BA6410" s="201" t="n">
        <v>0</v>
      </c>
    </row>
    <row r="6411" ht="15" customHeight="1" s="104">
      <c r="BA6411" s="201" t="n">
        <v>0</v>
      </c>
    </row>
    <row r="6412" ht="15" customHeight="1" s="104">
      <c r="BA6412" s="201" t="n">
        <v>0</v>
      </c>
    </row>
    <row r="6413" ht="15" customHeight="1" s="104">
      <c r="BA6413" s="201" t="n">
        <v>0</v>
      </c>
    </row>
    <row r="6414" ht="15" customHeight="1" s="104">
      <c r="BA6414" s="201" t="n">
        <v>0</v>
      </c>
    </row>
    <row r="6415" ht="15" customHeight="1" s="104">
      <c r="BA6415" s="201" t="n">
        <v>0</v>
      </c>
    </row>
    <row r="6416" ht="15" customHeight="1" s="104">
      <c r="BA6416" s="201" t="n">
        <v>0</v>
      </c>
    </row>
    <row r="6417" ht="15" customHeight="1" s="104">
      <c r="BA6417" s="201" t="n">
        <v>0</v>
      </c>
    </row>
    <row r="6418" ht="15" customHeight="1" s="104">
      <c r="BA6418" s="201" t="n">
        <v>0</v>
      </c>
    </row>
    <row r="6419" ht="15" customHeight="1" s="104">
      <c r="BA6419" s="201" t="n">
        <v>0</v>
      </c>
    </row>
    <row r="6420" ht="15" customHeight="1" s="104">
      <c r="BA6420" s="201" t="n">
        <v>0</v>
      </c>
    </row>
    <row r="6421" ht="15" customHeight="1" s="104">
      <c r="BA6421" s="201" t="n">
        <v>0</v>
      </c>
    </row>
    <row r="6422" ht="15" customHeight="1" s="104">
      <c r="BA6422" s="201" t="n">
        <v>0</v>
      </c>
    </row>
    <row r="6423" ht="15" customHeight="1" s="104">
      <c r="BA6423" s="201" t="n">
        <v>0</v>
      </c>
    </row>
    <row r="6424" ht="15" customHeight="1" s="104">
      <c r="BA6424" s="201" t="n">
        <v>0</v>
      </c>
    </row>
    <row r="6425" ht="15" customHeight="1" s="104">
      <c r="BA6425" s="201" t="n">
        <v>0</v>
      </c>
    </row>
    <row r="6426" ht="15" customHeight="1" s="104">
      <c r="BA6426" s="201" t="n">
        <v>0</v>
      </c>
    </row>
    <row r="6427" ht="15" customHeight="1" s="104">
      <c r="BA6427" s="201" t="n">
        <v>0</v>
      </c>
    </row>
    <row r="6428" ht="15" customHeight="1" s="104">
      <c r="BA6428" s="201" t="n">
        <v>0</v>
      </c>
    </row>
    <row r="6429" ht="15" customHeight="1" s="104">
      <c r="BA6429" s="201" t="n">
        <v>0</v>
      </c>
    </row>
    <row r="6430" ht="15" customHeight="1" s="104">
      <c r="BA6430" s="201" t="n">
        <v>0</v>
      </c>
    </row>
    <row r="6431" ht="15" customHeight="1" s="104">
      <c r="BA6431" s="201" t="n">
        <v>0</v>
      </c>
    </row>
    <row r="6432" ht="15" customHeight="1" s="104">
      <c r="BA6432" s="201" t="n">
        <v>0</v>
      </c>
    </row>
    <row r="6433" ht="15" customHeight="1" s="104">
      <c r="BA6433" s="201" t="n">
        <v>0</v>
      </c>
    </row>
    <row r="6434" ht="15" customHeight="1" s="104">
      <c r="BA6434" s="201" t="n">
        <v>0</v>
      </c>
    </row>
    <row r="6435" ht="15" customHeight="1" s="104">
      <c r="BA6435" s="201" t="n">
        <v>0</v>
      </c>
    </row>
    <row r="6436" ht="15" customHeight="1" s="104">
      <c r="BA6436" s="201" t="n">
        <v>0</v>
      </c>
    </row>
    <row r="6437" ht="15" customHeight="1" s="104">
      <c r="BA6437" s="201" t="n">
        <v>0</v>
      </c>
    </row>
    <row r="6438" ht="15" customHeight="1" s="104">
      <c r="BA6438" s="201" t="n">
        <v>0</v>
      </c>
    </row>
    <row r="6439" ht="15" customHeight="1" s="104">
      <c r="BA6439" s="201" t="n">
        <v>0</v>
      </c>
    </row>
    <row r="6440" ht="15" customHeight="1" s="104">
      <c r="BA6440" s="201" t="n">
        <v>0</v>
      </c>
    </row>
    <row r="6441" ht="15" customHeight="1" s="104">
      <c r="BA6441" s="201" t="n">
        <v>0</v>
      </c>
    </row>
    <row r="6442" ht="15" customHeight="1" s="104">
      <c r="BA6442" s="201" t="n">
        <v>0</v>
      </c>
    </row>
    <row r="6443" ht="15" customHeight="1" s="104">
      <c r="BA6443" s="201" t="n">
        <v>0</v>
      </c>
    </row>
    <row r="6444" ht="15" customHeight="1" s="104">
      <c r="BA6444" s="201" t="n">
        <v>0</v>
      </c>
    </row>
    <row r="6445" ht="15" customHeight="1" s="104">
      <c r="BA6445" s="201" t="n">
        <v>0</v>
      </c>
    </row>
    <row r="6446" ht="15" customHeight="1" s="104">
      <c r="BA6446" s="201" t="n">
        <v>0</v>
      </c>
    </row>
    <row r="6447" ht="15" customHeight="1" s="104">
      <c r="BA6447" s="201" t="n">
        <v>0</v>
      </c>
    </row>
    <row r="6448" ht="15" customHeight="1" s="104">
      <c r="BA6448" s="201" t="n">
        <v>0</v>
      </c>
    </row>
    <row r="6449" ht="15" customHeight="1" s="104">
      <c r="BA6449" s="201" t="n">
        <v>0</v>
      </c>
    </row>
    <row r="6450" ht="15" customHeight="1" s="104">
      <c r="BA6450" s="201" t="n">
        <v>0</v>
      </c>
    </row>
    <row r="6451" ht="15" customHeight="1" s="104">
      <c r="BA6451" s="201" t="n">
        <v>0</v>
      </c>
    </row>
    <row r="6452" ht="15" customHeight="1" s="104">
      <c r="BA6452" s="201" t="n">
        <v>0</v>
      </c>
    </row>
    <row r="6453" ht="15" customHeight="1" s="104">
      <c r="BA6453" s="201" t="n">
        <v>0</v>
      </c>
    </row>
    <row r="6454" ht="15" customHeight="1" s="104">
      <c r="BA6454" s="201" t="n">
        <v>0</v>
      </c>
    </row>
    <row r="6455" ht="15" customHeight="1" s="104">
      <c r="BA6455" s="201" t="n">
        <v>0</v>
      </c>
    </row>
    <row r="6456" ht="15" customHeight="1" s="104">
      <c r="BA6456" s="201" t="n">
        <v>0</v>
      </c>
    </row>
    <row r="6457" ht="15" customHeight="1" s="104">
      <c r="BA6457" s="201" t="n">
        <v>0</v>
      </c>
    </row>
    <row r="6458" ht="15" customHeight="1" s="104">
      <c r="BA6458" s="201" t="n">
        <v>0</v>
      </c>
    </row>
    <row r="6459" ht="15" customHeight="1" s="104">
      <c r="BA6459" s="201" t="n">
        <v>0</v>
      </c>
    </row>
    <row r="6460" ht="15" customHeight="1" s="104">
      <c r="BA6460" s="201" t="n">
        <v>0</v>
      </c>
    </row>
    <row r="6461" ht="15" customHeight="1" s="104">
      <c r="BA6461" s="201" t="n">
        <v>0</v>
      </c>
    </row>
    <row r="6462" ht="15" customHeight="1" s="104">
      <c r="BA6462" s="201" t="n">
        <v>0</v>
      </c>
    </row>
    <row r="6463" ht="15" customHeight="1" s="104">
      <c r="BA6463" s="201" t="n">
        <v>0</v>
      </c>
    </row>
    <row r="6464" ht="15" customHeight="1" s="104">
      <c r="BA6464" s="201" t="n">
        <v>0</v>
      </c>
    </row>
    <row r="6465" ht="15" customHeight="1" s="104">
      <c r="BA6465" s="201" t="n">
        <v>0</v>
      </c>
    </row>
    <row r="6466" ht="15" customHeight="1" s="104">
      <c r="BA6466" s="201" t="n">
        <v>0</v>
      </c>
    </row>
    <row r="6467" ht="15" customHeight="1" s="104">
      <c r="BA6467" s="201" t="n">
        <v>0</v>
      </c>
    </row>
    <row r="6468" ht="15" customHeight="1" s="104">
      <c r="BA6468" s="201" t="n">
        <v>0</v>
      </c>
    </row>
    <row r="6469" ht="15" customHeight="1" s="104">
      <c r="BA6469" s="201" t="n">
        <v>0</v>
      </c>
    </row>
    <row r="6470" ht="15" customHeight="1" s="104">
      <c r="BA6470" s="201" t="n">
        <v>0</v>
      </c>
    </row>
    <row r="6471" ht="15" customHeight="1" s="104">
      <c r="BA6471" s="201" t="n">
        <v>0</v>
      </c>
    </row>
    <row r="6472" ht="15" customHeight="1" s="104">
      <c r="BA6472" s="201" t="n">
        <v>0</v>
      </c>
    </row>
    <row r="6473" ht="15" customHeight="1" s="104">
      <c r="BA6473" s="201" t="n">
        <v>0</v>
      </c>
    </row>
    <row r="6474" ht="15" customHeight="1" s="104">
      <c r="BA6474" s="201" t="n">
        <v>0</v>
      </c>
    </row>
    <row r="6475" ht="15" customHeight="1" s="104">
      <c r="BA6475" s="201" t="n">
        <v>0</v>
      </c>
    </row>
    <row r="6476" ht="15" customHeight="1" s="104">
      <c r="BA6476" s="201" t="n">
        <v>0</v>
      </c>
    </row>
    <row r="6477" ht="15" customHeight="1" s="104">
      <c r="BA6477" s="201" t="n">
        <v>0</v>
      </c>
    </row>
    <row r="6478" ht="15" customHeight="1" s="104">
      <c r="BA6478" s="201" t="n">
        <v>0</v>
      </c>
    </row>
    <row r="6479" ht="15" customHeight="1" s="104">
      <c r="BA6479" s="201" t="n">
        <v>0</v>
      </c>
    </row>
    <row r="6480" ht="15" customHeight="1" s="104">
      <c r="BA6480" s="201" t="n">
        <v>0</v>
      </c>
    </row>
    <row r="6481" ht="15" customHeight="1" s="104">
      <c r="BA6481" s="201" t="n">
        <v>0</v>
      </c>
    </row>
    <row r="6482" ht="15" customHeight="1" s="104">
      <c r="BA6482" s="201" t="n">
        <v>0</v>
      </c>
    </row>
    <row r="6483" ht="15" customHeight="1" s="104">
      <c r="BA6483" s="201" t="n">
        <v>0</v>
      </c>
    </row>
    <row r="6484" ht="15" customHeight="1" s="104">
      <c r="BA6484" s="201" t="n">
        <v>0</v>
      </c>
    </row>
    <row r="6485" ht="15" customHeight="1" s="104">
      <c r="BA6485" s="201" t="n">
        <v>0</v>
      </c>
    </row>
    <row r="6486" ht="15" customHeight="1" s="104">
      <c r="BA6486" s="201" t="n">
        <v>0</v>
      </c>
    </row>
    <row r="6487" ht="15" customHeight="1" s="104">
      <c r="BA6487" s="201" t="n">
        <v>0</v>
      </c>
    </row>
    <row r="6488" ht="15" customHeight="1" s="104">
      <c r="BA6488" s="201" t="n">
        <v>0</v>
      </c>
    </row>
    <row r="6489" ht="15" customHeight="1" s="104">
      <c r="BA6489" s="201" t="n">
        <v>0</v>
      </c>
    </row>
    <row r="6490" ht="15" customHeight="1" s="104">
      <c r="BA6490" s="201" t="n">
        <v>0</v>
      </c>
    </row>
    <row r="6491" ht="15" customHeight="1" s="104">
      <c r="BA6491" s="201" t="n">
        <v>0</v>
      </c>
    </row>
    <row r="6492" ht="15" customHeight="1" s="104">
      <c r="BA6492" s="201" t="n">
        <v>0</v>
      </c>
    </row>
    <row r="6493" ht="15" customHeight="1" s="104">
      <c r="BA6493" s="201" t="n">
        <v>0</v>
      </c>
    </row>
    <row r="6494" ht="15" customHeight="1" s="104">
      <c r="BA6494" s="201" t="n">
        <v>0</v>
      </c>
    </row>
    <row r="6495" ht="15" customHeight="1" s="104">
      <c r="BA6495" s="201" t="n">
        <v>0</v>
      </c>
    </row>
    <row r="6496" ht="15" customHeight="1" s="104">
      <c r="BA6496" s="201" t="n">
        <v>0</v>
      </c>
    </row>
    <row r="6497" ht="15" customHeight="1" s="104">
      <c r="BA6497" s="201" t="n">
        <v>0</v>
      </c>
    </row>
    <row r="6498" ht="15" customHeight="1" s="104">
      <c r="BA6498" s="201" t="n">
        <v>0</v>
      </c>
    </row>
    <row r="6499" ht="15" customHeight="1" s="104">
      <c r="BA6499" s="201" t="n">
        <v>0</v>
      </c>
    </row>
    <row r="6500" ht="15" customHeight="1" s="104">
      <c r="BA6500" s="201" t="n">
        <v>0</v>
      </c>
    </row>
    <row r="6501" ht="15" customHeight="1" s="104">
      <c r="BA6501" s="201" t="n">
        <v>0</v>
      </c>
    </row>
    <row r="6502" ht="15" customHeight="1" s="104">
      <c r="BA6502" s="201" t="n">
        <v>0</v>
      </c>
    </row>
    <row r="6503" ht="15" customHeight="1" s="104">
      <c r="BA6503" s="201" t="n">
        <v>0</v>
      </c>
    </row>
    <row r="6504" ht="15" customHeight="1" s="104">
      <c r="BA6504" s="201" t="n">
        <v>0</v>
      </c>
    </row>
    <row r="6505" ht="15" customHeight="1" s="104">
      <c r="BA6505" s="201" t="n">
        <v>0</v>
      </c>
    </row>
    <row r="6506" ht="15" customHeight="1" s="104">
      <c r="BA6506" s="201" t="n">
        <v>0</v>
      </c>
    </row>
    <row r="6507" ht="15" customHeight="1" s="104">
      <c r="BA6507" s="201" t="n">
        <v>0</v>
      </c>
    </row>
    <row r="6508" ht="15" customHeight="1" s="104">
      <c r="BA6508" s="201" t="n">
        <v>0</v>
      </c>
    </row>
    <row r="6509" ht="15" customHeight="1" s="104">
      <c r="BA6509" s="201" t="n">
        <v>0</v>
      </c>
    </row>
    <row r="6510" ht="15" customHeight="1" s="104">
      <c r="BA6510" s="201" t="n">
        <v>0</v>
      </c>
    </row>
    <row r="6511" ht="15" customHeight="1" s="104">
      <c r="BA6511" s="201" t="n">
        <v>0</v>
      </c>
    </row>
    <row r="6512" ht="15" customHeight="1" s="104">
      <c r="BA6512" s="201" t="n">
        <v>0</v>
      </c>
    </row>
    <row r="6513" ht="15" customHeight="1" s="104">
      <c r="BA6513" s="201" t="n">
        <v>0</v>
      </c>
    </row>
    <row r="6514" ht="15" customHeight="1" s="104">
      <c r="BA6514" s="201" t="n">
        <v>0</v>
      </c>
    </row>
    <row r="6515" ht="15" customHeight="1" s="104">
      <c r="BA6515" s="201" t="n">
        <v>0</v>
      </c>
    </row>
    <row r="6516" ht="15" customHeight="1" s="104">
      <c r="BA6516" s="201" t="n">
        <v>0</v>
      </c>
    </row>
    <row r="6517" ht="15" customHeight="1" s="104">
      <c r="BA6517" s="201" t="n">
        <v>0</v>
      </c>
    </row>
    <row r="6518" ht="15" customHeight="1" s="104">
      <c r="BA6518" s="201" t="n">
        <v>0</v>
      </c>
    </row>
    <row r="6519" ht="15" customHeight="1" s="104">
      <c r="BA6519" s="201" t="n">
        <v>0</v>
      </c>
    </row>
    <row r="6520" ht="15" customHeight="1" s="104">
      <c r="BA6520" s="201" t="n">
        <v>0</v>
      </c>
    </row>
    <row r="6521" ht="15" customHeight="1" s="104">
      <c r="BA6521" s="201" t="n">
        <v>0</v>
      </c>
    </row>
    <row r="6522" ht="15" customHeight="1" s="104">
      <c r="BA6522" s="201" t="n">
        <v>0</v>
      </c>
    </row>
    <row r="6523" ht="15" customHeight="1" s="104">
      <c r="BA6523" s="201" t="n">
        <v>0</v>
      </c>
    </row>
    <row r="6524" ht="15" customHeight="1" s="104">
      <c r="BA6524" s="201" t="n">
        <v>0</v>
      </c>
    </row>
    <row r="6525" ht="15" customHeight="1" s="104">
      <c r="BA6525" s="201" t="n">
        <v>0</v>
      </c>
    </row>
    <row r="6526" ht="15" customHeight="1" s="104">
      <c r="BA6526" s="201" t="n">
        <v>0</v>
      </c>
    </row>
    <row r="6527" ht="15" customHeight="1" s="104">
      <c r="BA6527" s="201" t="n">
        <v>0</v>
      </c>
    </row>
    <row r="6528" ht="15" customHeight="1" s="104">
      <c r="BA6528" s="201" t="n">
        <v>0</v>
      </c>
    </row>
    <row r="6529" ht="15" customHeight="1" s="104">
      <c r="BA6529" s="201" t="n">
        <v>0</v>
      </c>
    </row>
    <row r="6530" ht="15" customHeight="1" s="104">
      <c r="BA6530" s="201" t="n">
        <v>0</v>
      </c>
    </row>
    <row r="6531" ht="15" customHeight="1" s="104">
      <c r="BA6531" s="201" t="n">
        <v>0</v>
      </c>
    </row>
    <row r="6532" ht="15" customHeight="1" s="104">
      <c r="BA6532" s="201" t="n">
        <v>0</v>
      </c>
    </row>
    <row r="6533" ht="15" customHeight="1" s="104">
      <c r="BA6533" s="201" t="n">
        <v>0</v>
      </c>
    </row>
    <row r="6534" ht="15" customHeight="1" s="104">
      <c r="BA6534" s="201" t="n">
        <v>0</v>
      </c>
    </row>
    <row r="6535" ht="15" customHeight="1" s="104">
      <c r="BA6535" s="201" t="n">
        <v>0</v>
      </c>
    </row>
    <row r="6536" ht="15" customHeight="1" s="104">
      <c r="BA6536" s="201" t="n">
        <v>0</v>
      </c>
    </row>
    <row r="6537" ht="15" customHeight="1" s="104">
      <c r="BA6537" s="201" t="n">
        <v>0</v>
      </c>
    </row>
    <row r="6538" ht="15" customHeight="1" s="104">
      <c r="BA6538" s="201" t="n">
        <v>0</v>
      </c>
    </row>
    <row r="6539" ht="15" customHeight="1" s="104">
      <c r="BA6539" s="201" t="n">
        <v>0</v>
      </c>
    </row>
    <row r="6540" ht="15" customHeight="1" s="104">
      <c r="BA6540" s="201" t="n">
        <v>0</v>
      </c>
    </row>
    <row r="6541" ht="15" customHeight="1" s="104">
      <c r="BA6541" s="201" t="n">
        <v>0</v>
      </c>
    </row>
    <row r="6542" ht="15" customHeight="1" s="104">
      <c r="BA6542" s="201" t="n">
        <v>0</v>
      </c>
    </row>
    <row r="6543" ht="15" customHeight="1" s="104">
      <c r="BA6543" s="201" t="n">
        <v>0</v>
      </c>
    </row>
    <row r="6544" ht="15" customHeight="1" s="104">
      <c r="BA6544" s="201" t="n">
        <v>0</v>
      </c>
    </row>
    <row r="6545" ht="15" customHeight="1" s="104">
      <c r="BA6545" s="201" t="n">
        <v>0</v>
      </c>
    </row>
    <row r="6546" ht="15" customHeight="1" s="104">
      <c r="BA6546" s="201" t="n">
        <v>0</v>
      </c>
    </row>
    <row r="6547" ht="15" customHeight="1" s="104">
      <c r="BA6547" s="201" t="n">
        <v>0</v>
      </c>
    </row>
    <row r="6548" ht="15" customHeight="1" s="104">
      <c r="BA6548" s="201" t="n">
        <v>0</v>
      </c>
    </row>
    <row r="6549" ht="15" customHeight="1" s="104">
      <c r="BA6549" s="201" t="n">
        <v>0</v>
      </c>
    </row>
    <row r="6550" ht="15" customHeight="1" s="104">
      <c r="BA6550" s="201" t="n">
        <v>0</v>
      </c>
    </row>
    <row r="6551" ht="15" customHeight="1" s="104">
      <c r="BA6551" s="201" t="n">
        <v>0</v>
      </c>
    </row>
    <row r="6552" ht="15" customHeight="1" s="104">
      <c r="BA6552" s="201" t="n">
        <v>0</v>
      </c>
    </row>
    <row r="6553" ht="15" customHeight="1" s="104">
      <c r="BA6553" s="201" t="n">
        <v>0</v>
      </c>
    </row>
    <row r="6554" ht="15" customHeight="1" s="104">
      <c r="BA6554" s="201" t="n">
        <v>0</v>
      </c>
    </row>
    <row r="6555" ht="15" customHeight="1" s="104">
      <c r="BA6555" s="201" t="n">
        <v>0</v>
      </c>
    </row>
    <row r="6556" ht="15" customHeight="1" s="104">
      <c r="BA6556" s="201" t="n">
        <v>0</v>
      </c>
    </row>
    <row r="6557" ht="15" customHeight="1" s="104">
      <c r="BA6557" s="201" t="n">
        <v>0</v>
      </c>
    </row>
    <row r="6558" ht="15" customHeight="1" s="104">
      <c r="BA6558" s="201" t="n">
        <v>0</v>
      </c>
    </row>
    <row r="6559" ht="15" customHeight="1" s="104">
      <c r="BA6559" s="201" t="n">
        <v>0</v>
      </c>
    </row>
    <row r="6560" ht="15" customHeight="1" s="104">
      <c r="BA6560" s="201" t="n">
        <v>0</v>
      </c>
    </row>
    <row r="6561" ht="15" customHeight="1" s="104">
      <c r="BA6561" s="201" t="n">
        <v>0</v>
      </c>
    </row>
    <row r="6562" ht="15" customHeight="1" s="104">
      <c r="BA6562" s="201" t="n">
        <v>0</v>
      </c>
    </row>
    <row r="6563" ht="15" customHeight="1" s="104">
      <c r="BA6563" s="201" t="n">
        <v>0</v>
      </c>
    </row>
    <row r="6564" ht="15" customHeight="1" s="104">
      <c r="BA6564" s="201" t="n">
        <v>0</v>
      </c>
    </row>
    <row r="6565" ht="15" customHeight="1" s="104">
      <c r="BA6565" s="201" t="n">
        <v>0</v>
      </c>
    </row>
    <row r="6566" ht="15" customHeight="1" s="104">
      <c r="BA6566" s="201" t="n">
        <v>0</v>
      </c>
    </row>
    <row r="6567" ht="15" customHeight="1" s="104">
      <c r="BA6567" s="201" t="n">
        <v>0</v>
      </c>
    </row>
    <row r="6568" ht="15" customHeight="1" s="104">
      <c r="BA6568" s="201" t="n">
        <v>0</v>
      </c>
    </row>
    <row r="6569" ht="15" customHeight="1" s="104">
      <c r="BA6569" s="201" t="n">
        <v>0</v>
      </c>
    </row>
    <row r="6570" ht="15" customHeight="1" s="104">
      <c r="BA6570" s="201" t="n">
        <v>0</v>
      </c>
    </row>
    <row r="6571" ht="15" customHeight="1" s="104">
      <c r="BA6571" s="201" t="n">
        <v>0</v>
      </c>
    </row>
    <row r="6572" ht="15" customHeight="1" s="104">
      <c r="BA6572" s="201" t="n">
        <v>0</v>
      </c>
    </row>
    <row r="6573" ht="15" customHeight="1" s="104">
      <c r="BA6573" s="201" t="n">
        <v>0</v>
      </c>
    </row>
    <row r="6574" ht="15" customHeight="1" s="104">
      <c r="BA6574" s="201" t="n">
        <v>0</v>
      </c>
    </row>
    <row r="6575" ht="15" customHeight="1" s="104">
      <c r="BA6575" s="201" t="n">
        <v>0</v>
      </c>
    </row>
    <row r="6576" ht="15" customHeight="1" s="104">
      <c r="BA6576" s="201" t="n">
        <v>0</v>
      </c>
    </row>
    <row r="6577" ht="15" customHeight="1" s="104">
      <c r="BA6577" s="201" t="n">
        <v>0</v>
      </c>
    </row>
    <row r="6578" ht="15" customHeight="1" s="104">
      <c r="BA6578" s="201" t="n">
        <v>0</v>
      </c>
    </row>
    <row r="6579" ht="15" customHeight="1" s="104">
      <c r="BA6579" s="201" t="n">
        <v>0</v>
      </c>
    </row>
    <row r="6580" ht="15" customHeight="1" s="104">
      <c r="BA6580" s="201" t="n">
        <v>0</v>
      </c>
    </row>
    <row r="6581" ht="15" customHeight="1" s="104">
      <c r="BA6581" s="201" t="n">
        <v>0</v>
      </c>
    </row>
    <row r="6582" ht="15" customHeight="1" s="104">
      <c r="BA6582" s="201" t="n">
        <v>0</v>
      </c>
    </row>
    <row r="6583" ht="15" customHeight="1" s="104">
      <c r="BA6583" s="201" t="n">
        <v>0</v>
      </c>
    </row>
    <row r="6584" ht="15" customHeight="1" s="104">
      <c r="BA6584" s="201" t="n">
        <v>0</v>
      </c>
    </row>
    <row r="6585" ht="15" customHeight="1" s="104">
      <c r="BA6585" s="201" t="n">
        <v>0</v>
      </c>
    </row>
    <row r="6586" ht="15" customHeight="1" s="104">
      <c r="BA6586" s="201" t="n">
        <v>0</v>
      </c>
    </row>
    <row r="6587" ht="15" customHeight="1" s="104">
      <c r="BA6587" s="201" t="n">
        <v>0</v>
      </c>
    </row>
    <row r="6588" ht="15" customHeight="1" s="104">
      <c r="BA6588" s="201" t="n">
        <v>0</v>
      </c>
    </row>
    <row r="6589" ht="15" customHeight="1" s="104">
      <c r="BA6589" s="201" t="n">
        <v>0</v>
      </c>
    </row>
    <row r="6590" ht="15" customHeight="1" s="104">
      <c r="BA6590" s="201" t="n">
        <v>0</v>
      </c>
    </row>
    <row r="6591" ht="15" customHeight="1" s="104">
      <c r="BA6591" s="201" t="n">
        <v>0</v>
      </c>
    </row>
    <row r="6592" ht="15" customHeight="1" s="104">
      <c r="BA6592" s="201" t="n">
        <v>0</v>
      </c>
    </row>
    <row r="6593" ht="15" customHeight="1" s="104">
      <c r="BA6593" s="201" t="n">
        <v>0</v>
      </c>
    </row>
    <row r="6594" ht="15" customHeight="1" s="104">
      <c r="BA6594" s="201" t="n">
        <v>0</v>
      </c>
    </row>
    <row r="6595" ht="15" customHeight="1" s="104">
      <c r="BA6595" s="201" t="n">
        <v>0</v>
      </c>
    </row>
    <row r="6596" ht="15" customHeight="1" s="104">
      <c r="BA6596" s="201" t="n">
        <v>0</v>
      </c>
    </row>
    <row r="6597" ht="15" customHeight="1" s="104">
      <c r="BA6597" s="201" t="n">
        <v>0</v>
      </c>
    </row>
    <row r="6598" ht="15" customHeight="1" s="104">
      <c r="BA6598" s="201" t="n">
        <v>0</v>
      </c>
    </row>
    <row r="6599" ht="15" customHeight="1" s="104">
      <c r="BA6599" s="201" t="n">
        <v>0</v>
      </c>
    </row>
    <row r="6600" ht="15" customHeight="1" s="104">
      <c r="BA6600" s="201" t="n">
        <v>0</v>
      </c>
    </row>
    <row r="6601" ht="15" customHeight="1" s="104">
      <c r="BA6601" s="201" t="n">
        <v>0</v>
      </c>
    </row>
    <row r="6602" ht="15" customHeight="1" s="104">
      <c r="BA6602" s="201" t="n">
        <v>0</v>
      </c>
    </row>
    <row r="6603" ht="15" customHeight="1" s="104">
      <c r="BA6603" s="201" t="n">
        <v>0</v>
      </c>
    </row>
    <row r="6604" ht="15" customHeight="1" s="104">
      <c r="BA6604" s="201" t="n">
        <v>0</v>
      </c>
    </row>
    <row r="6605" ht="15" customHeight="1" s="104">
      <c r="BA6605" s="201" t="n">
        <v>0</v>
      </c>
    </row>
    <row r="6606" ht="15" customHeight="1" s="104">
      <c r="BA6606" s="201" t="n">
        <v>0</v>
      </c>
    </row>
    <row r="6607" ht="15" customHeight="1" s="104">
      <c r="BA6607" s="201" t="n">
        <v>0</v>
      </c>
    </row>
    <row r="6608" ht="15" customHeight="1" s="104">
      <c r="BA6608" s="201" t="n">
        <v>0</v>
      </c>
    </row>
    <row r="6609" ht="15" customHeight="1" s="104">
      <c r="BA6609" s="201" t="n">
        <v>0</v>
      </c>
    </row>
    <row r="6610" ht="15" customHeight="1" s="104">
      <c r="BA6610" s="201" t="n">
        <v>0</v>
      </c>
    </row>
    <row r="6611" ht="15" customHeight="1" s="104">
      <c r="BA6611" s="201" t="n">
        <v>0</v>
      </c>
    </row>
    <row r="6612" ht="15" customHeight="1" s="104">
      <c r="BA6612" s="201" t="n">
        <v>0</v>
      </c>
    </row>
    <row r="6613" ht="15" customHeight="1" s="104">
      <c r="BA6613" s="201" t="n">
        <v>0</v>
      </c>
    </row>
    <row r="6614" ht="15" customHeight="1" s="104">
      <c r="BA6614" s="201" t="n">
        <v>0</v>
      </c>
    </row>
    <row r="6615" ht="15" customHeight="1" s="104">
      <c r="BA6615" s="201" t="n">
        <v>0</v>
      </c>
    </row>
    <row r="6616" ht="15" customHeight="1" s="104">
      <c r="BA6616" s="201" t="n">
        <v>0</v>
      </c>
    </row>
    <row r="6617" ht="15" customHeight="1" s="104">
      <c r="BA6617" s="201" t="n">
        <v>0</v>
      </c>
    </row>
    <row r="6618" ht="15" customHeight="1" s="104">
      <c r="BA6618" s="201" t="n">
        <v>0</v>
      </c>
    </row>
    <row r="6619" ht="15" customHeight="1" s="104">
      <c r="BA6619" s="201" t="n">
        <v>0</v>
      </c>
    </row>
    <row r="6620" ht="15" customHeight="1" s="104">
      <c r="BA6620" s="201" t="n">
        <v>0</v>
      </c>
    </row>
    <row r="6621" ht="15" customHeight="1" s="104">
      <c r="BA6621" s="201" t="n">
        <v>0</v>
      </c>
    </row>
    <row r="6622" ht="15" customHeight="1" s="104">
      <c r="BA6622" s="201" t="n">
        <v>0</v>
      </c>
    </row>
    <row r="6623" ht="15" customHeight="1" s="104">
      <c r="BA6623" s="201" t="n">
        <v>0</v>
      </c>
    </row>
    <row r="6624" ht="15" customHeight="1" s="104">
      <c r="BA6624" s="201" t="n">
        <v>0</v>
      </c>
    </row>
    <row r="6625" ht="15" customHeight="1" s="104">
      <c r="BA6625" s="201" t="n">
        <v>0</v>
      </c>
    </row>
    <row r="6626" ht="15" customHeight="1" s="104">
      <c r="BA6626" s="201" t="n">
        <v>0</v>
      </c>
    </row>
    <row r="6627" ht="15" customHeight="1" s="104">
      <c r="BA6627" s="201" t="n">
        <v>0</v>
      </c>
    </row>
    <row r="6628" ht="15" customHeight="1" s="104">
      <c r="BA6628" s="201" t="n">
        <v>0</v>
      </c>
    </row>
    <row r="6629" ht="15" customHeight="1" s="104">
      <c r="BA6629" s="201" t="n">
        <v>0</v>
      </c>
    </row>
    <row r="6630" ht="15" customHeight="1" s="104">
      <c r="BA6630" s="201" t="n">
        <v>0</v>
      </c>
    </row>
    <row r="6631" ht="15" customHeight="1" s="104">
      <c r="BA6631" s="201" t="n">
        <v>0</v>
      </c>
    </row>
    <row r="6632" ht="15" customHeight="1" s="104">
      <c r="BA6632" s="201" t="n">
        <v>0</v>
      </c>
    </row>
    <row r="6633" ht="15" customHeight="1" s="104">
      <c r="BA6633" s="201" t="n">
        <v>0</v>
      </c>
    </row>
    <row r="6634" ht="15" customHeight="1" s="104">
      <c r="BA6634" s="201" t="n">
        <v>0</v>
      </c>
    </row>
    <row r="6635" ht="15" customHeight="1" s="104">
      <c r="BA6635" s="201" t="n">
        <v>0</v>
      </c>
    </row>
    <row r="6636" ht="15" customHeight="1" s="104">
      <c r="BA6636" s="201" t="n">
        <v>0</v>
      </c>
    </row>
    <row r="6637" ht="15" customHeight="1" s="104">
      <c r="BA6637" s="201" t="n">
        <v>0</v>
      </c>
    </row>
    <row r="6638" ht="15" customHeight="1" s="104">
      <c r="BA6638" s="201" t="n">
        <v>0</v>
      </c>
    </row>
    <row r="6639" ht="15" customHeight="1" s="104">
      <c r="BA6639" s="201" t="n">
        <v>0</v>
      </c>
    </row>
    <row r="6640" ht="15" customHeight="1" s="104">
      <c r="BA6640" s="201" t="n">
        <v>0</v>
      </c>
    </row>
    <row r="6641" ht="15" customHeight="1" s="104">
      <c r="BA6641" s="201" t="n">
        <v>0</v>
      </c>
    </row>
    <row r="6642" ht="15" customHeight="1" s="104">
      <c r="BA6642" s="201" t="n">
        <v>0</v>
      </c>
    </row>
    <row r="6643" ht="15" customHeight="1" s="104">
      <c r="BA6643" s="201" t="n">
        <v>0</v>
      </c>
    </row>
    <row r="6644" ht="15" customHeight="1" s="104">
      <c r="BA6644" s="201" t="n">
        <v>0</v>
      </c>
    </row>
    <row r="6645" ht="15" customHeight="1" s="104">
      <c r="BA6645" s="201" t="n">
        <v>0</v>
      </c>
    </row>
    <row r="6646" ht="15" customHeight="1" s="104">
      <c r="BA6646" s="201" t="n">
        <v>0</v>
      </c>
    </row>
    <row r="6647" ht="15" customHeight="1" s="104">
      <c r="BA6647" s="201" t="n">
        <v>0</v>
      </c>
    </row>
    <row r="6648" ht="15" customHeight="1" s="104">
      <c r="BA6648" s="201" t="n">
        <v>0</v>
      </c>
    </row>
    <row r="6649" ht="15" customHeight="1" s="104">
      <c r="BA6649" s="201" t="n">
        <v>0</v>
      </c>
    </row>
    <row r="6650" ht="15" customHeight="1" s="104">
      <c r="BA6650" s="201" t="n">
        <v>0</v>
      </c>
    </row>
    <row r="6651" ht="15" customHeight="1" s="104">
      <c r="BA6651" s="201" t="n">
        <v>0</v>
      </c>
    </row>
    <row r="6652" ht="15" customHeight="1" s="104">
      <c r="BA6652" s="201" t="n">
        <v>0</v>
      </c>
    </row>
    <row r="6653" ht="15" customHeight="1" s="104">
      <c r="BA6653" s="201" t="n">
        <v>0</v>
      </c>
    </row>
    <row r="6654" ht="15" customHeight="1" s="104">
      <c r="BA6654" s="201" t="n">
        <v>0</v>
      </c>
    </row>
    <row r="6655" ht="15" customHeight="1" s="104">
      <c r="BA6655" s="201" t="n">
        <v>0</v>
      </c>
    </row>
    <row r="6656" ht="15" customHeight="1" s="104">
      <c r="BA6656" s="201" t="n">
        <v>0</v>
      </c>
    </row>
    <row r="6657" ht="15" customHeight="1" s="104">
      <c r="BA6657" s="201" t="n">
        <v>0</v>
      </c>
    </row>
    <row r="6658" ht="15" customHeight="1" s="104">
      <c r="BA6658" s="201" t="n">
        <v>0</v>
      </c>
    </row>
    <row r="6659" ht="15" customHeight="1" s="104">
      <c r="BA6659" s="201" t="n">
        <v>0</v>
      </c>
    </row>
    <row r="6660" ht="15" customHeight="1" s="104">
      <c r="BA6660" s="201" t="n">
        <v>0</v>
      </c>
    </row>
    <row r="6661" ht="15" customHeight="1" s="104">
      <c r="BA6661" s="201" t="n">
        <v>0</v>
      </c>
    </row>
    <row r="6662" ht="15" customHeight="1" s="104">
      <c r="BA6662" s="201" t="n">
        <v>0</v>
      </c>
    </row>
    <row r="6663" ht="15" customHeight="1" s="104">
      <c r="BA6663" s="201" t="n">
        <v>0</v>
      </c>
    </row>
    <row r="6664" ht="15" customHeight="1" s="104">
      <c r="BA6664" s="201" t="n">
        <v>0</v>
      </c>
    </row>
    <row r="6665" ht="15" customHeight="1" s="104">
      <c r="BA6665" s="201" t="n">
        <v>0</v>
      </c>
    </row>
    <row r="6666" ht="15" customHeight="1" s="104">
      <c r="BA6666" s="201" t="n">
        <v>0</v>
      </c>
    </row>
    <row r="6667" ht="15" customHeight="1" s="104">
      <c r="BA6667" s="201" t="n">
        <v>0</v>
      </c>
    </row>
    <row r="6668" ht="15" customHeight="1" s="104">
      <c r="BA6668" s="201" t="n">
        <v>0</v>
      </c>
    </row>
    <row r="6669" ht="15" customHeight="1" s="104">
      <c r="BA6669" s="201" t="n">
        <v>0</v>
      </c>
    </row>
    <row r="6670" ht="15" customHeight="1" s="104">
      <c r="BA6670" s="201" t="n">
        <v>0</v>
      </c>
    </row>
    <row r="6671" ht="15" customHeight="1" s="104">
      <c r="BA6671" s="201" t="n">
        <v>0</v>
      </c>
    </row>
    <row r="6672" ht="15" customHeight="1" s="104">
      <c r="BA6672" s="201" t="n">
        <v>0</v>
      </c>
    </row>
    <row r="6673" ht="15" customHeight="1" s="104">
      <c r="BA6673" s="201" t="n">
        <v>0</v>
      </c>
    </row>
    <row r="6674" ht="15" customHeight="1" s="104">
      <c r="BA6674" s="201" t="n">
        <v>0</v>
      </c>
    </row>
    <row r="6675" ht="15" customHeight="1" s="104">
      <c r="BA6675" s="201" t="n">
        <v>0</v>
      </c>
    </row>
    <row r="6676" ht="15" customHeight="1" s="104">
      <c r="BA6676" s="201" t="n">
        <v>0</v>
      </c>
    </row>
    <row r="6677" ht="15" customHeight="1" s="104">
      <c r="BA6677" s="201" t="n">
        <v>0</v>
      </c>
    </row>
    <row r="6678" ht="15" customHeight="1" s="104">
      <c r="BA6678" s="201" t="n">
        <v>0</v>
      </c>
    </row>
    <row r="6679" ht="15" customHeight="1" s="104">
      <c r="BA6679" s="201" t="n">
        <v>0</v>
      </c>
    </row>
    <row r="6680" ht="15" customHeight="1" s="104">
      <c r="BA6680" s="201" t="n">
        <v>0</v>
      </c>
    </row>
    <row r="6681" ht="15" customHeight="1" s="104">
      <c r="BA6681" s="201" t="n">
        <v>0</v>
      </c>
    </row>
    <row r="6682" ht="15" customHeight="1" s="104">
      <c r="BA6682" s="201" t="n">
        <v>0</v>
      </c>
    </row>
    <row r="6683" ht="15" customHeight="1" s="104">
      <c r="BA6683" s="201" t="n">
        <v>0</v>
      </c>
    </row>
    <row r="6684" ht="15" customHeight="1" s="104">
      <c r="BA6684" s="201" t="n">
        <v>0</v>
      </c>
    </row>
    <row r="6685" ht="15" customHeight="1" s="104">
      <c r="BA6685" s="201" t="n">
        <v>0</v>
      </c>
    </row>
    <row r="6686" ht="15" customHeight="1" s="104">
      <c r="BA6686" s="201" t="n">
        <v>0</v>
      </c>
    </row>
    <row r="6687" ht="15" customHeight="1" s="104">
      <c r="BA6687" s="201" t="n">
        <v>0</v>
      </c>
    </row>
    <row r="6688" ht="15" customHeight="1" s="104">
      <c r="BA6688" s="201" t="n">
        <v>0</v>
      </c>
    </row>
    <row r="6689" ht="15" customHeight="1" s="104">
      <c r="BA6689" s="201" t="n">
        <v>0</v>
      </c>
    </row>
    <row r="6690" ht="15" customHeight="1" s="104">
      <c r="BA6690" s="201" t="n">
        <v>0</v>
      </c>
    </row>
    <row r="6691" ht="15" customHeight="1" s="104">
      <c r="BA6691" s="201" t="n">
        <v>0</v>
      </c>
    </row>
    <row r="6692" ht="15" customHeight="1" s="104">
      <c r="BA6692" s="201" t="n">
        <v>0</v>
      </c>
    </row>
    <row r="6693" ht="15" customHeight="1" s="104">
      <c r="BA6693" s="201" t="n">
        <v>0</v>
      </c>
    </row>
    <row r="6694" ht="15" customHeight="1" s="104">
      <c r="BA6694" s="201" t="n">
        <v>0</v>
      </c>
    </row>
    <row r="6695" ht="15" customHeight="1" s="104">
      <c r="BA6695" s="201" t="n">
        <v>0</v>
      </c>
    </row>
    <row r="6696" ht="15" customHeight="1" s="104">
      <c r="BA6696" s="201" t="n">
        <v>0</v>
      </c>
    </row>
    <row r="6697" ht="15" customHeight="1" s="104">
      <c r="BA6697" s="201" t="n">
        <v>0</v>
      </c>
    </row>
    <row r="6698" ht="15" customHeight="1" s="104">
      <c r="BA6698" s="201" t="n">
        <v>0</v>
      </c>
    </row>
    <row r="6699" ht="15" customHeight="1" s="104">
      <c r="BA6699" s="201" t="n">
        <v>0</v>
      </c>
    </row>
    <row r="6700" ht="15" customHeight="1" s="104">
      <c r="BA6700" s="201" t="n">
        <v>0</v>
      </c>
    </row>
    <row r="6701" ht="15" customHeight="1" s="104">
      <c r="BA6701" s="201" t="n">
        <v>0</v>
      </c>
    </row>
    <row r="6702" ht="15" customHeight="1" s="104">
      <c r="BA6702" s="201" t="n">
        <v>0</v>
      </c>
    </row>
    <row r="6703" ht="15" customHeight="1" s="104">
      <c r="BA6703" s="201" t="n">
        <v>0</v>
      </c>
    </row>
    <row r="6704" ht="15" customHeight="1" s="104">
      <c r="BA6704" s="201" t="n">
        <v>0</v>
      </c>
    </row>
    <row r="6705" ht="15" customHeight="1" s="104">
      <c r="BA6705" s="201" t="n">
        <v>0</v>
      </c>
    </row>
    <row r="6706" ht="15" customHeight="1" s="104">
      <c r="BA6706" s="201" t="n">
        <v>0</v>
      </c>
    </row>
    <row r="6707" ht="15" customHeight="1" s="104">
      <c r="BA6707" s="201" t="n">
        <v>0</v>
      </c>
    </row>
    <row r="6708" ht="15" customHeight="1" s="104">
      <c r="BA6708" s="201" t="n">
        <v>0</v>
      </c>
    </row>
    <row r="6709" ht="15" customHeight="1" s="104">
      <c r="BA6709" s="201" t="n">
        <v>0</v>
      </c>
    </row>
    <row r="6710" ht="15" customHeight="1" s="104">
      <c r="BA6710" s="201" t="n">
        <v>0</v>
      </c>
    </row>
    <row r="6711" ht="15" customHeight="1" s="104">
      <c r="BA6711" s="201" t="n">
        <v>0</v>
      </c>
    </row>
    <row r="6712" ht="15" customHeight="1" s="104">
      <c r="BA6712" s="201" t="n">
        <v>0</v>
      </c>
    </row>
    <row r="6713" ht="15" customHeight="1" s="104">
      <c r="BA6713" s="201" t="n">
        <v>0</v>
      </c>
    </row>
    <row r="6714" ht="15" customHeight="1" s="104">
      <c r="BA6714" s="201" t="n">
        <v>0</v>
      </c>
    </row>
    <row r="6715" ht="15" customHeight="1" s="104">
      <c r="BA6715" s="201" t="n">
        <v>0</v>
      </c>
    </row>
    <row r="6716" ht="15" customHeight="1" s="104">
      <c r="BA6716" s="201" t="n">
        <v>0</v>
      </c>
    </row>
    <row r="6717" ht="15" customHeight="1" s="104">
      <c r="BA6717" s="201" t="n">
        <v>0</v>
      </c>
    </row>
    <row r="6718" ht="15" customHeight="1" s="104">
      <c r="BA6718" s="201" t="n">
        <v>0</v>
      </c>
    </row>
    <row r="6719" ht="15" customHeight="1" s="104">
      <c r="BA6719" s="201" t="n">
        <v>0</v>
      </c>
    </row>
    <row r="6720" ht="15" customHeight="1" s="104">
      <c r="BA6720" s="201" t="n">
        <v>0</v>
      </c>
    </row>
    <row r="6721" ht="15" customHeight="1" s="104">
      <c r="BA6721" s="201" t="n">
        <v>0</v>
      </c>
    </row>
    <row r="6722" ht="15" customHeight="1" s="104">
      <c r="BA6722" s="201" t="n">
        <v>0</v>
      </c>
    </row>
    <row r="6723" ht="15" customHeight="1" s="104">
      <c r="BA6723" s="201" t="n">
        <v>0</v>
      </c>
    </row>
    <row r="6724" ht="15" customHeight="1" s="104">
      <c r="BA6724" s="201" t="n">
        <v>0</v>
      </c>
    </row>
    <row r="6725" ht="15" customHeight="1" s="104">
      <c r="BA6725" s="201" t="n">
        <v>0</v>
      </c>
    </row>
    <row r="6726" ht="15" customHeight="1" s="104">
      <c r="BA6726" s="201" t="n">
        <v>0</v>
      </c>
    </row>
    <row r="6727" ht="15" customHeight="1" s="104">
      <c r="BA6727" s="201" t="n">
        <v>0</v>
      </c>
    </row>
    <row r="6728" ht="15" customHeight="1" s="104">
      <c r="BA6728" s="201" t="n">
        <v>0</v>
      </c>
    </row>
    <row r="6729" ht="15" customHeight="1" s="104">
      <c r="BA6729" s="201" t="n">
        <v>0</v>
      </c>
    </row>
    <row r="6730" ht="15" customHeight="1" s="104">
      <c r="BA6730" s="201" t="n">
        <v>0</v>
      </c>
    </row>
    <row r="6731" ht="15" customHeight="1" s="104">
      <c r="BA6731" s="201" t="n">
        <v>0</v>
      </c>
    </row>
    <row r="6732" ht="15" customHeight="1" s="104">
      <c r="BA6732" s="201" t="n">
        <v>0</v>
      </c>
    </row>
    <row r="6733" ht="15" customHeight="1" s="104">
      <c r="BA6733" s="201" t="n">
        <v>0</v>
      </c>
    </row>
    <row r="6734" ht="15" customHeight="1" s="104">
      <c r="BA6734" s="201" t="n">
        <v>0</v>
      </c>
    </row>
    <row r="6735" ht="15" customHeight="1" s="104">
      <c r="BA6735" s="201" t="n">
        <v>0</v>
      </c>
    </row>
    <row r="6736" ht="15" customHeight="1" s="104">
      <c r="BA6736" s="201" t="n">
        <v>0</v>
      </c>
    </row>
    <row r="6737" ht="15" customHeight="1" s="104">
      <c r="BA6737" s="201" t="n">
        <v>0</v>
      </c>
    </row>
    <row r="6738" ht="15" customHeight="1" s="104">
      <c r="BA6738" s="201" t="n">
        <v>0</v>
      </c>
    </row>
    <row r="6739" ht="15" customHeight="1" s="104">
      <c r="BA6739" s="201" t="n">
        <v>0</v>
      </c>
    </row>
    <row r="6740" ht="15" customHeight="1" s="104">
      <c r="BA6740" s="201" t="n">
        <v>0</v>
      </c>
    </row>
    <row r="6741" ht="15" customHeight="1" s="104">
      <c r="BA6741" s="201" t="n">
        <v>0</v>
      </c>
    </row>
    <row r="6742" ht="15" customHeight="1" s="104">
      <c r="BA6742" s="201" t="n">
        <v>0</v>
      </c>
    </row>
    <row r="6743" ht="15" customHeight="1" s="104">
      <c r="BA6743" s="201" t="n">
        <v>0</v>
      </c>
    </row>
    <row r="6744" ht="15" customHeight="1" s="104">
      <c r="BA6744" s="201" t="n">
        <v>0</v>
      </c>
    </row>
    <row r="6745" ht="15" customHeight="1" s="104">
      <c r="BA6745" s="201" t="n">
        <v>0</v>
      </c>
    </row>
    <row r="6746" ht="15" customHeight="1" s="104">
      <c r="BA6746" s="201" t="n">
        <v>0</v>
      </c>
    </row>
    <row r="6747" ht="15" customHeight="1" s="104">
      <c r="BA6747" s="201" t="n">
        <v>0</v>
      </c>
    </row>
    <row r="6748" ht="15" customHeight="1" s="104">
      <c r="BA6748" s="201" t="n">
        <v>0</v>
      </c>
    </row>
    <row r="6749" ht="15" customHeight="1" s="104">
      <c r="BA6749" s="201" t="n">
        <v>0</v>
      </c>
    </row>
    <row r="6750" ht="15" customHeight="1" s="104">
      <c r="BA6750" s="201" t="n">
        <v>0</v>
      </c>
    </row>
    <row r="6751" ht="15" customHeight="1" s="104">
      <c r="BA6751" s="201" t="n">
        <v>0</v>
      </c>
    </row>
    <row r="6752" ht="15" customHeight="1" s="104">
      <c r="BA6752" s="201" t="n">
        <v>0</v>
      </c>
    </row>
    <row r="6753" ht="15" customHeight="1" s="104">
      <c r="BA6753" s="201" t="n">
        <v>0</v>
      </c>
    </row>
    <row r="6754" ht="15" customHeight="1" s="104">
      <c r="BA6754" s="201" t="n">
        <v>0</v>
      </c>
    </row>
    <row r="6755" ht="15" customHeight="1" s="104">
      <c r="BA6755" s="201" t="n">
        <v>0</v>
      </c>
    </row>
    <row r="6756" ht="15" customHeight="1" s="104">
      <c r="BA6756" s="201" t="n">
        <v>0</v>
      </c>
    </row>
    <row r="6757" ht="15" customHeight="1" s="104">
      <c r="BA6757" s="201" t="n">
        <v>0</v>
      </c>
    </row>
    <row r="6758" ht="15" customHeight="1" s="104">
      <c r="BA6758" s="201" t="n">
        <v>0</v>
      </c>
    </row>
    <row r="6759" ht="15" customHeight="1" s="104">
      <c r="BA6759" s="201" t="n">
        <v>0</v>
      </c>
    </row>
    <row r="6760" ht="15" customHeight="1" s="104">
      <c r="BA6760" s="201" t="n">
        <v>0</v>
      </c>
    </row>
    <row r="6761" ht="15" customHeight="1" s="104">
      <c r="BA6761" s="201" t="n">
        <v>0</v>
      </c>
    </row>
    <row r="6762" ht="15" customHeight="1" s="104">
      <c r="BA6762" s="201" t="n">
        <v>0</v>
      </c>
    </row>
    <row r="6763" ht="15" customHeight="1" s="104">
      <c r="BA6763" s="201" t="n">
        <v>0</v>
      </c>
    </row>
    <row r="6764" ht="15" customHeight="1" s="104">
      <c r="BA6764" s="201" t="n">
        <v>0</v>
      </c>
    </row>
    <row r="6765" ht="15" customHeight="1" s="104">
      <c r="BA6765" s="201" t="n">
        <v>0</v>
      </c>
    </row>
    <row r="6766" ht="15" customHeight="1" s="104">
      <c r="BA6766" s="201" t="n">
        <v>0</v>
      </c>
    </row>
    <row r="6767" ht="15" customHeight="1" s="104">
      <c r="BA6767" s="201" t="n">
        <v>0</v>
      </c>
    </row>
    <row r="6768" ht="15" customHeight="1" s="104">
      <c r="BA6768" s="201" t="n">
        <v>0</v>
      </c>
    </row>
    <row r="6769" ht="15" customHeight="1" s="104">
      <c r="BA6769" s="201" t="n">
        <v>0</v>
      </c>
    </row>
    <row r="6770" ht="15" customHeight="1" s="104">
      <c r="BA6770" s="201" t="n">
        <v>0</v>
      </c>
    </row>
    <row r="6771" ht="15" customHeight="1" s="104">
      <c r="BA6771" s="201" t="n">
        <v>0</v>
      </c>
    </row>
    <row r="6772" ht="15" customHeight="1" s="104">
      <c r="BA6772" s="201" t="n">
        <v>0</v>
      </c>
    </row>
    <row r="6773" ht="15" customHeight="1" s="104">
      <c r="BA6773" s="201" t="n">
        <v>0</v>
      </c>
    </row>
    <row r="6774" ht="15" customHeight="1" s="104">
      <c r="BA6774" s="201" t="n">
        <v>0</v>
      </c>
    </row>
    <row r="6775" ht="15" customHeight="1" s="104">
      <c r="BA6775" s="201" t="n">
        <v>0</v>
      </c>
    </row>
    <row r="6776" ht="15" customHeight="1" s="104">
      <c r="BA6776" s="201" t="n">
        <v>0</v>
      </c>
    </row>
    <row r="6777" ht="15" customHeight="1" s="104">
      <c r="BA6777" s="201" t="n">
        <v>0</v>
      </c>
    </row>
    <row r="6778" ht="15" customHeight="1" s="104">
      <c r="BA6778" s="201" t="n">
        <v>0</v>
      </c>
    </row>
    <row r="6779" ht="15" customHeight="1" s="104">
      <c r="BA6779" s="201" t="n">
        <v>0</v>
      </c>
    </row>
    <row r="6780" ht="15" customHeight="1" s="104">
      <c r="BA6780" s="201" t="n">
        <v>0</v>
      </c>
    </row>
    <row r="6781" ht="15" customHeight="1" s="104">
      <c r="BA6781" s="201" t="n">
        <v>0</v>
      </c>
    </row>
    <row r="6782" ht="15" customHeight="1" s="104">
      <c r="BA6782" s="201" t="n">
        <v>0</v>
      </c>
    </row>
    <row r="6783" ht="15" customHeight="1" s="104">
      <c r="BA6783" s="201" t="n">
        <v>0</v>
      </c>
    </row>
    <row r="6784" ht="15" customHeight="1" s="104">
      <c r="BA6784" s="201" t="n">
        <v>0</v>
      </c>
    </row>
    <row r="6785" ht="15" customHeight="1" s="104">
      <c r="BA6785" s="201" t="n">
        <v>0</v>
      </c>
    </row>
    <row r="6786" ht="15" customHeight="1" s="104">
      <c r="BA6786" s="201" t="n">
        <v>0</v>
      </c>
    </row>
    <row r="6787" ht="15" customHeight="1" s="104">
      <c r="BA6787" s="201" t="n">
        <v>0</v>
      </c>
    </row>
    <row r="6788" ht="15" customHeight="1" s="104">
      <c r="BA6788" s="201" t="n">
        <v>0</v>
      </c>
    </row>
    <row r="6789" ht="15" customHeight="1" s="104">
      <c r="BA6789" s="201" t="n">
        <v>0</v>
      </c>
    </row>
    <row r="6790" ht="15" customHeight="1" s="104">
      <c r="BA6790" s="201" t="n">
        <v>0</v>
      </c>
    </row>
    <row r="6791" ht="15" customHeight="1" s="104">
      <c r="BA6791" s="201" t="n">
        <v>0</v>
      </c>
    </row>
    <row r="6792" ht="15" customHeight="1" s="104">
      <c r="BA6792" s="201" t="n">
        <v>0</v>
      </c>
    </row>
    <row r="6793" ht="15" customHeight="1" s="104">
      <c r="BA6793" s="201" t="n">
        <v>0</v>
      </c>
    </row>
    <row r="6794" ht="15" customHeight="1" s="104">
      <c r="BA6794" s="201" t="n">
        <v>0</v>
      </c>
    </row>
    <row r="6795" ht="15" customHeight="1" s="104">
      <c r="BA6795" s="201" t="n">
        <v>0</v>
      </c>
    </row>
    <row r="6796" ht="15" customHeight="1" s="104">
      <c r="BA6796" s="201" t="n">
        <v>0</v>
      </c>
    </row>
    <row r="6797" ht="15" customHeight="1" s="104">
      <c r="BA6797" s="201" t="n">
        <v>0</v>
      </c>
    </row>
    <row r="6798" ht="15" customHeight="1" s="104">
      <c r="BA6798" s="201" t="n">
        <v>0</v>
      </c>
    </row>
    <row r="6799" ht="15" customHeight="1" s="104">
      <c r="BA6799" s="201" t="n">
        <v>0</v>
      </c>
    </row>
    <row r="6800" ht="15" customHeight="1" s="104">
      <c r="BA6800" s="201" t="n">
        <v>0</v>
      </c>
    </row>
    <row r="6801" ht="15" customHeight="1" s="104">
      <c r="BA6801" s="201" t="n">
        <v>0</v>
      </c>
    </row>
    <row r="6802" ht="15" customHeight="1" s="104">
      <c r="BA6802" s="201" t="n">
        <v>0</v>
      </c>
    </row>
    <row r="6803" ht="15" customHeight="1" s="104">
      <c r="BA6803" s="201" t="n">
        <v>0</v>
      </c>
    </row>
    <row r="6804" ht="15" customHeight="1" s="104">
      <c r="BA6804" s="201" t="n">
        <v>0</v>
      </c>
    </row>
    <row r="6805" ht="15" customHeight="1" s="104">
      <c r="BA6805" s="201" t="n">
        <v>0</v>
      </c>
    </row>
    <row r="6806" ht="15" customHeight="1" s="104">
      <c r="BA6806" s="201" t="n">
        <v>0</v>
      </c>
    </row>
    <row r="6807" ht="15" customHeight="1" s="104">
      <c r="BA6807" s="201" t="n">
        <v>0</v>
      </c>
    </row>
    <row r="6808" ht="15" customHeight="1" s="104">
      <c r="BA6808" s="201" t="n">
        <v>0</v>
      </c>
    </row>
    <row r="6809" ht="15" customHeight="1" s="104">
      <c r="BA6809" s="201" t="n">
        <v>0</v>
      </c>
    </row>
    <row r="6810" ht="15" customHeight="1" s="104">
      <c r="BA6810" s="201" t="n">
        <v>0</v>
      </c>
    </row>
    <row r="6811" ht="15" customHeight="1" s="104">
      <c r="BA6811" s="201" t="n">
        <v>0</v>
      </c>
    </row>
    <row r="6812" ht="15" customHeight="1" s="104">
      <c r="BA6812" s="201" t="n">
        <v>0</v>
      </c>
    </row>
    <row r="6813" ht="15" customHeight="1" s="104">
      <c r="BA6813" s="201" t="n">
        <v>0</v>
      </c>
    </row>
    <row r="6814" ht="15" customHeight="1" s="104">
      <c r="BA6814" s="201" t="n">
        <v>0</v>
      </c>
    </row>
    <row r="6815" ht="15" customHeight="1" s="104">
      <c r="BA6815" s="201" t="n">
        <v>0</v>
      </c>
    </row>
    <row r="6816" ht="15" customHeight="1" s="104">
      <c r="BA6816" s="201" t="n">
        <v>0</v>
      </c>
    </row>
    <row r="6817" ht="15" customHeight="1" s="104">
      <c r="BA6817" s="201" t="n">
        <v>0</v>
      </c>
    </row>
    <row r="6818" ht="15" customHeight="1" s="104">
      <c r="BA6818" s="201" t="n">
        <v>0</v>
      </c>
    </row>
    <row r="6819" ht="15" customHeight="1" s="104">
      <c r="BA6819" s="201" t="n">
        <v>0</v>
      </c>
    </row>
    <row r="6820" ht="15" customHeight="1" s="104">
      <c r="BA6820" s="201" t="n">
        <v>0</v>
      </c>
    </row>
    <row r="6821" ht="15" customHeight="1" s="104">
      <c r="BA6821" s="201" t="n">
        <v>0</v>
      </c>
    </row>
    <row r="6822" ht="15" customHeight="1" s="104">
      <c r="BA6822" s="201" t="n">
        <v>0</v>
      </c>
    </row>
    <row r="6823" ht="15" customHeight="1" s="104">
      <c r="BA6823" s="201" t="n">
        <v>0</v>
      </c>
    </row>
    <row r="6824" ht="15" customHeight="1" s="104">
      <c r="BA6824" s="201" t="n">
        <v>0</v>
      </c>
    </row>
    <row r="6825" ht="15" customHeight="1" s="104">
      <c r="BA6825" s="201" t="n">
        <v>0</v>
      </c>
    </row>
    <row r="6826" ht="15" customHeight="1" s="104">
      <c r="BA6826" s="201" t="n">
        <v>0</v>
      </c>
    </row>
    <row r="6827" ht="15" customHeight="1" s="104">
      <c r="BA6827" s="201" t="n">
        <v>0</v>
      </c>
    </row>
    <row r="6828" ht="15" customHeight="1" s="104">
      <c r="BA6828" s="201" t="n">
        <v>0</v>
      </c>
    </row>
    <row r="6829" ht="15" customHeight="1" s="104">
      <c r="BA6829" s="201" t="n">
        <v>0</v>
      </c>
    </row>
    <row r="6830" ht="15" customHeight="1" s="104">
      <c r="BA6830" s="201" t="n">
        <v>0</v>
      </c>
    </row>
    <row r="6831" ht="15" customHeight="1" s="104">
      <c r="BA6831" s="201" t="n">
        <v>0</v>
      </c>
    </row>
    <row r="6832" ht="15" customHeight="1" s="104">
      <c r="BA6832" s="201" t="n">
        <v>0</v>
      </c>
    </row>
    <row r="6833" ht="15" customHeight="1" s="104">
      <c r="BA6833" s="201" t="n">
        <v>0</v>
      </c>
    </row>
    <row r="6834" ht="15" customHeight="1" s="104">
      <c r="BA6834" s="201" t="n">
        <v>0</v>
      </c>
    </row>
    <row r="6835" ht="15" customHeight="1" s="104">
      <c r="BA6835" s="201" t="n">
        <v>0</v>
      </c>
    </row>
    <row r="6836" ht="15" customHeight="1" s="104">
      <c r="BA6836" s="201" t="n">
        <v>0</v>
      </c>
    </row>
    <row r="6837" ht="15" customHeight="1" s="104">
      <c r="BA6837" s="201" t="n">
        <v>0</v>
      </c>
    </row>
    <row r="6838" ht="15" customHeight="1" s="104">
      <c r="BA6838" s="201" t="n">
        <v>0</v>
      </c>
    </row>
    <row r="6839" ht="15" customHeight="1" s="104">
      <c r="BA6839" s="201" t="n">
        <v>0</v>
      </c>
    </row>
    <row r="6840" ht="15" customHeight="1" s="104">
      <c r="BA6840" s="201" t="n">
        <v>0</v>
      </c>
    </row>
    <row r="6841" ht="15" customHeight="1" s="104">
      <c r="BA6841" s="201" t="n">
        <v>0</v>
      </c>
    </row>
    <row r="6842" ht="15" customHeight="1" s="104">
      <c r="BA6842" s="201" t="n">
        <v>0</v>
      </c>
    </row>
    <row r="6843" ht="15" customHeight="1" s="104">
      <c r="BA6843" s="201" t="n">
        <v>0</v>
      </c>
    </row>
    <row r="6844" ht="15" customHeight="1" s="104">
      <c r="BA6844" s="201" t="n">
        <v>0</v>
      </c>
    </row>
    <row r="6845" ht="15" customHeight="1" s="104">
      <c r="BA6845" s="201" t="n">
        <v>0</v>
      </c>
    </row>
    <row r="6846" ht="15" customHeight="1" s="104">
      <c r="BA6846" s="201" t="n">
        <v>0</v>
      </c>
    </row>
    <row r="6847" ht="15" customHeight="1" s="104">
      <c r="BA6847" s="201" t="n">
        <v>0</v>
      </c>
    </row>
    <row r="6848" ht="15" customHeight="1" s="104">
      <c r="BA6848" s="201" t="n">
        <v>0</v>
      </c>
    </row>
    <row r="6849" ht="15" customHeight="1" s="104">
      <c r="BA6849" s="201" t="n">
        <v>0</v>
      </c>
    </row>
    <row r="6850" ht="15" customHeight="1" s="104">
      <c r="BA6850" s="201" t="n">
        <v>0</v>
      </c>
    </row>
    <row r="6851" ht="15" customHeight="1" s="104">
      <c r="BA6851" s="201" t="n">
        <v>0</v>
      </c>
    </row>
    <row r="6852" ht="15" customHeight="1" s="104">
      <c r="BA6852" s="201" t="n">
        <v>0</v>
      </c>
    </row>
    <row r="6853" ht="15" customHeight="1" s="104">
      <c r="BA6853" s="201" t="n">
        <v>0</v>
      </c>
    </row>
    <row r="6854" ht="15" customHeight="1" s="104">
      <c r="BA6854" s="201" t="n">
        <v>0</v>
      </c>
    </row>
    <row r="6855" ht="15" customHeight="1" s="104">
      <c r="BA6855" s="201" t="n">
        <v>0</v>
      </c>
    </row>
    <row r="6856" ht="15" customHeight="1" s="104">
      <c r="BA6856" s="201" t="n">
        <v>0</v>
      </c>
    </row>
    <row r="6857" ht="15" customHeight="1" s="104">
      <c r="BA6857" s="201" t="n">
        <v>0</v>
      </c>
    </row>
    <row r="6858" ht="15" customHeight="1" s="104">
      <c r="BA6858" s="201" t="n">
        <v>0</v>
      </c>
    </row>
    <row r="6859" ht="15" customHeight="1" s="104">
      <c r="BA6859" s="201" t="n">
        <v>0</v>
      </c>
    </row>
    <row r="6860" ht="15" customHeight="1" s="104">
      <c r="BA6860" s="201" t="n">
        <v>0</v>
      </c>
    </row>
    <row r="6861" ht="15" customHeight="1" s="104">
      <c r="BA6861" s="201" t="n">
        <v>0</v>
      </c>
    </row>
    <row r="6862" ht="15" customHeight="1" s="104">
      <c r="BA6862" s="201" t="n">
        <v>0</v>
      </c>
    </row>
    <row r="6863" ht="15" customHeight="1" s="104">
      <c r="BA6863" s="201" t="n">
        <v>0</v>
      </c>
    </row>
    <row r="6864" ht="15" customHeight="1" s="104">
      <c r="BA6864" s="201" t="n">
        <v>0</v>
      </c>
    </row>
    <row r="6865" ht="15" customHeight="1" s="104">
      <c r="BA6865" s="201" t="n">
        <v>0</v>
      </c>
    </row>
    <row r="6866" ht="15" customHeight="1" s="104">
      <c r="BA6866" s="201" t="n">
        <v>0</v>
      </c>
    </row>
    <row r="6867" ht="15" customHeight="1" s="104">
      <c r="BA6867" s="201" t="n">
        <v>0</v>
      </c>
    </row>
    <row r="6868" ht="15" customHeight="1" s="104">
      <c r="BA6868" s="201" t="n">
        <v>0</v>
      </c>
    </row>
    <row r="6869" ht="15" customHeight="1" s="104">
      <c r="BA6869" s="201" t="n">
        <v>0</v>
      </c>
    </row>
    <row r="6870" ht="15" customHeight="1" s="104">
      <c r="BA6870" s="201" t="n">
        <v>0</v>
      </c>
    </row>
    <row r="6871" ht="15" customHeight="1" s="104">
      <c r="BA6871" s="201" t="n">
        <v>0</v>
      </c>
    </row>
    <row r="6872" ht="15" customHeight="1" s="104">
      <c r="BA6872" s="201" t="n">
        <v>0</v>
      </c>
    </row>
    <row r="6873" ht="15" customHeight="1" s="104">
      <c r="BA6873" s="201" t="n">
        <v>0</v>
      </c>
    </row>
    <row r="6874" ht="15" customHeight="1" s="104">
      <c r="BA6874" s="201" t="n">
        <v>0</v>
      </c>
    </row>
    <row r="6875" ht="15" customHeight="1" s="104">
      <c r="BA6875" s="201" t="n">
        <v>0</v>
      </c>
    </row>
    <row r="6876" ht="15" customHeight="1" s="104">
      <c r="BA6876" s="201" t="n">
        <v>0</v>
      </c>
    </row>
    <row r="6877" ht="15" customHeight="1" s="104">
      <c r="BA6877" s="201" t="n">
        <v>0</v>
      </c>
    </row>
    <row r="6878" ht="15" customHeight="1" s="104">
      <c r="BA6878" s="201" t="n">
        <v>0</v>
      </c>
    </row>
    <row r="6879" ht="15" customHeight="1" s="104">
      <c r="BA6879" s="201" t="n">
        <v>0</v>
      </c>
    </row>
    <row r="6880" ht="15" customHeight="1" s="104">
      <c r="BA6880" s="201" t="n">
        <v>0</v>
      </c>
    </row>
    <row r="6881" ht="15" customHeight="1" s="104">
      <c r="BA6881" s="201" t="n">
        <v>0</v>
      </c>
    </row>
    <row r="6882" ht="15" customHeight="1" s="104">
      <c r="BA6882" s="201" t="n">
        <v>0</v>
      </c>
    </row>
    <row r="6883" ht="15" customHeight="1" s="104">
      <c r="BA6883" s="201" t="n">
        <v>0</v>
      </c>
    </row>
    <row r="6884" ht="15" customHeight="1" s="104">
      <c r="BA6884" s="201" t="n">
        <v>0</v>
      </c>
    </row>
    <row r="6885" ht="15" customHeight="1" s="104">
      <c r="BA6885" s="201" t="n">
        <v>0</v>
      </c>
    </row>
    <row r="6886" ht="15" customHeight="1" s="104">
      <c r="BA6886" s="201" t="n">
        <v>0</v>
      </c>
    </row>
    <row r="6887" ht="15" customHeight="1" s="104">
      <c r="BA6887" s="201" t="n">
        <v>0</v>
      </c>
    </row>
    <row r="6888" ht="15" customHeight="1" s="104">
      <c r="BA6888" s="201" t="n">
        <v>0</v>
      </c>
    </row>
    <row r="6889" ht="15" customHeight="1" s="104">
      <c r="BA6889" s="201" t="n">
        <v>0</v>
      </c>
    </row>
    <row r="6890" ht="15" customHeight="1" s="104">
      <c r="BA6890" s="201" t="n">
        <v>0</v>
      </c>
    </row>
    <row r="6891" ht="15" customHeight="1" s="104">
      <c r="BA6891" s="201" t="n">
        <v>0</v>
      </c>
    </row>
    <row r="6892" ht="15" customHeight="1" s="104">
      <c r="BA6892" s="201" t="n">
        <v>0</v>
      </c>
    </row>
    <row r="6893" ht="15" customHeight="1" s="104">
      <c r="BA6893" s="201" t="n">
        <v>0</v>
      </c>
    </row>
    <row r="6894" ht="15" customHeight="1" s="104">
      <c r="BA6894" s="201" t="n">
        <v>0</v>
      </c>
    </row>
    <row r="6895" ht="15" customHeight="1" s="104">
      <c r="BA6895" s="201" t="n">
        <v>0</v>
      </c>
    </row>
    <row r="6896" ht="15" customHeight="1" s="104">
      <c r="BA6896" s="201" t="n">
        <v>0</v>
      </c>
    </row>
    <row r="6897" ht="15" customHeight="1" s="104">
      <c r="BA6897" s="201" t="n">
        <v>0</v>
      </c>
    </row>
    <row r="6898" ht="15" customHeight="1" s="104">
      <c r="BA6898" s="201" t="n">
        <v>0</v>
      </c>
    </row>
    <row r="6899" ht="15" customHeight="1" s="104">
      <c r="BA6899" s="201" t="n">
        <v>0</v>
      </c>
    </row>
    <row r="6900" ht="15" customHeight="1" s="104">
      <c r="BA6900" s="201" t="n">
        <v>0</v>
      </c>
    </row>
    <row r="6901" ht="15" customHeight="1" s="104">
      <c r="BA6901" s="201" t="n">
        <v>0</v>
      </c>
    </row>
    <row r="6902" ht="15" customHeight="1" s="104">
      <c r="BA6902" s="201" t="n">
        <v>0</v>
      </c>
    </row>
    <row r="6903" ht="15" customHeight="1" s="104">
      <c r="BA6903" s="201" t="n">
        <v>0</v>
      </c>
    </row>
    <row r="6904" ht="15" customHeight="1" s="104">
      <c r="BA6904" s="201" t="n">
        <v>0</v>
      </c>
    </row>
    <row r="6905" ht="15" customHeight="1" s="104">
      <c r="BA6905" s="201" t="n">
        <v>0</v>
      </c>
    </row>
    <row r="6906" ht="15" customHeight="1" s="104">
      <c r="BA6906" s="201" t="n">
        <v>0</v>
      </c>
    </row>
    <row r="6907" ht="15" customHeight="1" s="104">
      <c r="BA6907" s="201" t="n">
        <v>0</v>
      </c>
    </row>
    <row r="6908" ht="15" customHeight="1" s="104">
      <c r="BA6908" s="201" t="n">
        <v>0</v>
      </c>
    </row>
    <row r="6909" ht="15" customHeight="1" s="104">
      <c r="BA6909" s="201" t="n">
        <v>0</v>
      </c>
    </row>
    <row r="6910" ht="15" customHeight="1" s="104">
      <c r="BA6910" s="201" t="n">
        <v>0</v>
      </c>
    </row>
    <row r="6911" ht="15" customHeight="1" s="104">
      <c r="BA6911" s="201" t="n">
        <v>0</v>
      </c>
    </row>
    <row r="6912" ht="15" customHeight="1" s="104">
      <c r="BA6912" s="201" t="n">
        <v>0</v>
      </c>
    </row>
    <row r="6913" ht="15" customHeight="1" s="104">
      <c r="BA6913" s="201" t="n">
        <v>0</v>
      </c>
    </row>
    <row r="6914" ht="15" customHeight="1" s="104">
      <c r="BA6914" s="201" t="n">
        <v>0</v>
      </c>
    </row>
    <row r="6915" ht="15" customHeight="1" s="104">
      <c r="BA6915" s="201" t="n">
        <v>0</v>
      </c>
    </row>
    <row r="6916" ht="15" customHeight="1" s="104">
      <c r="BA6916" s="201" t="n">
        <v>0</v>
      </c>
    </row>
    <row r="6917" ht="15" customHeight="1" s="104">
      <c r="BA6917" s="201" t="n">
        <v>0</v>
      </c>
    </row>
    <row r="6918" ht="15" customHeight="1" s="104">
      <c r="BA6918" s="201" t="n">
        <v>0</v>
      </c>
    </row>
    <row r="6919" ht="15" customHeight="1" s="104">
      <c r="BA6919" s="201" t="n">
        <v>0</v>
      </c>
    </row>
    <row r="6920" ht="15" customHeight="1" s="104">
      <c r="BA6920" s="201" t="n">
        <v>0</v>
      </c>
    </row>
    <row r="6921" ht="15" customHeight="1" s="104">
      <c r="BA6921" s="201" t="n">
        <v>0</v>
      </c>
    </row>
    <row r="6922" ht="15" customHeight="1" s="104">
      <c r="BA6922" s="201" t="n">
        <v>0</v>
      </c>
    </row>
    <row r="6923" ht="15" customHeight="1" s="104">
      <c r="BA6923" s="201" t="n">
        <v>0</v>
      </c>
    </row>
    <row r="6924" ht="15" customHeight="1" s="104">
      <c r="BA6924" s="201" t="n">
        <v>0</v>
      </c>
    </row>
    <row r="6925" ht="15" customHeight="1" s="104">
      <c r="BA6925" s="201" t="n">
        <v>0</v>
      </c>
    </row>
    <row r="6926" ht="15" customHeight="1" s="104">
      <c r="BA6926" s="201" t="n">
        <v>0</v>
      </c>
    </row>
    <row r="6927" ht="15" customHeight="1" s="104">
      <c r="BA6927" s="201" t="n">
        <v>0</v>
      </c>
    </row>
    <row r="6928" ht="15" customHeight="1" s="104">
      <c r="BA6928" s="201" t="n">
        <v>0</v>
      </c>
    </row>
    <row r="6929" ht="15" customHeight="1" s="104">
      <c r="BA6929" s="201" t="n">
        <v>0</v>
      </c>
    </row>
    <row r="6930" ht="15" customHeight="1" s="104">
      <c r="BA6930" s="201" t="n">
        <v>0</v>
      </c>
    </row>
    <row r="6931" ht="15" customHeight="1" s="104">
      <c r="BA6931" s="201" t="n">
        <v>0</v>
      </c>
    </row>
    <row r="6932" ht="15" customHeight="1" s="104">
      <c r="BA6932" s="201" t="n">
        <v>0</v>
      </c>
    </row>
    <row r="6933" ht="15" customHeight="1" s="104">
      <c r="BA6933" s="201" t="n">
        <v>0</v>
      </c>
    </row>
    <row r="6934" ht="15" customHeight="1" s="104">
      <c r="BA6934" s="201" t="n">
        <v>0</v>
      </c>
    </row>
    <row r="6935" ht="15" customHeight="1" s="104">
      <c r="BA6935" s="201" t="n">
        <v>0</v>
      </c>
    </row>
    <row r="6936" ht="15" customHeight="1" s="104">
      <c r="BA6936" s="201" t="n">
        <v>0</v>
      </c>
    </row>
    <row r="6937" ht="15" customHeight="1" s="104">
      <c r="BA6937" s="201" t="n">
        <v>0</v>
      </c>
    </row>
    <row r="6938" ht="15" customHeight="1" s="104">
      <c r="BA6938" s="201" t="n">
        <v>0</v>
      </c>
    </row>
    <row r="6939" ht="15" customHeight="1" s="104">
      <c r="BA6939" s="201" t="n">
        <v>0</v>
      </c>
    </row>
    <row r="6940" ht="15" customHeight="1" s="104">
      <c r="BA6940" s="201" t="n">
        <v>0</v>
      </c>
    </row>
    <row r="6941" ht="15" customHeight="1" s="104">
      <c r="BA6941" s="201" t="n">
        <v>0</v>
      </c>
    </row>
    <row r="6942" ht="15" customHeight="1" s="104">
      <c r="BA6942" s="201" t="n">
        <v>0</v>
      </c>
    </row>
    <row r="6943" ht="15" customHeight="1" s="104">
      <c r="BA6943" s="201" t="n">
        <v>0</v>
      </c>
    </row>
    <row r="6944" ht="15" customHeight="1" s="104">
      <c r="BA6944" s="201" t="n">
        <v>0</v>
      </c>
    </row>
    <row r="6945" ht="15" customHeight="1" s="104">
      <c r="BA6945" s="201" t="n">
        <v>0</v>
      </c>
    </row>
    <row r="6946" ht="15" customHeight="1" s="104">
      <c r="BA6946" s="201" t="n">
        <v>0</v>
      </c>
    </row>
    <row r="6947" ht="15" customHeight="1" s="104">
      <c r="BA6947" s="201" t="n">
        <v>0</v>
      </c>
    </row>
    <row r="6948" ht="15" customHeight="1" s="104">
      <c r="BA6948" s="201" t="n">
        <v>0</v>
      </c>
    </row>
    <row r="6949" ht="15" customHeight="1" s="104">
      <c r="BA6949" s="201" t="n">
        <v>0</v>
      </c>
    </row>
    <row r="6950" ht="15" customHeight="1" s="104">
      <c r="BA6950" s="201" t="n">
        <v>0</v>
      </c>
    </row>
    <row r="6951" ht="15" customHeight="1" s="104">
      <c r="BA6951" s="201" t="n">
        <v>0</v>
      </c>
    </row>
    <row r="6952" ht="15" customHeight="1" s="104">
      <c r="BA6952" s="201" t="n">
        <v>0</v>
      </c>
    </row>
    <row r="6953" ht="15" customHeight="1" s="104">
      <c r="BA6953" s="201" t="n">
        <v>0</v>
      </c>
    </row>
    <row r="6954" ht="15" customHeight="1" s="104">
      <c r="BA6954" s="201" t="n">
        <v>0</v>
      </c>
    </row>
    <row r="6955" ht="15" customHeight="1" s="104">
      <c r="BA6955" s="201" t="n">
        <v>0</v>
      </c>
    </row>
    <row r="6956" ht="15" customHeight="1" s="104">
      <c r="BA6956" s="201" t="n">
        <v>0</v>
      </c>
    </row>
    <row r="6957" ht="15" customHeight="1" s="104">
      <c r="BA6957" s="201" t="n">
        <v>0</v>
      </c>
    </row>
    <row r="6958" ht="15" customHeight="1" s="104">
      <c r="BA6958" s="201" t="n">
        <v>0</v>
      </c>
    </row>
    <row r="6959" ht="15" customHeight="1" s="104">
      <c r="BA6959" s="201" t="n">
        <v>0</v>
      </c>
    </row>
    <row r="6960" ht="15" customHeight="1" s="104">
      <c r="BA6960" s="201" t="n">
        <v>0</v>
      </c>
    </row>
    <row r="6961" ht="15" customHeight="1" s="104">
      <c r="BA6961" s="201" t="n">
        <v>0</v>
      </c>
    </row>
    <row r="6962" ht="15" customHeight="1" s="104">
      <c r="BA6962" s="201" t="n">
        <v>0</v>
      </c>
    </row>
    <row r="6963" ht="15" customHeight="1" s="104">
      <c r="BA6963" s="201" t="n">
        <v>0</v>
      </c>
    </row>
    <row r="6964" ht="15" customHeight="1" s="104">
      <c r="BA6964" s="201" t="n">
        <v>0</v>
      </c>
    </row>
    <row r="6965" ht="15" customHeight="1" s="104">
      <c r="BA6965" s="201" t="n">
        <v>0</v>
      </c>
    </row>
    <row r="6966" ht="15" customHeight="1" s="104">
      <c r="BA6966" s="201" t="n">
        <v>0</v>
      </c>
    </row>
    <row r="6967" ht="15" customHeight="1" s="104">
      <c r="BA6967" s="201" t="n">
        <v>0</v>
      </c>
    </row>
    <row r="6968" ht="15" customHeight="1" s="104">
      <c r="BA6968" s="201" t="n">
        <v>0</v>
      </c>
    </row>
    <row r="6969" ht="15" customHeight="1" s="104">
      <c r="BA6969" s="201" t="n">
        <v>0</v>
      </c>
    </row>
    <row r="6970" ht="15" customHeight="1" s="104">
      <c r="BA6970" s="201" t="n">
        <v>0</v>
      </c>
    </row>
    <row r="6971" ht="15" customHeight="1" s="104">
      <c r="BA6971" s="201" t="n">
        <v>0</v>
      </c>
    </row>
    <row r="6972" ht="15" customHeight="1" s="104">
      <c r="BA6972" s="201" t="n">
        <v>0</v>
      </c>
    </row>
    <row r="6973" ht="15" customHeight="1" s="104">
      <c r="BA6973" s="201" t="n">
        <v>0</v>
      </c>
    </row>
    <row r="6974" ht="15" customHeight="1" s="104">
      <c r="BA6974" s="201" t="n">
        <v>0</v>
      </c>
    </row>
    <row r="6975" ht="15" customHeight="1" s="104">
      <c r="BA6975" s="201" t="n">
        <v>0</v>
      </c>
    </row>
    <row r="6976" ht="15" customHeight="1" s="104">
      <c r="BA6976" s="201" t="n">
        <v>0</v>
      </c>
    </row>
    <row r="6977" ht="15" customHeight="1" s="104">
      <c r="BA6977" s="201" t="n">
        <v>0</v>
      </c>
    </row>
    <row r="6978" ht="15" customHeight="1" s="104">
      <c r="BA6978" s="201" t="n">
        <v>0</v>
      </c>
    </row>
    <row r="6979" ht="15" customHeight="1" s="104">
      <c r="BA6979" s="201" t="n">
        <v>0</v>
      </c>
    </row>
    <row r="6980" ht="15" customHeight="1" s="104">
      <c r="BA6980" s="201" t="n">
        <v>0</v>
      </c>
    </row>
    <row r="6981" ht="15" customHeight="1" s="104">
      <c r="BA6981" s="201" t="n">
        <v>0</v>
      </c>
    </row>
    <row r="6982" ht="15" customHeight="1" s="104">
      <c r="BA6982" s="201" t="n">
        <v>0</v>
      </c>
    </row>
    <row r="6983" ht="15" customHeight="1" s="104">
      <c r="BA6983" s="201" t="n">
        <v>0</v>
      </c>
    </row>
    <row r="6984" ht="15" customHeight="1" s="104">
      <c r="BA6984" s="201" t="n">
        <v>0</v>
      </c>
    </row>
    <row r="6985" ht="15" customHeight="1" s="104">
      <c r="BA6985" s="201" t="n">
        <v>0</v>
      </c>
    </row>
    <row r="6986" ht="15" customHeight="1" s="104">
      <c r="BA6986" s="201" t="n">
        <v>0</v>
      </c>
    </row>
    <row r="6987" ht="15" customHeight="1" s="104">
      <c r="BA6987" s="201" t="n">
        <v>0</v>
      </c>
    </row>
    <row r="6988" ht="15" customHeight="1" s="104">
      <c r="BA6988" s="201" t="n">
        <v>0</v>
      </c>
    </row>
    <row r="6989" ht="15" customHeight="1" s="104">
      <c r="BA6989" s="201" t="n">
        <v>0</v>
      </c>
    </row>
    <row r="6990" ht="15" customHeight="1" s="104">
      <c r="BA6990" s="201" t="n">
        <v>0</v>
      </c>
    </row>
    <row r="6991" ht="15" customHeight="1" s="104">
      <c r="BA6991" s="201" t="n">
        <v>0</v>
      </c>
    </row>
    <row r="6992" ht="15" customHeight="1" s="104">
      <c r="BA6992" s="201" t="n">
        <v>0</v>
      </c>
    </row>
    <row r="6993" ht="15" customHeight="1" s="104">
      <c r="BA6993" s="201" t="n">
        <v>0</v>
      </c>
    </row>
    <row r="6994" ht="15" customHeight="1" s="104">
      <c r="BA6994" s="201" t="n">
        <v>0</v>
      </c>
    </row>
    <row r="6995" ht="15" customHeight="1" s="104">
      <c r="BA6995" s="201" t="n">
        <v>0</v>
      </c>
    </row>
    <row r="6996" ht="15" customHeight="1" s="104">
      <c r="BA6996" s="201" t="n">
        <v>0</v>
      </c>
    </row>
    <row r="6997" ht="15" customHeight="1" s="104">
      <c r="BA6997" s="201" t="n">
        <v>0</v>
      </c>
    </row>
    <row r="6998" ht="15" customHeight="1" s="104">
      <c r="BA6998" s="201" t="n">
        <v>0</v>
      </c>
    </row>
    <row r="6999" ht="15" customHeight="1" s="104">
      <c r="BA6999" s="201" t="n">
        <v>0</v>
      </c>
    </row>
    <row r="7000" ht="15" customHeight="1" s="104">
      <c r="BA7000" s="201" t="n">
        <v>0</v>
      </c>
    </row>
    <row r="7001" ht="15" customHeight="1" s="104">
      <c r="BA7001" s="201" t="n">
        <v>0</v>
      </c>
    </row>
    <row r="7002" ht="15" customHeight="1" s="104">
      <c r="BA7002" s="201" t="n">
        <v>0</v>
      </c>
    </row>
    <row r="7003" ht="15" customHeight="1" s="104">
      <c r="BA7003" s="201" t="n">
        <v>0</v>
      </c>
    </row>
    <row r="7004" ht="15" customHeight="1" s="104">
      <c r="BA7004" s="201" t="n">
        <v>0</v>
      </c>
    </row>
    <row r="7005" ht="15" customHeight="1" s="104">
      <c r="BA7005" s="201" t="n">
        <v>0</v>
      </c>
    </row>
    <row r="7006" ht="15" customHeight="1" s="104">
      <c r="BA7006" s="201" t="n">
        <v>0</v>
      </c>
    </row>
    <row r="7007" ht="15" customHeight="1" s="104">
      <c r="BA7007" s="201" t="n">
        <v>0</v>
      </c>
    </row>
    <row r="7008" ht="15" customHeight="1" s="104">
      <c r="BA7008" s="201" t="n">
        <v>0</v>
      </c>
    </row>
    <row r="7009" ht="15" customHeight="1" s="104">
      <c r="BA7009" s="201" t="n">
        <v>0</v>
      </c>
    </row>
    <row r="7010" ht="15" customHeight="1" s="104">
      <c r="BA7010" s="201" t="n">
        <v>0</v>
      </c>
    </row>
    <row r="7011" ht="15" customHeight="1" s="104">
      <c r="BA7011" s="201" t="n">
        <v>0</v>
      </c>
    </row>
    <row r="7012" ht="15" customHeight="1" s="104">
      <c r="BA7012" s="201" t="n">
        <v>0</v>
      </c>
    </row>
    <row r="7013" ht="15" customHeight="1" s="104">
      <c r="BA7013" s="201" t="n">
        <v>0</v>
      </c>
    </row>
    <row r="7014" ht="15" customHeight="1" s="104">
      <c r="BA7014" s="201" t="n">
        <v>0</v>
      </c>
    </row>
    <row r="7015" ht="15" customHeight="1" s="104">
      <c r="BA7015" s="201" t="n">
        <v>0</v>
      </c>
    </row>
    <row r="7016" ht="15" customHeight="1" s="104">
      <c r="BA7016" s="201" t="n">
        <v>0</v>
      </c>
    </row>
    <row r="7017" ht="15" customHeight="1" s="104">
      <c r="BA7017" s="201" t="n">
        <v>0</v>
      </c>
    </row>
    <row r="7018" ht="15" customHeight="1" s="104">
      <c r="BA7018" s="201" t="n">
        <v>0</v>
      </c>
    </row>
    <row r="7019" ht="15" customHeight="1" s="104">
      <c r="BA7019" s="201" t="n">
        <v>0</v>
      </c>
    </row>
    <row r="7020" ht="15" customHeight="1" s="104">
      <c r="BA7020" s="201" t="n">
        <v>0</v>
      </c>
    </row>
    <row r="7021" ht="15" customHeight="1" s="104">
      <c r="BA7021" s="201" t="n">
        <v>0</v>
      </c>
    </row>
    <row r="7022" ht="15" customHeight="1" s="104">
      <c r="BA7022" s="201" t="n">
        <v>0</v>
      </c>
    </row>
    <row r="7023" ht="15" customHeight="1" s="104">
      <c r="BA7023" s="201" t="n">
        <v>0</v>
      </c>
    </row>
    <row r="7024" ht="15" customHeight="1" s="104">
      <c r="BA7024" s="201" t="n">
        <v>0</v>
      </c>
    </row>
    <row r="7025" ht="15" customHeight="1" s="104">
      <c r="BA7025" s="201" t="n">
        <v>0</v>
      </c>
    </row>
    <row r="7026" ht="15" customHeight="1" s="104">
      <c r="BA7026" s="201" t="n">
        <v>0</v>
      </c>
    </row>
    <row r="7027" ht="15" customHeight="1" s="104">
      <c r="BA7027" s="201" t="n">
        <v>0</v>
      </c>
    </row>
    <row r="7028" ht="15" customHeight="1" s="104">
      <c r="BA7028" s="201" t="n">
        <v>0</v>
      </c>
    </row>
    <row r="7029" ht="15" customHeight="1" s="104">
      <c r="BA7029" s="201" t="n">
        <v>0</v>
      </c>
    </row>
    <row r="7030" ht="15" customHeight="1" s="104">
      <c r="BA7030" s="201" t="n">
        <v>0</v>
      </c>
    </row>
    <row r="7031" ht="15" customHeight="1" s="104">
      <c r="BA7031" s="201" t="n">
        <v>0</v>
      </c>
    </row>
    <row r="7032" ht="15" customHeight="1" s="104">
      <c r="BA7032" s="201" t="n">
        <v>0</v>
      </c>
    </row>
    <row r="7033" ht="15" customHeight="1" s="104">
      <c r="BA7033" s="201" t="n">
        <v>0</v>
      </c>
    </row>
    <row r="7034" ht="15" customHeight="1" s="104">
      <c r="BA7034" s="201" t="n">
        <v>0</v>
      </c>
    </row>
    <row r="7035" ht="15" customHeight="1" s="104">
      <c r="BA7035" s="201" t="n">
        <v>0</v>
      </c>
    </row>
    <row r="7036" ht="15" customHeight="1" s="104">
      <c r="BA7036" s="201" t="n">
        <v>0</v>
      </c>
    </row>
    <row r="7037" ht="15" customHeight="1" s="104">
      <c r="BA7037" s="201" t="n">
        <v>0</v>
      </c>
    </row>
    <row r="7038" ht="15" customHeight="1" s="104">
      <c r="BA7038" s="201" t="n">
        <v>0</v>
      </c>
    </row>
    <row r="7039" ht="15" customHeight="1" s="104">
      <c r="BA7039" s="201" t="n">
        <v>0</v>
      </c>
    </row>
    <row r="7040" ht="15" customHeight="1" s="104">
      <c r="BA7040" s="201" t="n">
        <v>0</v>
      </c>
    </row>
    <row r="7041" ht="15" customHeight="1" s="104">
      <c r="BA7041" s="201" t="n">
        <v>0</v>
      </c>
    </row>
    <row r="7042" ht="15" customHeight="1" s="104">
      <c r="BA7042" s="201" t="n">
        <v>0</v>
      </c>
    </row>
    <row r="7043" ht="15" customHeight="1" s="104">
      <c r="BA7043" s="201" t="n">
        <v>0</v>
      </c>
    </row>
    <row r="7044" ht="15" customHeight="1" s="104">
      <c r="BA7044" s="201" t="n">
        <v>0</v>
      </c>
    </row>
    <row r="7045" ht="15" customHeight="1" s="104">
      <c r="BA7045" s="201" t="n">
        <v>0</v>
      </c>
    </row>
    <row r="7046" ht="15" customHeight="1" s="104">
      <c r="BA7046" s="201" t="n">
        <v>0</v>
      </c>
    </row>
    <row r="7047" ht="15" customHeight="1" s="104">
      <c r="BA7047" s="201" t="n">
        <v>0</v>
      </c>
    </row>
    <row r="7048" ht="15" customHeight="1" s="104">
      <c r="BA7048" s="201" t="n">
        <v>0</v>
      </c>
    </row>
    <row r="7049" ht="15" customHeight="1" s="104">
      <c r="BA7049" s="201" t="n">
        <v>0</v>
      </c>
    </row>
    <row r="7050" ht="15" customHeight="1" s="104">
      <c r="BA7050" s="201" t="n">
        <v>0</v>
      </c>
    </row>
    <row r="7051" ht="15" customHeight="1" s="104">
      <c r="BA7051" s="201" t="n">
        <v>0</v>
      </c>
    </row>
    <row r="7052" ht="15" customHeight="1" s="104">
      <c r="BA7052" s="201" t="n">
        <v>0</v>
      </c>
    </row>
    <row r="7053" ht="15" customHeight="1" s="104">
      <c r="BA7053" s="201" t="n">
        <v>0</v>
      </c>
    </row>
    <row r="7054" ht="15" customHeight="1" s="104">
      <c r="BA7054" s="201" t="n">
        <v>0</v>
      </c>
    </row>
    <row r="7055" ht="15" customHeight="1" s="104">
      <c r="BA7055" s="201" t="n">
        <v>0</v>
      </c>
    </row>
    <row r="7056" ht="15" customHeight="1" s="104">
      <c r="BA7056" s="201" t="n">
        <v>0</v>
      </c>
    </row>
    <row r="7057" ht="15" customHeight="1" s="104">
      <c r="BA7057" s="201" t="n">
        <v>0</v>
      </c>
    </row>
    <row r="7058" ht="15" customHeight="1" s="104">
      <c r="BA7058" s="201" t="n">
        <v>0</v>
      </c>
    </row>
    <row r="7059" ht="15" customHeight="1" s="104">
      <c r="BA7059" s="201" t="n">
        <v>0</v>
      </c>
    </row>
    <row r="7060" ht="15" customHeight="1" s="104">
      <c r="BA7060" s="201" t="n">
        <v>0</v>
      </c>
    </row>
    <row r="7061" ht="15" customHeight="1" s="104">
      <c r="BA7061" s="201" t="n">
        <v>0</v>
      </c>
    </row>
    <row r="7062" ht="15" customHeight="1" s="104">
      <c r="BA7062" s="201" t="n">
        <v>0</v>
      </c>
    </row>
    <row r="7063" ht="15" customHeight="1" s="104">
      <c r="BA7063" s="201" t="n">
        <v>0</v>
      </c>
    </row>
    <row r="7064" ht="15" customHeight="1" s="104">
      <c r="BA7064" s="201" t="n">
        <v>0</v>
      </c>
    </row>
    <row r="7065" ht="15" customHeight="1" s="104">
      <c r="BA7065" s="201" t="n">
        <v>0</v>
      </c>
    </row>
    <row r="7066" ht="15" customHeight="1" s="104">
      <c r="BA7066" s="201" t="n">
        <v>0</v>
      </c>
    </row>
    <row r="7067" ht="15" customHeight="1" s="104">
      <c r="BA7067" s="201" t="n">
        <v>0</v>
      </c>
    </row>
    <row r="7068" ht="15" customHeight="1" s="104">
      <c r="BA7068" s="201" t="n">
        <v>0</v>
      </c>
    </row>
    <row r="7069" ht="15" customHeight="1" s="104">
      <c r="BA7069" s="201" t="n">
        <v>0</v>
      </c>
    </row>
    <row r="7070" ht="15" customHeight="1" s="104">
      <c r="BA7070" s="201" t="n">
        <v>0</v>
      </c>
    </row>
    <row r="7071" ht="15" customHeight="1" s="104">
      <c r="BA7071" s="201" t="n">
        <v>0</v>
      </c>
    </row>
    <row r="7072" ht="15" customHeight="1" s="104">
      <c r="BA7072" s="201" t="n">
        <v>0</v>
      </c>
    </row>
    <row r="7073" ht="15" customHeight="1" s="104">
      <c r="BA7073" s="201" t="n">
        <v>0</v>
      </c>
    </row>
    <row r="7074" ht="15" customHeight="1" s="104">
      <c r="BA7074" s="201" t="n">
        <v>0</v>
      </c>
    </row>
    <row r="7075" ht="15" customHeight="1" s="104">
      <c r="BA7075" s="201" t="n">
        <v>0</v>
      </c>
    </row>
    <row r="7076" ht="15" customHeight="1" s="104">
      <c r="BA7076" s="201" t="n">
        <v>0</v>
      </c>
    </row>
    <row r="7077" ht="15" customHeight="1" s="104">
      <c r="BA7077" s="201" t="n">
        <v>0</v>
      </c>
    </row>
    <row r="7078" ht="15" customHeight="1" s="104">
      <c r="BA7078" s="201" t="n">
        <v>0</v>
      </c>
    </row>
    <row r="7079" ht="15" customHeight="1" s="104">
      <c r="BA7079" s="201" t="n">
        <v>0</v>
      </c>
    </row>
    <row r="7080" ht="15" customHeight="1" s="104">
      <c r="BA7080" s="201" t="n">
        <v>0</v>
      </c>
    </row>
    <row r="7081" ht="15" customHeight="1" s="104">
      <c r="BA7081" s="201" t="n">
        <v>0</v>
      </c>
    </row>
    <row r="7082" ht="15" customHeight="1" s="104">
      <c r="BA7082" s="201" t="n">
        <v>0</v>
      </c>
    </row>
    <row r="7083" ht="15" customHeight="1" s="104">
      <c r="BA7083" s="201" t="n">
        <v>0</v>
      </c>
    </row>
    <row r="7084" ht="15" customHeight="1" s="104">
      <c r="BA7084" s="201" t="n">
        <v>0</v>
      </c>
    </row>
    <row r="7085" ht="15" customHeight="1" s="104">
      <c r="BA7085" s="201" t="n">
        <v>0</v>
      </c>
    </row>
    <row r="7086" ht="15" customHeight="1" s="104">
      <c r="BA7086" s="201" t="n">
        <v>0</v>
      </c>
    </row>
    <row r="7087" ht="15" customHeight="1" s="104">
      <c r="BA7087" s="201" t="n">
        <v>0</v>
      </c>
    </row>
    <row r="7088" ht="15" customHeight="1" s="104">
      <c r="BA7088" s="201" t="n">
        <v>0</v>
      </c>
    </row>
    <row r="7089" ht="15" customHeight="1" s="104">
      <c r="BA7089" s="201" t="n">
        <v>0</v>
      </c>
    </row>
    <row r="7090" ht="15" customHeight="1" s="104">
      <c r="BA7090" s="201" t="n">
        <v>0</v>
      </c>
    </row>
    <row r="7091" ht="15" customHeight="1" s="104">
      <c r="BA7091" s="201" t="n">
        <v>0</v>
      </c>
    </row>
    <row r="7092" ht="15" customHeight="1" s="104">
      <c r="BA7092" s="201" t="n">
        <v>0</v>
      </c>
    </row>
    <row r="7093" ht="15" customHeight="1" s="104">
      <c r="BA7093" s="201" t="n">
        <v>0</v>
      </c>
    </row>
    <row r="7094" ht="15" customHeight="1" s="104">
      <c r="BA7094" s="201" t="n">
        <v>0</v>
      </c>
    </row>
    <row r="7095" ht="15" customHeight="1" s="104">
      <c r="BA7095" s="201" t="n">
        <v>0</v>
      </c>
    </row>
    <row r="7096" ht="15" customHeight="1" s="104">
      <c r="BA7096" s="201" t="n">
        <v>0</v>
      </c>
    </row>
    <row r="7097" ht="15" customHeight="1" s="104">
      <c r="BA7097" s="201" t="n">
        <v>0</v>
      </c>
    </row>
    <row r="7098" ht="15" customHeight="1" s="104">
      <c r="BA7098" s="201" t="n">
        <v>0</v>
      </c>
    </row>
    <row r="7099" ht="15" customHeight="1" s="104">
      <c r="BA7099" s="201" t="n">
        <v>0</v>
      </c>
    </row>
    <row r="7100" ht="15" customHeight="1" s="104">
      <c r="BA7100" s="201" t="n">
        <v>0</v>
      </c>
    </row>
    <row r="7101" ht="15" customHeight="1" s="104">
      <c r="BA7101" s="201" t="n">
        <v>0</v>
      </c>
    </row>
    <row r="7102" ht="15" customHeight="1" s="104">
      <c r="BA7102" s="201" t="n">
        <v>0</v>
      </c>
    </row>
    <row r="7103" ht="15" customHeight="1" s="104">
      <c r="BA7103" s="201" t="n">
        <v>0</v>
      </c>
    </row>
    <row r="7104" ht="15" customHeight="1" s="104">
      <c r="BA7104" s="201" t="n">
        <v>0</v>
      </c>
    </row>
    <row r="7105" ht="15" customHeight="1" s="104">
      <c r="BA7105" s="201" t="n">
        <v>0</v>
      </c>
    </row>
    <row r="7106" ht="15" customHeight="1" s="104">
      <c r="BA7106" s="201" t="n">
        <v>0</v>
      </c>
    </row>
    <row r="7107" ht="15" customHeight="1" s="104">
      <c r="BA7107" s="201" t="n">
        <v>0</v>
      </c>
    </row>
    <row r="7108" ht="15" customHeight="1" s="104">
      <c r="BA7108" s="201" t="n">
        <v>0</v>
      </c>
    </row>
    <row r="7109" ht="15" customHeight="1" s="104">
      <c r="BA7109" s="201" t="n">
        <v>0</v>
      </c>
    </row>
    <row r="7110" ht="15" customHeight="1" s="104">
      <c r="BA7110" s="201" t="n">
        <v>0</v>
      </c>
    </row>
    <row r="7111" ht="15" customHeight="1" s="104">
      <c r="BA7111" s="201" t="n">
        <v>0</v>
      </c>
    </row>
    <row r="7112" ht="15" customHeight="1" s="104">
      <c r="BA7112" s="201" t="n">
        <v>0</v>
      </c>
    </row>
    <row r="7113" ht="15" customHeight="1" s="104">
      <c r="BA7113" s="201" t="n">
        <v>0</v>
      </c>
    </row>
    <row r="7114" ht="15" customHeight="1" s="104">
      <c r="BA7114" s="201" t="n">
        <v>0</v>
      </c>
    </row>
    <row r="7115" ht="15" customHeight="1" s="104">
      <c r="BA7115" s="201" t="n">
        <v>0</v>
      </c>
    </row>
    <row r="7116" ht="15" customHeight="1" s="104">
      <c r="BA7116" s="201" t="n">
        <v>0</v>
      </c>
    </row>
    <row r="7117" ht="15" customHeight="1" s="104">
      <c r="BA7117" s="201" t="n">
        <v>0</v>
      </c>
    </row>
    <row r="7118" ht="15" customHeight="1" s="104">
      <c r="BA7118" s="201" t="n">
        <v>0</v>
      </c>
    </row>
    <row r="7119" ht="15" customHeight="1" s="104">
      <c r="BA7119" s="201" t="n">
        <v>0</v>
      </c>
    </row>
    <row r="7120" ht="15" customHeight="1" s="104">
      <c r="BA7120" s="201" t="n">
        <v>0</v>
      </c>
    </row>
    <row r="7121" ht="15" customHeight="1" s="104">
      <c r="BA7121" s="201" t="n">
        <v>0</v>
      </c>
    </row>
    <row r="7122" ht="15" customHeight="1" s="104">
      <c r="BA7122" s="201" t="n">
        <v>0</v>
      </c>
    </row>
    <row r="7123" ht="15" customHeight="1" s="104">
      <c r="BA7123" s="201" t="n">
        <v>0</v>
      </c>
    </row>
    <row r="7124" ht="15" customHeight="1" s="104">
      <c r="BA7124" s="201" t="n">
        <v>0</v>
      </c>
    </row>
    <row r="7125" ht="15" customHeight="1" s="104">
      <c r="BA7125" s="201" t="n">
        <v>0</v>
      </c>
    </row>
    <row r="7126" ht="15" customHeight="1" s="104">
      <c r="BA7126" s="201" t="n">
        <v>0</v>
      </c>
    </row>
    <row r="7127" ht="15" customHeight="1" s="104">
      <c r="BA7127" s="201" t="n">
        <v>0</v>
      </c>
    </row>
    <row r="7128" ht="15" customHeight="1" s="104">
      <c r="BA7128" s="201" t="n">
        <v>0</v>
      </c>
    </row>
    <row r="7129" ht="15" customHeight="1" s="104">
      <c r="BA7129" s="201" t="n">
        <v>0</v>
      </c>
    </row>
    <row r="7130" ht="15" customHeight="1" s="104">
      <c r="BA7130" s="201" t="n">
        <v>0</v>
      </c>
    </row>
    <row r="7131" ht="15" customHeight="1" s="104">
      <c r="BA7131" s="201" t="n">
        <v>0</v>
      </c>
    </row>
    <row r="7132" ht="15" customHeight="1" s="104">
      <c r="BA7132" s="201" t="n">
        <v>0</v>
      </c>
    </row>
    <row r="7133" ht="15" customHeight="1" s="104">
      <c r="BA7133" s="201" t="n">
        <v>0</v>
      </c>
    </row>
    <row r="7134" ht="15" customHeight="1" s="104">
      <c r="BA7134" s="201" t="n">
        <v>0</v>
      </c>
    </row>
    <row r="7135" ht="15" customHeight="1" s="104">
      <c r="BA7135" s="201" t="n">
        <v>0</v>
      </c>
    </row>
    <row r="7136" ht="15" customHeight="1" s="104">
      <c r="BA7136" s="201" t="n">
        <v>0</v>
      </c>
    </row>
    <row r="7137" ht="15" customHeight="1" s="104">
      <c r="BA7137" s="201" t="n">
        <v>0</v>
      </c>
    </row>
    <row r="7138" ht="15" customHeight="1" s="104">
      <c r="BA7138" s="201" t="n">
        <v>0</v>
      </c>
    </row>
    <row r="7139" ht="15" customHeight="1" s="104">
      <c r="BA7139" s="201" t="n">
        <v>0</v>
      </c>
    </row>
    <row r="7140" ht="15" customHeight="1" s="104">
      <c r="BA7140" s="201" t="n">
        <v>0</v>
      </c>
    </row>
    <row r="7141" ht="15" customHeight="1" s="104">
      <c r="BA7141" s="201" t="n">
        <v>0</v>
      </c>
    </row>
    <row r="7142" ht="15" customHeight="1" s="104">
      <c r="BA7142" s="201" t="n">
        <v>0</v>
      </c>
    </row>
    <row r="7143" ht="15" customHeight="1" s="104">
      <c r="BA7143" s="201" t="n">
        <v>0</v>
      </c>
    </row>
    <row r="7144" ht="15" customHeight="1" s="104">
      <c r="BA7144" s="201" t="n">
        <v>0</v>
      </c>
    </row>
    <row r="7145" ht="15" customHeight="1" s="104">
      <c r="BA7145" s="201" t="n">
        <v>0</v>
      </c>
    </row>
    <row r="7146" ht="15" customHeight="1" s="104">
      <c r="BA7146" s="201" t="n">
        <v>0</v>
      </c>
    </row>
    <row r="7147" ht="15" customHeight="1" s="104">
      <c r="BA7147" s="201" t="n">
        <v>0</v>
      </c>
    </row>
    <row r="7148" ht="15" customHeight="1" s="104">
      <c r="BA7148" s="201" t="n">
        <v>0</v>
      </c>
    </row>
    <row r="7149" ht="15" customHeight="1" s="104">
      <c r="BA7149" s="201" t="n">
        <v>0</v>
      </c>
    </row>
    <row r="7150" ht="15" customHeight="1" s="104">
      <c r="BA7150" s="201" t="n">
        <v>0</v>
      </c>
    </row>
    <row r="7151" ht="15" customHeight="1" s="104">
      <c r="BA7151" s="201" t="n">
        <v>0</v>
      </c>
    </row>
    <row r="7152" ht="15" customHeight="1" s="104">
      <c r="BA7152" s="201" t="n">
        <v>0</v>
      </c>
    </row>
    <row r="7153" ht="15" customHeight="1" s="104">
      <c r="BA7153" s="201" t="n">
        <v>0</v>
      </c>
    </row>
    <row r="7154" ht="15" customHeight="1" s="104">
      <c r="BA7154" s="201" t="n">
        <v>0</v>
      </c>
    </row>
    <row r="7155" ht="15" customHeight="1" s="104">
      <c r="BA7155" s="201" t="n">
        <v>0</v>
      </c>
    </row>
    <row r="7156" ht="15" customHeight="1" s="104">
      <c r="BA7156" s="201" t="n">
        <v>0</v>
      </c>
    </row>
    <row r="7157" ht="15" customHeight="1" s="104">
      <c r="BA7157" s="201" t="n">
        <v>0</v>
      </c>
    </row>
    <row r="7158" ht="15" customHeight="1" s="104">
      <c r="BA7158" s="201" t="n">
        <v>0</v>
      </c>
    </row>
    <row r="7159" ht="15" customHeight="1" s="104">
      <c r="BA7159" s="201" t="n">
        <v>0</v>
      </c>
    </row>
    <row r="7160" ht="15" customHeight="1" s="104">
      <c r="BA7160" s="201" t="n">
        <v>0</v>
      </c>
    </row>
    <row r="7161" ht="15" customHeight="1" s="104">
      <c r="BA7161" s="201" t="n">
        <v>0</v>
      </c>
    </row>
    <row r="7162" ht="15" customHeight="1" s="104">
      <c r="BA7162" s="201" t="n">
        <v>0</v>
      </c>
    </row>
    <row r="7163" ht="15" customHeight="1" s="104">
      <c r="BA7163" s="201" t="n">
        <v>0</v>
      </c>
    </row>
    <row r="7164" ht="15" customHeight="1" s="104">
      <c r="BA7164" s="201" t="n">
        <v>0</v>
      </c>
    </row>
    <row r="7165" ht="15" customHeight="1" s="104">
      <c r="BA7165" s="201" t="n">
        <v>0</v>
      </c>
    </row>
    <row r="7166" ht="15" customHeight="1" s="104">
      <c r="BA7166" s="201" t="n">
        <v>0</v>
      </c>
    </row>
    <row r="7167" ht="15" customHeight="1" s="104">
      <c r="BA7167" s="201" t="n">
        <v>0</v>
      </c>
    </row>
    <row r="7168" ht="15" customHeight="1" s="104">
      <c r="BA7168" s="201" t="n">
        <v>0</v>
      </c>
    </row>
    <row r="7169" ht="15" customHeight="1" s="104">
      <c r="BA7169" s="201" t="n">
        <v>0</v>
      </c>
    </row>
    <row r="7170" ht="15" customHeight="1" s="104">
      <c r="BA7170" s="201" t="n">
        <v>0</v>
      </c>
    </row>
    <row r="7171" ht="15" customHeight="1" s="104">
      <c r="BA7171" s="201" t="n">
        <v>0</v>
      </c>
    </row>
    <row r="7172" ht="15" customHeight="1" s="104">
      <c r="BA7172" s="201" t="n">
        <v>0</v>
      </c>
    </row>
    <row r="7173" ht="15" customHeight="1" s="104">
      <c r="BA7173" s="201" t="n">
        <v>0</v>
      </c>
    </row>
    <row r="7174" ht="15" customHeight="1" s="104">
      <c r="BA7174" s="201" t="n">
        <v>0</v>
      </c>
    </row>
    <row r="7175" ht="15" customHeight="1" s="104">
      <c r="BA7175" s="201" t="n">
        <v>0</v>
      </c>
    </row>
    <row r="7176" ht="15" customHeight="1" s="104">
      <c r="BA7176" s="201" t="n">
        <v>0</v>
      </c>
    </row>
    <row r="7177" ht="15" customHeight="1" s="104">
      <c r="BA7177" s="201" t="n">
        <v>0</v>
      </c>
    </row>
    <row r="7178" ht="15" customHeight="1" s="104">
      <c r="BA7178" s="201" t="n">
        <v>0</v>
      </c>
    </row>
    <row r="7179" ht="15" customHeight="1" s="104">
      <c r="BA7179" s="201" t="n">
        <v>0</v>
      </c>
    </row>
    <row r="7180" ht="15" customHeight="1" s="104">
      <c r="BA7180" s="201" t="n">
        <v>0</v>
      </c>
    </row>
    <row r="7181" ht="15" customHeight="1" s="104">
      <c r="BA7181" s="201" t="n">
        <v>0</v>
      </c>
    </row>
    <row r="7182" ht="15" customHeight="1" s="104">
      <c r="BA7182" s="201" t="n">
        <v>0</v>
      </c>
    </row>
    <row r="7183" ht="15" customHeight="1" s="104">
      <c r="BA7183" s="201" t="n">
        <v>0</v>
      </c>
    </row>
    <row r="7184" ht="15" customHeight="1" s="104">
      <c r="BA7184" s="201" t="n">
        <v>0</v>
      </c>
    </row>
    <row r="7185" ht="15" customHeight="1" s="104">
      <c r="BA7185" s="201" t="n">
        <v>0</v>
      </c>
    </row>
    <row r="7186" ht="15" customHeight="1" s="104">
      <c r="BA7186" s="201" t="n">
        <v>0</v>
      </c>
    </row>
    <row r="7187" ht="15" customHeight="1" s="104">
      <c r="BA7187" s="201" t="n">
        <v>0</v>
      </c>
    </row>
    <row r="7188" ht="15" customHeight="1" s="104">
      <c r="BA7188" s="201" t="n">
        <v>0</v>
      </c>
    </row>
    <row r="7189" ht="15" customHeight="1" s="104">
      <c r="BA7189" s="201" t="n">
        <v>0</v>
      </c>
    </row>
    <row r="7190" ht="15" customHeight="1" s="104">
      <c r="BA7190" s="201" t="n">
        <v>0</v>
      </c>
    </row>
    <row r="7191" ht="15" customHeight="1" s="104">
      <c r="BA7191" s="201" t="n">
        <v>0</v>
      </c>
    </row>
    <row r="7192" ht="15" customHeight="1" s="104">
      <c r="BA7192" s="201" t="n">
        <v>0</v>
      </c>
    </row>
    <row r="7193" ht="15" customHeight="1" s="104">
      <c r="BA7193" s="201" t="n">
        <v>0</v>
      </c>
    </row>
    <row r="7194" ht="15" customHeight="1" s="104">
      <c r="BA7194" s="201" t="n">
        <v>0</v>
      </c>
    </row>
    <row r="7195" ht="15" customHeight="1" s="104">
      <c r="BA7195" s="201" t="n">
        <v>0</v>
      </c>
    </row>
    <row r="7196" ht="15" customHeight="1" s="104">
      <c r="BA7196" s="201" t="n">
        <v>0</v>
      </c>
    </row>
    <row r="7197" ht="15" customHeight="1" s="104">
      <c r="BA7197" s="201" t="n">
        <v>0</v>
      </c>
    </row>
    <row r="7198" ht="15" customHeight="1" s="104">
      <c r="BA7198" s="201" t="n">
        <v>0</v>
      </c>
    </row>
    <row r="7199" ht="15" customHeight="1" s="104">
      <c r="BA7199" s="201" t="n">
        <v>0</v>
      </c>
    </row>
    <row r="7200" ht="15" customHeight="1" s="104">
      <c r="BA7200" s="201" t="n">
        <v>0</v>
      </c>
    </row>
    <row r="7201" ht="15" customHeight="1" s="104">
      <c r="BA7201" s="201" t="n">
        <v>0</v>
      </c>
    </row>
    <row r="7202" ht="15" customHeight="1" s="104">
      <c r="BA7202" s="201" t="n">
        <v>0</v>
      </c>
    </row>
    <row r="7203" ht="15" customHeight="1" s="104">
      <c r="BA7203" s="201" t="n">
        <v>0</v>
      </c>
    </row>
    <row r="7204" ht="15" customHeight="1" s="104">
      <c r="BA7204" s="201" t="n">
        <v>0</v>
      </c>
    </row>
    <row r="7205" ht="15" customHeight="1" s="104">
      <c r="BA7205" s="201" t="n">
        <v>0</v>
      </c>
    </row>
    <row r="7206" ht="15" customHeight="1" s="104">
      <c r="BA7206" s="201" t="n">
        <v>0</v>
      </c>
    </row>
    <row r="7207" ht="15" customHeight="1" s="104">
      <c r="BA7207" s="201" t="n">
        <v>0</v>
      </c>
    </row>
    <row r="7208" ht="15" customHeight="1" s="104">
      <c r="BA7208" s="201" t="n">
        <v>0</v>
      </c>
    </row>
    <row r="7209" ht="15" customHeight="1" s="104">
      <c r="BA7209" s="201" t="n">
        <v>0</v>
      </c>
    </row>
    <row r="7210" ht="15" customHeight="1" s="104">
      <c r="BA7210" s="201" t="n">
        <v>0</v>
      </c>
    </row>
    <row r="7211" ht="15" customHeight="1" s="104">
      <c r="BA7211" s="201" t="n">
        <v>0</v>
      </c>
    </row>
    <row r="7212" ht="15" customHeight="1" s="104">
      <c r="BA7212" s="201" t="n">
        <v>0</v>
      </c>
    </row>
    <row r="7213" ht="15" customHeight="1" s="104">
      <c r="BA7213" s="201" t="n">
        <v>0</v>
      </c>
    </row>
    <row r="7214" ht="15" customHeight="1" s="104">
      <c r="BA7214" s="201" t="n">
        <v>0</v>
      </c>
    </row>
    <row r="7215" ht="15" customHeight="1" s="104">
      <c r="BA7215" s="201" t="n">
        <v>0</v>
      </c>
    </row>
    <row r="7216" ht="15" customHeight="1" s="104">
      <c r="BA7216" s="201" t="n">
        <v>0</v>
      </c>
    </row>
    <row r="7217" ht="15" customHeight="1" s="104">
      <c r="BA7217" s="201" t="n">
        <v>0</v>
      </c>
    </row>
    <row r="7218" ht="15" customHeight="1" s="104">
      <c r="BA7218" s="201" t="n">
        <v>0</v>
      </c>
    </row>
    <row r="7219" ht="15" customHeight="1" s="104">
      <c r="BA7219" s="201" t="n">
        <v>0</v>
      </c>
    </row>
    <row r="7220" ht="15" customHeight="1" s="104">
      <c r="BA7220" s="201" t="n">
        <v>0</v>
      </c>
    </row>
    <row r="7221" ht="15" customHeight="1" s="104">
      <c r="BA7221" s="201" t="n">
        <v>0</v>
      </c>
    </row>
    <row r="7222" ht="15" customHeight="1" s="104">
      <c r="BA7222" s="201" t="n">
        <v>0</v>
      </c>
    </row>
    <row r="7223" ht="15" customHeight="1" s="104">
      <c r="BA7223" s="201" t="n">
        <v>0</v>
      </c>
    </row>
    <row r="7224" ht="15" customHeight="1" s="104">
      <c r="BA7224" s="201" t="n">
        <v>0</v>
      </c>
    </row>
    <row r="7225" ht="15" customHeight="1" s="104">
      <c r="BA7225" s="201" t="n">
        <v>0</v>
      </c>
    </row>
    <row r="7226" ht="15" customHeight="1" s="104">
      <c r="BA7226" s="201" t="n">
        <v>0</v>
      </c>
    </row>
    <row r="7227" ht="15" customHeight="1" s="104">
      <c r="BA7227" s="201" t="n">
        <v>0</v>
      </c>
    </row>
    <row r="7228" ht="15" customHeight="1" s="104">
      <c r="BA7228" s="201" t="n">
        <v>0</v>
      </c>
    </row>
    <row r="7229" ht="15" customHeight="1" s="104">
      <c r="BA7229" s="201" t="n">
        <v>0</v>
      </c>
    </row>
    <row r="7230" ht="15" customHeight="1" s="104">
      <c r="BA7230" s="201" t="n">
        <v>0</v>
      </c>
    </row>
    <row r="7231" ht="15" customHeight="1" s="104">
      <c r="BA7231" s="201" t="n">
        <v>0</v>
      </c>
    </row>
    <row r="7232" ht="15" customHeight="1" s="104">
      <c r="BA7232" s="201" t="n">
        <v>0</v>
      </c>
    </row>
    <row r="7233" ht="15" customHeight="1" s="104">
      <c r="BA7233" s="201" t="n">
        <v>0</v>
      </c>
    </row>
    <row r="7234" ht="15" customHeight="1" s="104">
      <c r="BA7234" s="201" t="n">
        <v>0</v>
      </c>
    </row>
    <row r="7235" ht="15" customHeight="1" s="104">
      <c r="BA7235" s="201" t="n">
        <v>0</v>
      </c>
    </row>
    <row r="7236" ht="15" customHeight="1" s="104">
      <c r="BA7236" s="201" t="n">
        <v>0</v>
      </c>
    </row>
    <row r="7237" ht="15" customHeight="1" s="104">
      <c r="BA7237" s="201" t="n">
        <v>0</v>
      </c>
    </row>
    <row r="7238" ht="15" customHeight="1" s="104">
      <c r="BA7238" s="201" t="n">
        <v>0</v>
      </c>
    </row>
    <row r="7239" ht="15" customHeight="1" s="104">
      <c r="BA7239" s="201" t="n">
        <v>0</v>
      </c>
    </row>
    <row r="7240" ht="15" customHeight="1" s="104">
      <c r="BA7240" s="201" t="n">
        <v>0</v>
      </c>
    </row>
    <row r="7241" ht="15" customHeight="1" s="104">
      <c r="BA7241" s="201" t="n">
        <v>0</v>
      </c>
    </row>
    <row r="7242" ht="15" customHeight="1" s="104">
      <c r="BA7242" s="201" t="n">
        <v>0</v>
      </c>
    </row>
    <row r="7243" ht="15" customHeight="1" s="104">
      <c r="BA7243" s="201" t="n">
        <v>0</v>
      </c>
    </row>
    <row r="7244" ht="15" customHeight="1" s="104">
      <c r="BA7244" s="201" t="n">
        <v>0</v>
      </c>
    </row>
    <row r="7245" ht="15" customHeight="1" s="104">
      <c r="BA7245" s="201" t="n">
        <v>0</v>
      </c>
    </row>
    <row r="7246" ht="15" customHeight="1" s="104">
      <c r="BA7246" s="201" t="n">
        <v>0</v>
      </c>
    </row>
    <row r="7247" ht="15" customHeight="1" s="104">
      <c r="BA7247" s="201" t="n">
        <v>0</v>
      </c>
    </row>
    <row r="7248" ht="15" customHeight="1" s="104">
      <c r="BA7248" s="201" t="n">
        <v>0</v>
      </c>
    </row>
    <row r="7249" ht="15" customHeight="1" s="104">
      <c r="BA7249" s="201" t="n">
        <v>0</v>
      </c>
    </row>
    <row r="7250" ht="15" customHeight="1" s="104">
      <c r="BA7250" s="201" t="n">
        <v>0</v>
      </c>
    </row>
    <row r="7251" ht="15" customHeight="1" s="104">
      <c r="BA7251" s="201" t="n">
        <v>0</v>
      </c>
    </row>
    <row r="7252" ht="15" customHeight="1" s="104">
      <c r="BA7252" s="201" t="n">
        <v>0</v>
      </c>
    </row>
    <row r="7253" ht="15" customHeight="1" s="104">
      <c r="BA7253" s="201" t="n">
        <v>0</v>
      </c>
    </row>
    <row r="7254" ht="15" customHeight="1" s="104">
      <c r="BA7254" s="201" t="n">
        <v>0</v>
      </c>
    </row>
    <row r="7255" ht="15" customHeight="1" s="104">
      <c r="BA7255" s="201" t="n">
        <v>0</v>
      </c>
    </row>
    <row r="7256" ht="15" customHeight="1" s="104">
      <c r="BA7256" s="201" t="n">
        <v>0</v>
      </c>
    </row>
    <row r="7257" ht="15" customHeight="1" s="104">
      <c r="BA7257" s="201" t="n">
        <v>0</v>
      </c>
    </row>
    <row r="7258" ht="15" customHeight="1" s="104">
      <c r="BA7258" s="201" t="n">
        <v>0</v>
      </c>
    </row>
    <row r="7259" ht="15" customHeight="1" s="104">
      <c r="BA7259" s="201" t="n">
        <v>0</v>
      </c>
    </row>
    <row r="7260" ht="15" customHeight="1" s="104">
      <c r="BA7260" s="201" t="n">
        <v>0</v>
      </c>
    </row>
    <row r="7261" ht="15" customHeight="1" s="104">
      <c r="BA7261" s="201" t="n">
        <v>0</v>
      </c>
    </row>
    <row r="7262" ht="15" customHeight="1" s="104">
      <c r="BA7262" s="201" t="n">
        <v>0</v>
      </c>
    </row>
    <row r="7263" ht="15" customHeight="1" s="104">
      <c r="BA7263" s="201" t="n">
        <v>0</v>
      </c>
    </row>
    <row r="7264" ht="15" customHeight="1" s="104">
      <c r="BA7264" s="201" t="n">
        <v>0</v>
      </c>
    </row>
    <row r="7265" ht="15" customHeight="1" s="104">
      <c r="BA7265" s="201" t="n">
        <v>0</v>
      </c>
    </row>
    <row r="7266" ht="15" customHeight="1" s="104">
      <c r="BA7266" s="201" t="n">
        <v>0</v>
      </c>
    </row>
    <row r="7267" ht="15" customHeight="1" s="104">
      <c r="BA7267" s="201" t="n">
        <v>0</v>
      </c>
    </row>
    <row r="7268" ht="15" customHeight="1" s="104">
      <c r="BA7268" s="201" t="n">
        <v>0</v>
      </c>
    </row>
    <row r="7269" ht="15" customHeight="1" s="104">
      <c r="BA7269" s="201" t="n">
        <v>0</v>
      </c>
    </row>
    <row r="7270" ht="15" customHeight="1" s="104">
      <c r="BA7270" s="201" t="n">
        <v>0</v>
      </c>
    </row>
    <row r="7271" ht="15" customHeight="1" s="104">
      <c r="BA7271" s="201" t="n">
        <v>0</v>
      </c>
    </row>
    <row r="7272" ht="15" customHeight="1" s="104">
      <c r="BA7272" s="201" t="n">
        <v>0</v>
      </c>
    </row>
    <row r="7273" ht="15" customHeight="1" s="104">
      <c r="BA7273" s="201" t="n">
        <v>0</v>
      </c>
    </row>
    <row r="7274" ht="15" customHeight="1" s="104">
      <c r="BA7274" s="201" t="n">
        <v>0</v>
      </c>
    </row>
    <row r="7275" ht="15" customHeight="1" s="104">
      <c r="BA7275" s="201" t="n">
        <v>0</v>
      </c>
    </row>
    <row r="7276" ht="15" customHeight="1" s="104">
      <c r="BA7276" s="201" t="n">
        <v>0</v>
      </c>
    </row>
    <row r="7277" ht="15" customHeight="1" s="104">
      <c r="BA7277" s="201" t="n">
        <v>0</v>
      </c>
    </row>
    <row r="7278" ht="15" customHeight="1" s="104">
      <c r="BA7278" s="201" t="n">
        <v>0</v>
      </c>
    </row>
    <row r="7279" ht="15" customHeight="1" s="104">
      <c r="BA7279" s="201" t="n">
        <v>0</v>
      </c>
    </row>
    <row r="7280" ht="15" customHeight="1" s="104">
      <c r="BA7280" s="201" t="n">
        <v>0</v>
      </c>
    </row>
    <row r="7281" ht="15" customHeight="1" s="104">
      <c r="BA7281" s="201" t="n">
        <v>0</v>
      </c>
    </row>
    <row r="7282" ht="15" customHeight="1" s="104">
      <c r="BA7282" s="201" t="n">
        <v>0</v>
      </c>
    </row>
    <row r="7283" ht="15" customHeight="1" s="104">
      <c r="BA7283" s="201" t="n">
        <v>0</v>
      </c>
    </row>
    <row r="7284" ht="15" customHeight="1" s="104">
      <c r="BA7284" s="201" t="n">
        <v>0</v>
      </c>
    </row>
    <row r="7285" ht="15" customHeight="1" s="104">
      <c r="BA7285" s="201" t="n">
        <v>0</v>
      </c>
    </row>
    <row r="7286" ht="15" customHeight="1" s="104">
      <c r="BA7286" s="201" t="n">
        <v>0</v>
      </c>
    </row>
    <row r="7287" ht="15" customHeight="1" s="104">
      <c r="BA7287" s="201" t="n">
        <v>0</v>
      </c>
    </row>
    <row r="7288" ht="15" customHeight="1" s="104">
      <c r="BA7288" s="201" t="n">
        <v>0</v>
      </c>
    </row>
    <row r="7289" ht="15" customHeight="1" s="104">
      <c r="BA7289" s="201" t="n">
        <v>0</v>
      </c>
    </row>
    <row r="7290" ht="15" customHeight="1" s="104">
      <c r="BA7290" s="201" t="n">
        <v>0</v>
      </c>
    </row>
    <row r="7291" ht="15" customHeight="1" s="104">
      <c r="BA7291" s="201" t="n">
        <v>0</v>
      </c>
    </row>
    <row r="7292" ht="15" customHeight="1" s="104">
      <c r="BA7292" s="201" t="n">
        <v>0</v>
      </c>
    </row>
    <row r="7293" ht="15" customHeight="1" s="104">
      <c r="BA7293" s="201" t="n">
        <v>0</v>
      </c>
    </row>
    <row r="7294" ht="15" customHeight="1" s="104">
      <c r="BA7294" s="201" t="n">
        <v>0</v>
      </c>
    </row>
    <row r="7295" ht="15" customHeight="1" s="104">
      <c r="BA7295" s="201" t="n">
        <v>0</v>
      </c>
    </row>
    <row r="7296" ht="15" customHeight="1" s="104">
      <c r="BA7296" s="201" t="n">
        <v>0</v>
      </c>
    </row>
    <row r="7297" ht="15" customHeight="1" s="104">
      <c r="BA7297" s="201" t="n">
        <v>0</v>
      </c>
    </row>
    <row r="7298" ht="15" customHeight="1" s="104">
      <c r="BA7298" s="201" t="n">
        <v>0</v>
      </c>
    </row>
    <row r="7299" ht="15" customHeight="1" s="104">
      <c r="BA7299" s="201" t="n">
        <v>0</v>
      </c>
    </row>
    <row r="7300" ht="15" customHeight="1" s="104">
      <c r="BA7300" s="201" t="n">
        <v>0</v>
      </c>
    </row>
    <row r="7301" ht="15" customHeight="1" s="104">
      <c r="BA7301" s="201" t="n">
        <v>0</v>
      </c>
    </row>
    <row r="7302" ht="15" customHeight="1" s="104">
      <c r="BA7302" s="201" t="n">
        <v>0</v>
      </c>
    </row>
    <row r="7303" ht="15" customHeight="1" s="104">
      <c r="BA7303" s="201" t="n">
        <v>0</v>
      </c>
    </row>
    <row r="7304" ht="15" customHeight="1" s="104">
      <c r="BA7304" s="201" t="n">
        <v>0</v>
      </c>
    </row>
    <row r="7305" ht="15" customHeight="1" s="104">
      <c r="BA7305" s="201" t="n">
        <v>0</v>
      </c>
    </row>
    <row r="7306" ht="15" customHeight="1" s="104">
      <c r="BA7306" s="201" t="n">
        <v>0</v>
      </c>
    </row>
    <row r="7307" ht="15" customHeight="1" s="104">
      <c r="BA7307" s="201" t="n">
        <v>0</v>
      </c>
    </row>
    <row r="7308" ht="15" customHeight="1" s="104">
      <c r="BA7308" s="201" t="n">
        <v>0</v>
      </c>
    </row>
    <row r="7309" ht="15" customHeight="1" s="104">
      <c r="BA7309" s="201" t="n">
        <v>0</v>
      </c>
    </row>
    <row r="7310" ht="15" customHeight="1" s="104">
      <c r="BA7310" s="201" t="n">
        <v>0</v>
      </c>
    </row>
    <row r="7311" ht="15" customHeight="1" s="104">
      <c r="BA7311" s="201" t="n">
        <v>0</v>
      </c>
    </row>
    <row r="7312" ht="15" customHeight="1" s="104">
      <c r="BA7312" s="201" t="n">
        <v>0</v>
      </c>
    </row>
    <row r="7313" ht="15" customHeight="1" s="104">
      <c r="BA7313" s="201" t="n">
        <v>0</v>
      </c>
    </row>
    <row r="7314" ht="15" customHeight="1" s="104">
      <c r="BA7314" s="201" t="n">
        <v>0</v>
      </c>
    </row>
    <row r="7315" ht="15" customHeight="1" s="104">
      <c r="BA7315" s="201" t="n">
        <v>0</v>
      </c>
    </row>
    <row r="7316" ht="15" customHeight="1" s="104">
      <c r="BA7316" s="201" t="n">
        <v>0</v>
      </c>
    </row>
    <row r="7317" ht="15" customHeight="1" s="104">
      <c r="BA7317" s="201" t="n">
        <v>0</v>
      </c>
    </row>
    <row r="7318" ht="15" customHeight="1" s="104">
      <c r="BA7318" s="201" t="n">
        <v>0</v>
      </c>
    </row>
    <row r="7319" ht="15" customHeight="1" s="104">
      <c r="BA7319" s="201" t="n">
        <v>0</v>
      </c>
    </row>
    <row r="7320" ht="15" customHeight="1" s="104">
      <c r="BA7320" s="201" t="n">
        <v>0</v>
      </c>
    </row>
    <row r="7321" ht="15" customHeight="1" s="104">
      <c r="BA7321" s="201" t="n">
        <v>0</v>
      </c>
    </row>
    <row r="7322" ht="15" customHeight="1" s="104">
      <c r="BA7322" s="201" t="n">
        <v>0</v>
      </c>
    </row>
    <row r="7323" ht="15" customHeight="1" s="104">
      <c r="BA7323" s="201" t="n">
        <v>0</v>
      </c>
    </row>
    <row r="7324" ht="15" customHeight="1" s="104">
      <c r="BA7324" s="201" t="n">
        <v>0</v>
      </c>
    </row>
    <row r="7325" ht="15" customHeight="1" s="104">
      <c r="BA7325" s="201" t="n">
        <v>0</v>
      </c>
    </row>
    <row r="7326" ht="15" customHeight="1" s="104">
      <c r="BA7326" s="201" t="n">
        <v>0</v>
      </c>
    </row>
    <row r="7327" ht="15" customHeight="1" s="104">
      <c r="BA7327" s="201" t="n">
        <v>0</v>
      </c>
    </row>
    <row r="7328" ht="15" customHeight="1" s="104">
      <c r="BA7328" s="201" t="n">
        <v>0</v>
      </c>
    </row>
    <row r="7329" ht="15" customHeight="1" s="104">
      <c r="BA7329" s="201" t="n">
        <v>0</v>
      </c>
    </row>
    <row r="7330" ht="15" customHeight="1" s="104">
      <c r="BA7330" s="201" t="n">
        <v>0</v>
      </c>
    </row>
    <row r="7331" ht="15" customHeight="1" s="104">
      <c r="BA7331" s="201" t="n">
        <v>0</v>
      </c>
    </row>
    <row r="7332" ht="15" customHeight="1" s="104">
      <c r="BA7332" s="201" t="n">
        <v>0</v>
      </c>
    </row>
    <row r="7333" ht="15" customHeight="1" s="104">
      <c r="BA7333" s="201" t="n">
        <v>0</v>
      </c>
    </row>
    <row r="7334" ht="15" customHeight="1" s="104">
      <c r="BA7334" s="201" t="n">
        <v>0</v>
      </c>
    </row>
    <row r="7335" ht="15" customHeight="1" s="104">
      <c r="BA7335" s="201" t="n">
        <v>0</v>
      </c>
    </row>
    <row r="7336" ht="15" customHeight="1" s="104">
      <c r="BA7336" s="201" t="n">
        <v>0</v>
      </c>
    </row>
    <row r="7337" ht="15" customHeight="1" s="104">
      <c r="BA7337" s="201" t="n">
        <v>0</v>
      </c>
    </row>
    <row r="7338" ht="15" customHeight="1" s="104">
      <c r="BA7338" s="201" t="n">
        <v>0</v>
      </c>
    </row>
    <row r="7339" ht="15" customHeight="1" s="104">
      <c r="BA7339" s="201" t="n">
        <v>0</v>
      </c>
    </row>
    <row r="7340" ht="15" customHeight="1" s="104">
      <c r="BA7340" s="201" t="n">
        <v>0</v>
      </c>
    </row>
    <row r="7341" ht="15" customHeight="1" s="104">
      <c r="BA7341" s="201" t="n">
        <v>0</v>
      </c>
    </row>
    <row r="7342" ht="15" customHeight="1" s="104">
      <c r="BA7342" s="201" t="n">
        <v>0</v>
      </c>
    </row>
    <row r="7343" ht="15" customHeight="1" s="104">
      <c r="BA7343" s="201" t="n">
        <v>0</v>
      </c>
    </row>
    <row r="7344" ht="15" customHeight="1" s="104">
      <c r="BA7344" s="201" t="n">
        <v>0</v>
      </c>
    </row>
    <row r="7345" ht="15" customHeight="1" s="104">
      <c r="BA7345" s="201" t="n">
        <v>0</v>
      </c>
    </row>
    <row r="7346" ht="15" customHeight="1" s="104">
      <c r="BA7346" s="201" t="n">
        <v>0</v>
      </c>
    </row>
    <row r="7347" ht="15" customHeight="1" s="104">
      <c r="BA7347" s="201" t="n">
        <v>0</v>
      </c>
    </row>
    <row r="7348" ht="15" customHeight="1" s="104">
      <c r="BA7348" s="201" t="n">
        <v>0</v>
      </c>
    </row>
    <row r="7349" ht="15" customHeight="1" s="104">
      <c r="BA7349" s="201" t="n">
        <v>0</v>
      </c>
    </row>
    <row r="7350" ht="15" customHeight="1" s="104">
      <c r="BA7350" s="201" t="n">
        <v>0</v>
      </c>
    </row>
    <row r="7351" ht="15" customHeight="1" s="104">
      <c r="BA7351" s="201" t="n">
        <v>0</v>
      </c>
    </row>
    <row r="7352" ht="15" customHeight="1" s="104">
      <c r="BA7352" s="201" t="n">
        <v>0</v>
      </c>
    </row>
    <row r="7353" ht="15" customHeight="1" s="104">
      <c r="BA7353" s="201" t="n">
        <v>0</v>
      </c>
    </row>
    <row r="7354" ht="15" customHeight="1" s="104">
      <c r="BA7354" s="201" t="n">
        <v>0</v>
      </c>
    </row>
    <row r="7355" ht="15" customHeight="1" s="104">
      <c r="BA7355" s="201" t="n">
        <v>0</v>
      </c>
    </row>
    <row r="7356" ht="15" customHeight="1" s="104">
      <c r="BA7356" s="201" t="n">
        <v>0</v>
      </c>
    </row>
    <row r="7357" ht="15" customHeight="1" s="104">
      <c r="BA7357" s="201" t="n">
        <v>0</v>
      </c>
    </row>
    <row r="7358" ht="15" customHeight="1" s="104">
      <c r="BA7358" s="201" t="n">
        <v>0</v>
      </c>
    </row>
    <row r="7359" ht="15" customHeight="1" s="104">
      <c r="BA7359" s="201" t="n">
        <v>0</v>
      </c>
    </row>
    <row r="7360" ht="15" customHeight="1" s="104">
      <c r="BA7360" s="201" t="n">
        <v>0</v>
      </c>
    </row>
    <row r="7361" ht="15" customHeight="1" s="104">
      <c r="BA7361" s="201" t="n">
        <v>0</v>
      </c>
    </row>
    <row r="7362" ht="15" customHeight="1" s="104">
      <c r="BA7362" s="201" t="n">
        <v>0</v>
      </c>
    </row>
    <row r="7363" ht="15" customHeight="1" s="104">
      <c r="BA7363" s="201" t="n">
        <v>0</v>
      </c>
    </row>
    <row r="7364" ht="15" customHeight="1" s="104">
      <c r="BA7364" s="201" t="n">
        <v>0</v>
      </c>
    </row>
    <row r="7365" ht="15" customHeight="1" s="104">
      <c r="BA7365" s="201" t="n">
        <v>0</v>
      </c>
    </row>
    <row r="7366" ht="15" customHeight="1" s="104">
      <c r="BA7366" s="201" t="n">
        <v>0</v>
      </c>
    </row>
    <row r="7367" ht="15" customHeight="1" s="104">
      <c r="BA7367" s="201" t="n">
        <v>0</v>
      </c>
    </row>
    <row r="7368" ht="15" customHeight="1" s="104">
      <c r="BA7368" s="201" t="n">
        <v>0</v>
      </c>
    </row>
    <row r="7369" ht="15" customHeight="1" s="104">
      <c r="BA7369" s="201" t="n">
        <v>0</v>
      </c>
    </row>
    <row r="7370" ht="15" customHeight="1" s="104">
      <c r="BA7370" s="201" t="n">
        <v>0</v>
      </c>
    </row>
    <row r="7371" ht="15" customHeight="1" s="104">
      <c r="BA7371" s="201" t="n">
        <v>0</v>
      </c>
    </row>
    <row r="7372" ht="15" customHeight="1" s="104">
      <c r="BA7372" s="201" t="n">
        <v>0</v>
      </c>
    </row>
    <row r="7373" ht="15" customHeight="1" s="104">
      <c r="BA7373" s="201" t="n">
        <v>0</v>
      </c>
    </row>
    <row r="7374" ht="15" customHeight="1" s="104">
      <c r="BA7374" s="201" t="n">
        <v>0</v>
      </c>
    </row>
    <row r="7375" ht="15" customHeight="1" s="104">
      <c r="BA7375" s="201" t="n">
        <v>0</v>
      </c>
    </row>
    <row r="7376" ht="15" customHeight="1" s="104">
      <c r="BA7376" s="201" t="n">
        <v>0</v>
      </c>
    </row>
    <row r="7377" ht="15" customHeight="1" s="104">
      <c r="BA7377" s="201" t="n">
        <v>0</v>
      </c>
    </row>
    <row r="7378" ht="15" customHeight="1" s="104">
      <c r="BA7378" s="201" t="n">
        <v>0</v>
      </c>
    </row>
    <row r="7379" ht="15" customHeight="1" s="104">
      <c r="BA7379" s="201" t="n">
        <v>0</v>
      </c>
    </row>
    <row r="7380" ht="15" customHeight="1" s="104">
      <c r="BA7380" s="201" t="n">
        <v>0</v>
      </c>
    </row>
    <row r="7381" ht="15" customHeight="1" s="104">
      <c r="BA7381" s="201" t="n">
        <v>0</v>
      </c>
    </row>
    <row r="7382" ht="15" customHeight="1" s="104">
      <c r="BA7382" s="201" t="n">
        <v>0</v>
      </c>
    </row>
    <row r="7383" ht="15" customHeight="1" s="104">
      <c r="BA7383" s="201" t="n">
        <v>0</v>
      </c>
    </row>
    <row r="7384" ht="15" customHeight="1" s="104">
      <c r="BA7384" s="201" t="n">
        <v>0</v>
      </c>
    </row>
    <row r="7385" ht="15" customHeight="1" s="104">
      <c r="BA7385" s="201" t="n">
        <v>0</v>
      </c>
    </row>
    <row r="7386" ht="15" customHeight="1" s="104">
      <c r="BA7386" s="201" t="n">
        <v>0</v>
      </c>
    </row>
    <row r="7387" ht="15" customHeight="1" s="104">
      <c r="BA7387" s="201" t="n">
        <v>0</v>
      </c>
    </row>
    <row r="7388" ht="15" customHeight="1" s="104">
      <c r="BA7388" s="201" t="n">
        <v>0</v>
      </c>
    </row>
    <row r="7389" ht="15" customHeight="1" s="104">
      <c r="BA7389" s="201" t="n">
        <v>0</v>
      </c>
    </row>
    <row r="7390" ht="15" customHeight="1" s="104">
      <c r="BA7390" s="201" t="n">
        <v>0</v>
      </c>
    </row>
    <row r="7391" ht="15" customHeight="1" s="104">
      <c r="BA7391" s="201" t="n">
        <v>0</v>
      </c>
    </row>
    <row r="7392" ht="15" customHeight="1" s="104">
      <c r="BA7392" s="201" t="n">
        <v>0</v>
      </c>
    </row>
    <row r="7393" ht="15" customHeight="1" s="104">
      <c r="BA7393" s="201" t="n">
        <v>0</v>
      </c>
    </row>
    <row r="7394" ht="15" customHeight="1" s="104">
      <c r="BA7394" s="201" t="n">
        <v>0</v>
      </c>
    </row>
    <row r="7395" ht="15" customHeight="1" s="104">
      <c r="BA7395" s="201" t="n">
        <v>0</v>
      </c>
    </row>
    <row r="7396" ht="15" customHeight="1" s="104">
      <c r="BA7396" s="201" t="n">
        <v>0</v>
      </c>
    </row>
    <row r="7397" ht="15" customHeight="1" s="104">
      <c r="BA7397" s="201" t="n">
        <v>0</v>
      </c>
    </row>
    <row r="7398" ht="15" customHeight="1" s="104">
      <c r="BA7398" s="201" t="n">
        <v>0</v>
      </c>
    </row>
    <row r="7399" ht="15" customHeight="1" s="104">
      <c r="BA7399" s="201" t="n">
        <v>0</v>
      </c>
    </row>
    <row r="7400" ht="15" customHeight="1" s="104">
      <c r="BA7400" s="201" t="n">
        <v>0</v>
      </c>
    </row>
    <row r="7401" ht="15" customHeight="1" s="104">
      <c r="BA7401" s="201" t="n">
        <v>0</v>
      </c>
    </row>
    <row r="7402" ht="15" customHeight="1" s="104">
      <c r="BA7402" s="201" t="n">
        <v>0</v>
      </c>
    </row>
    <row r="7403" ht="15" customHeight="1" s="104">
      <c r="BA7403" s="201" t="n">
        <v>0</v>
      </c>
    </row>
    <row r="7404" ht="15" customHeight="1" s="104">
      <c r="BA7404" s="201" t="n">
        <v>0</v>
      </c>
    </row>
    <row r="7405" ht="15" customHeight="1" s="104">
      <c r="BA7405" s="201" t="n">
        <v>0</v>
      </c>
    </row>
    <row r="7406" ht="15" customHeight="1" s="104">
      <c r="BA7406" s="201" t="n">
        <v>0</v>
      </c>
    </row>
    <row r="7407" ht="15" customHeight="1" s="104">
      <c r="BA7407" s="201" t="n">
        <v>0</v>
      </c>
    </row>
    <row r="7408" ht="15" customHeight="1" s="104">
      <c r="BA7408" s="201" t="n">
        <v>0</v>
      </c>
    </row>
    <row r="7409" ht="15" customHeight="1" s="104">
      <c r="BA7409" s="201" t="n">
        <v>0</v>
      </c>
    </row>
    <row r="7410" ht="15" customHeight="1" s="104">
      <c r="BA7410" s="201" t="n">
        <v>0</v>
      </c>
    </row>
    <row r="7411" ht="15" customHeight="1" s="104">
      <c r="BA7411" s="201" t="n">
        <v>0</v>
      </c>
    </row>
    <row r="7412" ht="15" customHeight="1" s="104">
      <c r="BA7412" s="201" t="n">
        <v>0</v>
      </c>
    </row>
    <row r="7413" ht="15" customHeight="1" s="104">
      <c r="BA7413" s="201" t="n">
        <v>0</v>
      </c>
    </row>
    <row r="7414" ht="15" customHeight="1" s="104">
      <c r="BA7414" s="201" t="n">
        <v>0</v>
      </c>
    </row>
    <row r="7415" ht="15" customHeight="1" s="104">
      <c r="BA7415" s="201" t="n">
        <v>0</v>
      </c>
    </row>
    <row r="7416" ht="15" customHeight="1" s="104">
      <c r="BA7416" s="201" t="n">
        <v>0</v>
      </c>
    </row>
    <row r="7417" ht="15" customHeight="1" s="104">
      <c r="BA7417" s="201" t="n">
        <v>0</v>
      </c>
    </row>
    <row r="7418" ht="15" customHeight="1" s="104">
      <c r="BA7418" s="201" t="n">
        <v>0</v>
      </c>
    </row>
    <row r="7419" ht="15" customHeight="1" s="104">
      <c r="BA7419" s="201" t="n">
        <v>0</v>
      </c>
    </row>
    <row r="7420" ht="15" customHeight="1" s="104">
      <c r="BA7420" s="201" t="n">
        <v>0</v>
      </c>
    </row>
    <row r="7421" ht="15" customHeight="1" s="104">
      <c r="BA7421" s="201" t="n">
        <v>0</v>
      </c>
    </row>
    <row r="7422" ht="15" customHeight="1" s="104">
      <c r="BA7422" s="201" t="n">
        <v>0</v>
      </c>
    </row>
    <row r="7423" ht="15" customHeight="1" s="104">
      <c r="BA7423" s="201" t="n">
        <v>0</v>
      </c>
    </row>
    <row r="7424" ht="15" customHeight="1" s="104">
      <c r="BA7424" s="201" t="n">
        <v>0</v>
      </c>
    </row>
    <row r="7425" ht="15" customHeight="1" s="104">
      <c r="BA7425" s="201" t="n">
        <v>0</v>
      </c>
    </row>
    <row r="7426" ht="15" customHeight="1" s="104">
      <c r="BA7426" s="201" t="n">
        <v>0</v>
      </c>
    </row>
    <row r="7427" ht="15" customHeight="1" s="104">
      <c r="BA7427" s="201" t="n">
        <v>0</v>
      </c>
    </row>
    <row r="7428" ht="15" customHeight="1" s="104">
      <c r="BA7428" s="201" t="n">
        <v>0</v>
      </c>
    </row>
    <row r="7429" ht="15" customHeight="1" s="104">
      <c r="BA7429" s="201" t="n">
        <v>0</v>
      </c>
    </row>
    <row r="7430" ht="15" customHeight="1" s="104">
      <c r="BA7430" s="201" t="n">
        <v>0</v>
      </c>
    </row>
    <row r="7431" ht="15" customHeight="1" s="104">
      <c r="BA7431" s="201" t="n">
        <v>0</v>
      </c>
    </row>
    <row r="7432" ht="15" customHeight="1" s="104">
      <c r="BA7432" s="201" t="n">
        <v>0</v>
      </c>
    </row>
    <row r="7433" ht="15" customHeight="1" s="104">
      <c r="BA7433" s="201" t="n">
        <v>0</v>
      </c>
    </row>
    <row r="7434" ht="15" customHeight="1" s="104">
      <c r="BA7434" s="201" t="n">
        <v>0</v>
      </c>
    </row>
    <row r="7435" ht="15" customHeight="1" s="104">
      <c r="BA7435" s="201" t="n">
        <v>0</v>
      </c>
    </row>
    <row r="7436" ht="15" customHeight="1" s="104">
      <c r="BA7436" s="201" t="n">
        <v>0</v>
      </c>
    </row>
    <row r="7437" ht="15" customHeight="1" s="104">
      <c r="BA7437" s="201" t="n">
        <v>0</v>
      </c>
    </row>
    <row r="7438" ht="15" customHeight="1" s="104">
      <c r="BA7438" s="201" t="n">
        <v>0</v>
      </c>
    </row>
    <row r="7439" ht="15" customHeight="1" s="104">
      <c r="BA7439" s="201" t="n">
        <v>0</v>
      </c>
    </row>
    <row r="7440" ht="15" customHeight="1" s="104">
      <c r="BA7440" s="201" t="n">
        <v>0</v>
      </c>
    </row>
    <row r="7441" ht="15" customHeight="1" s="104">
      <c r="BA7441" s="201" t="n">
        <v>0</v>
      </c>
    </row>
    <row r="7442" ht="15" customHeight="1" s="104">
      <c r="BA7442" s="201" t="n">
        <v>0</v>
      </c>
    </row>
    <row r="7443" ht="15" customHeight="1" s="104">
      <c r="BA7443" s="201" t="n">
        <v>0</v>
      </c>
    </row>
    <row r="7444" ht="15" customHeight="1" s="104">
      <c r="BA7444" s="201" t="n">
        <v>0</v>
      </c>
    </row>
    <row r="7445" ht="15" customHeight="1" s="104">
      <c r="BA7445" s="201" t="n">
        <v>0</v>
      </c>
    </row>
    <row r="7446" ht="15" customHeight="1" s="104">
      <c r="BA7446" s="201" t="n">
        <v>0</v>
      </c>
    </row>
    <row r="7447" ht="15" customHeight="1" s="104">
      <c r="BA7447" s="201" t="n">
        <v>0</v>
      </c>
    </row>
    <row r="7448" ht="15" customHeight="1" s="104">
      <c r="BA7448" s="201" t="n">
        <v>0</v>
      </c>
    </row>
    <row r="7449" ht="15" customHeight="1" s="104">
      <c r="BA7449" s="201" t="n">
        <v>0</v>
      </c>
    </row>
    <row r="7450" ht="15" customHeight="1" s="104">
      <c r="BA7450" s="201" t="n">
        <v>0</v>
      </c>
    </row>
    <row r="7451" ht="15" customHeight="1" s="104">
      <c r="BA7451" s="201" t="n">
        <v>0</v>
      </c>
    </row>
    <row r="7452" ht="15" customHeight="1" s="104">
      <c r="BA7452" s="201" t="n">
        <v>0</v>
      </c>
    </row>
    <row r="7453" ht="15" customHeight="1" s="104">
      <c r="BA7453" s="201" t="n">
        <v>0</v>
      </c>
    </row>
    <row r="7454" ht="15" customHeight="1" s="104">
      <c r="BA7454" s="201" t="n">
        <v>0</v>
      </c>
    </row>
    <row r="7455" ht="15" customHeight="1" s="104">
      <c r="BA7455" s="201" t="n">
        <v>0</v>
      </c>
    </row>
    <row r="7456" ht="15" customHeight="1" s="104">
      <c r="BA7456" s="201" t="n">
        <v>0</v>
      </c>
    </row>
    <row r="7457" ht="15" customHeight="1" s="104">
      <c r="BA7457" s="201" t="n">
        <v>0</v>
      </c>
    </row>
    <row r="7458" ht="15" customHeight="1" s="104">
      <c r="BA7458" s="201" t="n">
        <v>0</v>
      </c>
    </row>
    <row r="7459" ht="15" customHeight="1" s="104">
      <c r="BA7459" s="201" t="n">
        <v>0</v>
      </c>
    </row>
    <row r="7460" ht="15" customHeight="1" s="104">
      <c r="BA7460" s="201" t="n">
        <v>0</v>
      </c>
    </row>
    <row r="7461" ht="15" customHeight="1" s="104">
      <c r="BA7461" s="201" t="n">
        <v>0</v>
      </c>
    </row>
    <row r="7462" ht="15" customHeight="1" s="104">
      <c r="BA7462" s="201" t="n">
        <v>0</v>
      </c>
    </row>
    <row r="7463" ht="15" customHeight="1" s="104">
      <c r="BA7463" s="201" t="n">
        <v>0</v>
      </c>
    </row>
    <row r="7464" ht="15" customHeight="1" s="104">
      <c r="BA7464" s="201" t="n">
        <v>0</v>
      </c>
    </row>
    <row r="7465" ht="15" customHeight="1" s="104">
      <c r="BA7465" s="201" t="n">
        <v>0</v>
      </c>
    </row>
    <row r="7466" ht="15" customHeight="1" s="104">
      <c r="BA7466" s="201" t="n">
        <v>0</v>
      </c>
    </row>
    <row r="7467" ht="15" customHeight="1" s="104">
      <c r="BA7467" s="201" t="n">
        <v>0</v>
      </c>
    </row>
    <row r="7468" ht="15" customHeight="1" s="104">
      <c r="BA7468" s="201" t="n">
        <v>0</v>
      </c>
    </row>
    <row r="7469" ht="15" customHeight="1" s="104">
      <c r="BA7469" s="201" t="n">
        <v>0</v>
      </c>
    </row>
    <row r="7470" ht="15" customHeight="1" s="104">
      <c r="BA7470" s="201" t="n">
        <v>0</v>
      </c>
    </row>
    <row r="7471" ht="15" customHeight="1" s="104">
      <c r="BA7471" s="201" t="n">
        <v>0</v>
      </c>
    </row>
    <row r="7472" ht="15" customHeight="1" s="104">
      <c r="BA7472" s="201" t="n">
        <v>0</v>
      </c>
    </row>
    <row r="7473" ht="15" customHeight="1" s="104">
      <c r="BA7473" s="201" t="n">
        <v>0</v>
      </c>
    </row>
    <row r="7474" ht="15" customHeight="1" s="104">
      <c r="BA7474" s="201" t="n">
        <v>0</v>
      </c>
    </row>
    <row r="7475" ht="15" customHeight="1" s="104">
      <c r="BA7475" s="201" t="n">
        <v>0</v>
      </c>
    </row>
    <row r="7476" ht="15" customHeight="1" s="104">
      <c r="BA7476" s="201" t="n">
        <v>0</v>
      </c>
    </row>
    <row r="7477" ht="15" customHeight="1" s="104">
      <c r="BA7477" s="201" t="n">
        <v>0</v>
      </c>
    </row>
    <row r="7478" ht="15" customHeight="1" s="104">
      <c r="BA7478" s="201" t="n">
        <v>0</v>
      </c>
    </row>
    <row r="7479" ht="15" customHeight="1" s="104">
      <c r="BA7479" s="201" t="n">
        <v>0</v>
      </c>
    </row>
    <row r="7480" ht="15" customHeight="1" s="104">
      <c r="BA7480" s="201" t="n">
        <v>0</v>
      </c>
    </row>
    <row r="7481" ht="15" customHeight="1" s="104">
      <c r="BA7481" s="201" t="n">
        <v>0</v>
      </c>
    </row>
    <row r="7482" ht="15" customHeight="1" s="104">
      <c r="BA7482" s="201" t="n">
        <v>0</v>
      </c>
    </row>
    <row r="7483" ht="15" customHeight="1" s="104">
      <c r="BA7483" s="201" t="n">
        <v>0</v>
      </c>
    </row>
    <row r="7484" ht="15" customHeight="1" s="104">
      <c r="BA7484" s="201" t="n">
        <v>0</v>
      </c>
    </row>
    <row r="7485" ht="15" customHeight="1" s="104">
      <c r="BA7485" s="201" t="n">
        <v>0</v>
      </c>
    </row>
    <row r="7486" ht="15" customHeight="1" s="104">
      <c r="BA7486" s="201" t="n">
        <v>0</v>
      </c>
    </row>
    <row r="7487" ht="15" customHeight="1" s="104">
      <c r="BA7487" s="201" t="n">
        <v>0</v>
      </c>
    </row>
    <row r="7488" ht="15" customHeight="1" s="104">
      <c r="BA7488" s="201" t="n">
        <v>0</v>
      </c>
    </row>
    <row r="7489" ht="15" customHeight="1" s="104">
      <c r="BA7489" s="201" t="n">
        <v>0</v>
      </c>
    </row>
    <row r="7490" ht="15" customHeight="1" s="104">
      <c r="BA7490" s="201" t="n">
        <v>0</v>
      </c>
    </row>
    <row r="7491" ht="15" customHeight="1" s="104">
      <c r="BA7491" s="201" t="n">
        <v>0</v>
      </c>
    </row>
    <row r="7492" ht="15" customHeight="1" s="104">
      <c r="BA7492" s="201" t="n">
        <v>0</v>
      </c>
    </row>
    <row r="7493" ht="15" customHeight="1" s="104">
      <c r="BA7493" s="201" t="n">
        <v>0</v>
      </c>
    </row>
    <row r="7494" ht="15" customHeight="1" s="104">
      <c r="BA7494" s="201" t="n">
        <v>0</v>
      </c>
    </row>
    <row r="7495" ht="15" customHeight="1" s="104">
      <c r="BA7495" s="201" t="n">
        <v>0</v>
      </c>
    </row>
    <row r="7496" ht="15" customHeight="1" s="104">
      <c r="BA7496" s="201" t="n">
        <v>0</v>
      </c>
    </row>
    <row r="7497" ht="15" customHeight="1" s="104">
      <c r="BA7497" s="201" t="n">
        <v>0</v>
      </c>
    </row>
    <row r="7498" ht="15" customHeight="1" s="104">
      <c r="BA7498" s="201" t="n">
        <v>0</v>
      </c>
    </row>
    <row r="7499" ht="15" customHeight="1" s="104">
      <c r="BA7499" s="201" t="n">
        <v>0</v>
      </c>
    </row>
    <row r="7500" ht="15" customHeight="1" s="104">
      <c r="BA7500" s="201" t="n">
        <v>0</v>
      </c>
    </row>
    <row r="7501" ht="15" customHeight="1" s="104">
      <c r="BA7501" s="201" t="n">
        <v>0</v>
      </c>
    </row>
    <row r="7502" ht="15" customHeight="1" s="104">
      <c r="BA7502" s="201" t="n">
        <v>0</v>
      </c>
    </row>
    <row r="7503" ht="15" customHeight="1" s="104">
      <c r="BA7503" s="201" t="n">
        <v>0</v>
      </c>
    </row>
    <row r="7504" ht="15" customHeight="1" s="104">
      <c r="BA7504" s="201" t="n">
        <v>0</v>
      </c>
    </row>
    <row r="7505" ht="15" customHeight="1" s="104">
      <c r="BA7505" s="201" t="n">
        <v>0</v>
      </c>
    </row>
    <row r="7506" ht="15" customHeight="1" s="104">
      <c r="BA7506" s="201" t="n">
        <v>0</v>
      </c>
    </row>
    <row r="7507" ht="15" customHeight="1" s="104">
      <c r="BA7507" s="201" t="n">
        <v>0</v>
      </c>
    </row>
    <row r="7508" ht="15" customHeight="1" s="104">
      <c r="BA7508" s="201" t="n">
        <v>0</v>
      </c>
    </row>
    <row r="7509" ht="15" customHeight="1" s="104">
      <c r="BA7509" s="201" t="n">
        <v>0</v>
      </c>
    </row>
    <row r="7510" ht="15" customHeight="1" s="104">
      <c r="BA7510" s="201" t="n">
        <v>0</v>
      </c>
    </row>
    <row r="7511" ht="15" customHeight="1" s="104">
      <c r="BA7511" s="201" t="n">
        <v>0</v>
      </c>
    </row>
    <row r="7512" ht="15" customHeight="1" s="104">
      <c r="BA7512" s="201" t="n">
        <v>0</v>
      </c>
    </row>
    <row r="7513" ht="15" customHeight="1" s="104">
      <c r="BA7513" s="201" t="n">
        <v>0</v>
      </c>
    </row>
    <row r="7514" ht="15" customHeight="1" s="104">
      <c r="BA7514" s="201" t="n">
        <v>0</v>
      </c>
    </row>
    <row r="7515" ht="15" customHeight="1" s="104">
      <c r="BA7515" s="201" t="n">
        <v>0</v>
      </c>
    </row>
    <row r="7516" ht="15" customHeight="1" s="104">
      <c r="BA7516" s="201" t="n">
        <v>0</v>
      </c>
    </row>
    <row r="7517" ht="15" customHeight="1" s="104">
      <c r="BA7517" s="201" t="n">
        <v>0</v>
      </c>
    </row>
    <row r="7518" ht="15" customHeight="1" s="104">
      <c r="BA7518" s="201" t="n">
        <v>0</v>
      </c>
    </row>
    <row r="7519" ht="15" customHeight="1" s="104">
      <c r="BA7519" s="201" t="n">
        <v>0</v>
      </c>
    </row>
    <row r="7520" ht="15" customHeight="1" s="104">
      <c r="BA7520" s="201" t="n">
        <v>0</v>
      </c>
    </row>
    <row r="7521" ht="15" customHeight="1" s="104">
      <c r="BA7521" s="201" t="n">
        <v>0</v>
      </c>
    </row>
    <row r="7522" ht="15" customHeight="1" s="104">
      <c r="BA7522" s="201" t="n">
        <v>0</v>
      </c>
    </row>
    <row r="7523" ht="15" customHeight="1" s="104">
      <c r="BA7523" s="201" t="n">
        <v>0</v>
      </c>
    </row>
    <row r="7524" ht="15" customHeight="1" s="104">
      <c r="BA7524" s="201" t="n">
        <v>0</v>
      </c>
    </row>
    <row r="7525" ht="15" customHeight="1" s="104">
      <c r="BA7525" s="201" t="n">
        <v>0</v>
      </c>
    </row>
    <row r="7526" ht="15" customHeight="1" s="104">
      <c r="BA7526" s="201" t="n">
        <v>0</v>
      </c>
    </row>
    <row r="7527" ht="15" customHeight="1" s="104">
      <c r="BA7527" s="201" t="n">
        <v>0</v>
      </c>
    </row>
    <row r="7528" ht="15" customHeight="1" s="104">
      <c r="BA7528" s="201" t="n">
        <v>0</v>
      </c>
    </row>
    <row r="7529" ht="15" customHeight="1" s="104">
      <c r="BA7529" s="201" t="n">
        <v>0</v>
      </c>
    </row>
    <row r="7530" ht="15" customHeight="1" s="104">
      <c r="BA7530" s="201" t="n">
        <v>0</v>
      </c>
    </row>
    <row r="7531" ht="15" customHeight="1" s="104">
      <c r="BA7531" s="201" t="n">
        <v>0</v>
      </c>
    </row>
    <row r="7532" ht="15" customHeight="1" s="104">
      <c r="BA7532" s="201" t="n">
        <v>0</v>
      </c>
    </row>
    <row r="7533" ht="15" customHeight="1" s="104">
      <c r="BA7533" s="201" t="n">
        <v>0</v>
      </c>
    </row>
    <row r="7534" ht="15" customHeight="1" s="104">
      <c r="BA7534" s="201" t="n">
        <v>0</v>
      </c>
    </row>
    <row r="7535" ht="15" customHeight="1" s="104">
      <c r="BA7535" s="201" t="n">
        <v>0</v>
      </c>
    </row>
    <row r="7536" ht="15" customHeight="1" s="104">
      <c r="BA7536" s="201" t="n">
        <v>0</v>
      </c>
    </row>
    <row r="7537" ht="15" customHeight="1" s="104">
      <c r="BA7537" s="201" t="n">
        <v>0</v>
      </c>
    </row>
    <row r="7538" ht="15" customHeight="1" s="104">
      <c r="BA7538" s="201" t="n">
        <v>0</v>
      </c>
    </row>
    <row r="7539" ht="15" customHeight="1" s="104">
      <c r="BA7539" s="201" t="n">
        <v>0</v>
      </c>
    </row>
    <row r="7540" ht="15" customHeight="1" s="104">
      <c r="BA7540" s="201" t="n">
        <v>0</v>
      </c>
    </row>
    <row r="7541" ht="15" customHeight="1" s="104">
      <c r="BA7541" s="201" t="n">
        <v>0</v>
      </c>
    </row>
    <row r="7542" ht="15" customHeight="1" s="104">
      <c r="BA7542" s="201" t="n">
        <v>0</v>
      </c>
    </row>
    <row r="7543" ht="15" customHeight="1" s="104">
      <c r="BA7543" s="201" t="n">
        <v>0</v>
      </c>
    </row>
    <row r="7544" ht="15" customHeight="1" s="104">
      <c r="BA7544" s="201" t="n">
        <v>0</v>
      </c>
    </row>
    <row r="7545" ht="15" customHeight="1" s="104">
      <c r="BA7545" s="201" t="n">
        <v>0</v>
      </c>
    </row>
    <row r="7546" ht="15" customHeight="1" s="104">
      <c r="BA7546" s="201" t="n">
        <v>0</v>
      </c>
    </row>
    <row r="7547" ht="15" customHeight="1" s="104">
      <c r="BA7547" s="201" t="n">
        <v>0</v>
      </c>
    </row>
    <row r="7548" ht="15" customHeight="1" s="104">
      <c r="BA7548" s="201" t="n">
        <v>0</v>
      </c>
    </row>
    <row r="7549" ht="15" customHeight="1" s="104">
      <c r="BA7549" s="201" t="n">
        <v>0</v>
      </c>
    </row>
    <row r="7550" ht="15" customHeight="1" s="104">
      <c r="BA7550" s="201" t="n">
        <v>0</v>
      </c>
    </row>
    <row r="7551" ht="15" customHeight="1" s="104">
      <c r="BA7551" s="201" t="n">
        <v>0</v>
      </c>
    </row>
    <row r="7552" ht="15" customHeight="1" s="104">
      <c r="BA7552" s="201" t="n">
        <v>0</v>
      </c>
    </row>
    <row r="7553" ht="15" customHeight="1" s="104">
      <c r="BA7553" s="201" t="n">
        <v>0</v>
      </c>
    </row>
    <row r="7554" ht="15" customHeight="1" s="104">
      <c r="BA7554" s="201" t="n">
        <v>0</v>
      </c>
    </row>
    <row r="7555" ht="15" customHeight="1" s="104">
      <c r="BA7555" s="201" t="n">
        <v>0</v>
      </c>
    </row>
    <row r="7556" ht="15" customHeight="1" s="104">
      <c r="BA7556" s="201" t="n">
        <v>0</v>
      </c>
    </row>
    <row r="7557" ht="15" customHeight="1" s="104">
      <c r="BA7557" s="201" t="n">
        <v>0</v>
      </c>
    </row>
    <row r="7558" ht="15" customHeight="1" s="104">
      <c r="BA7558" s="201" t="n">
        <v>0</v>
      </c>
    </row>
    <row r="7559" ht="15" customHeight="1" s="104">
      <c r="BA7559" s="201" t="n">
        <v>0</v>
      </c>
    </row>
    <row r="7560" ht="15" customHeight="1" s="104">
      <c r="BA7560" s="201" t="n">
        <v>0</v>
      </c>
    </row>
    <row r="7561" ht="15" customHeight="1" s="104">
      <c r="BA7561" s="201" t="n">
        <v>0</v>
      </c>
    </row>
    <row r="7562" ht="15" customHeight="1" s="104">
      <c r="BA7562" s="201" t="n">
        <v>0</v>
      </c>
    </row>
    <row r="7563" ht="15" customHeight="1" s="104">
      <c r="BA7563" s="201" t="n">
        <v>0</v>
      </c>
    </row>
    <row r="7564" ht="15" customHeight="1" s="104">
      <c r="BA7564" s="201" t="n">
        <v>0</v>
      </c>
    </row>
    <row r="7565" ht="15" customHeight="1" s="104">
      <c r="BA7565" s="201" t="n">
        <v>0</v>
      </c>
    </row>
    <row r="7566" ht="15" customHeight="1" s="104">
      <c r="BA7566" s="201" t="n">
        <v>0</v>
      </c>
    </row>
    <row r="7567" ht="15" customHeight="1" s="104">
      <c r="BA7567" s="201" t="n">
        <v>0</v>
      </c>
    </row>
    <row r="7568" ht="15" customHeight="1" s="104">
      <c r="BA7568" s="201" t="n">
        <v>0</v>
      </c>
    </row>
    <row r="7569" ht="15" customHeight="1" s="104">
      <c r="BA7569" s="201" t="n">
        <v>0</v>
      </c>
    </row>
    <row r="7570" ht="15" customHeight="1" s="104">
      <c r="BA7570" s="201" t="n">
        <v>0</v>
      </c>
    </row>
    <row r="7571" ht="15" customHeight="1" s="104">
      <c r="BA7571" s="201" t="n">
        <v>0</v>
      </c>
    </row>
    <row r="7572" ht="15" customHeight="1" s="104">
      <c r="BA7572" s="201" t="n">
        <v>0</v>
      </c>
    </row>
    <row r="7573" ht="15" customHeight="1" s="104">
      <c r="BA7573" s="201" t="n">
        <v>0</v>
      </c>
    </row>
    <row r="7574" ht="15" customHeight="1" s="104">
      <c r="BA7574" s="201" t="n">
        <v>0</v>
      </c>
    </row>
    <row r="7575" ht="15" customHeight="1" s="104">
      <c r="BA7575" s="201" t="n">
        <v>0</v>
      </c>
    </row>
    <row r="7576" ht="15" customHeight="1" s="104">
      <c r="BA7576" s="201" t="n">
        <v>0</v>
      </c>
    </row>
    <row r="7577" ht="15" customHeight="1" s="104">
      <c r="BA7577" s="201" t="n">
        <v>0</v>
      </c>
    </row>
    <row r="7578" ht="15" customHeight="1" s="104">
      <c r="BA7578" s="201" t="n">
        <v>0</v>
      </c>
    </row>
    <row r="7579" ht="15" customHeight="1" s="104">
      <c r="BA7579" s="201" t="n">
        <v>0</v>
      </c>
    </row>
    <row r="7580" ht="15" customHeight="1" s="104">
      <c r="BA7580" s="201" t="n">
        <v>0</v>
      </c>
    </row>
    <row r="7581" ht="15" customHeight="1" s="104">
      <c r="BA7581" s="201" t="n">
        <v>0</v>
      </c>
    </row>
    <row r="7582" ht="15" customHeight="1" s="104">
      <c r="BA7582" s="201" t="n">
        <v>0</v>
      </c>
    </row>
    <row r="7583" ht="15" customHeight="1" s="104">
      <c r="BA7583" s="201" t="n">
        <v>0</v>
      </c>
    </row>
    <row r="7584" ht="15" customHeight="1" s="104">
      <c r="BA7584" s="201" t="n">
        <v>0</v>
      </c>
    </row>
    <row r="7585" ht="15" customHeight="1" s="104">
      <c r="BA7585" s="201" t="n">
        <v>0</v>
      </c>
    </row>
    <row r="7586" ht="15" customHeight="1" s="104">
      <c r="BA7586" s="201" t="n">
        <v>0</v>
      </c>
    </row>
    <row r="7587" ht="15" customHeight="1" s="104">
      <c r="BA7587" s="201" t="n">
        <v>0</v>
      </c>
    </row>
    <row r="7588" ht="15" customHeight="1" s="104">
      <c r="BA7588" s="201" t="n">
        <v>0</v>
      </c>
    </row>
    <row r="7589" ht="15" customHeight="1" s="104">
      <c r="BA7589" s="201" t="n">
        <v>0</v>
      </c>
    </row>
    <row r="7590" ht="15" customHeight="1" s="104">
      <c r="BA7590" s="201" t="n">
        <v>0</v>
      </c>
    </row>
    <row r="7591" ht="15" customHeight="1" s="104">
      <c r="BA7591" s="201" t="n">
        <v>0</v>
      </c>
    </row>
    <row r="7592" ht="15" customHeight="1" s="104">
      <c r="BA7592" s="201" t="n">
        <v>0</v>
      </c>
    </row>
    <row r="7593" ht="15" customHeight="1" s="104">
      <c r="BA7593" s="201" t="n">
        <v>0</v>
      </c>
    </row>
    <row r="7594" ht="15" customHeight="1" s="104">
      <c r="BA7594" s="201" t="n">
        <v>0</v>
      </c>
    </row>
    <row r="7595" ht="15" customHeight="1" s="104">
      <c r="BA7595" s="201" t="n">
        <v>0</v>
      </c>
    </row>
    <row r="7596" ht="15" customHeight="1" s="104">
      <c r="BA7596" s="201" t="n">
        <v>0</v>
      </c>
    </row>
    <row r="7597" ht="15" customHeight="1" s="104">
      <c r="BA7597" s="201" t="n">
        <v>0</v>
      </c>
    </row>
    <row r="7598" ht="15" customHeight="1" s="104">
      <c r="BA7598" s="201" t="n">
        <v>0</v>
      </c>
    </row>
    <row r="7599" ht="15" customHeight="1" s="104">
      <c r="BA7599" s="201" t="n">
        <v>0</v>
      </c>
    </row>
    <row r="7600" ht="15" customHeight="1" s="104">
      <c r="BA7600" s="201" t="n">
        <v>0</v>
      </c>
    </row>
    <row r="7601" ht="15" customHeight="1" s="104">
      <c r="BA7601" s="201" t="n">
        <v>0</v>
      </c>
    </row>
    <row r="7602" ht="15" customHeight="1" s="104">
      <c r="BA7602" s="201" t="n">
        <v>0</v>
      </c>
    </row>
    <row r="7603" ht="15" customHeight="1" s="104">
      <c r="BA7603" s="201" t="n">
        <v>0</v>
      </c>
    </row>
    <row r="7604" ht="15" customHeight="1" s="104">
      <c r="BA7604" s="201" t="n">
        <v>0</v>
      </c>
    </row>
    <row r="7605" ht="15" customHeight="1" s="104">
      <c r="BA7605" s="201" t="n">
        <v>0</v>
      </c>
    </row>
    <row r="7606" ht="15" customHeight="1" s="104">
      <c r="BA7606" s="201" t="n">
        <v>0</v>
      </c>
    </row>
    <row r="7607" ht="15" customHeight="1" s="104">
      <c r="BA7607" s="201" t="n">
        <v>0</v>
      </c>
    </row>
    <row r="7608" ht="15" customHeight="1" s="104">
      <c r="BA7608" s="201" t="n">
        <v>0</v>
      </c>
    </row>
    <row r="7609" ht="15" customHeight="1" s="104">
      <c r="BA7609" s="201" t="n">
        <v>0</v>
      </c>
    </row>
    <row r="7610" ht="15" customHeight="1" s="104">
      <c r="BA7610" s="201" t="n">
        <v>0</v>
      </c>
    </row>
    <row r="7611" ht="15" customHeight="1" s="104">
      <c r="BA7611" s="201" t="n">
        <v>0</v>
      </c>
    </row>
    <row r="7612" ht="15" customHeight="1" s="104">
      <c r="BA7612" s="201" t="n">
        <v>0</v>
      </c>
    </row>
    <row r="7613" ht="15" customHeight="1" s="104">
      <c r="BA7613" s="201" t="n">
        <v>0</v>
      </c>
    </row>
    <row r="7614" ht="15" customHeight="1" s="104">
      <c r="BA7614" s="201" t="n">
        <v>0</v>
      </c>
    </row>
    <row r="7615" ht="15" customHeight="1" s="104">
      <c r="BA7615" s="201" t="n">
        <v>0</v>
      </c>
    </row>
    <row r="7616" ht="15" customHeight="1" s="104">
      <c r="BA7616" s="201" t="n">
        <v>0</v>
      </c>
    </row>
    <row r="7617" ht="15" customHeight="1" s="104">
      <c r="BA7617" s="201" t="n">
        <v>0</v>
      </c>
    </row>
    <row r="7618" ht="15" customHeight="1" s="104">
      <c r="BA7618" s="201" t="n">
        <v>0</v>
      </c>
    </row>
    <row r="7619" ht="15" customHeight="1" s="104">
      <c r="BA7619" s="201" t="n">
        <v>0</v>
      </c>
    </row>
    <row r="7620" ht="15" customHeight="1" s="104">
      <c r="BA7620" s="201" t="n">
        <v>0</v>
      </c>
    </row>
    <row r="7621" ht="15" customHeight="1" s="104">
      <c r="BA7621" s="201" t="n">
        <v>0</v>
      </c>
    </row>
    <row r="7622" ht="15" customHeight="1" s="104">
      <c r="BA7622" s="201" t="n">
        <v>0</v>
      </c>
    </row>
    <row r="7623" ht="15" customHeight="1" s="104">
      <c r="BA7623" s="201" t="n">
        <v>0</v>
      </c>
    </row>
    <row r="7624" ht="15" customHeight="1" s="104">
      <c r="BA7624" s="201" t="n">
        <v>0</v>
      </c>
    </row>
    <row r="7625" ht="15" customHeight="1" s="104">
      <c r="BA7625" s="201" t="n">
        <v>0</v>
      </c>
    </row>
    <row r="7626" ht="15" customHeight="1" s="104">
      <c r="BA7626" s="201" t="n">
        <v>0</v>
      </c>
    </row>
    <row r="7627" ht="15" customHeight="1" s="104">
      <c r="BA7627" s="201" t="n">
        <v>0</v>
      </c>
    </row>
    <row r="7628" ht="15" customHeight="1" s="104">
      <c r="BA7628" s="201" t="n">
        <v>0</v>
      </c>
    </row>
    <row r="7629" ht="15" customHeight="1" s="104">
      <c r="BA7629" s="201" t="n">
        <v>0</v>
      </c>
    </row>
    <row r="7630" ht="15" customHeight="1" s="104">
      <c r="BA7630" s="201" t="n">
        <v>0</v>
      </c>
    </row>
    <row r="7631" ht="15" customHeight="1" s="104">
      <c r="BA7631" s="201" t="n">
        <v>0</v>
      </c>
    </row>
    <row r="7632" ht="15" customHeight="1" s="104">
      <c r="BA7632" s="201" t="n">
        <v>0</v>
      </c>
    </row>
    <row r="7633" ht="15" customHeight="1" s="104">
      <c r="BA7633" s="201" t="n">
        <v>0</v>
      </c>
    </row>
    <row r="7634" ht="15" customHeight="1" s="104">
      <c r="BA7634" s="201" t="n">
        <v>0</v>
      </c>
    </row>
    <row r="7635" ht="15" customHeight="1" s="104">
      <c r="BA7635" s="201" t="n">
        <v>0</v>
      </c>
    </row>
    <row r="7636" ht="15" customHeight="1" s="104">
      <c r="BA7636" s="201" t="n">
        <v>0</v>
      </c>
    </row>
    <row r="7637" ht="15" customHeight="1" s="104">
      <c r="BA7637" s="201" t="n">
        <v>0</v>
      </c>
    </row>
    <row r="7638" ht="15" customHeight="1" s="104">
      <c r="BA7638" s="201" t="n">
        <v>0</v>
      </c>
    </row>
    <row r="7639" ht="15" customHeight="1" s="104">
      <c r="BA7639" s="201" t="n">
        <v>0</v>
      </c>
    </row>
    <row r="7640" ht="15" customHeight="1" s="104">
      <c r="BA7640" s="201" t="n">
        <v>0</v>
      </c>
    </row>
    <row r="7641" ht="15" customHeight="1" s="104">
      <c r="BA7641" s="201" t="n">
        <v>0</v>
      </c>
    </row>
    <row r="7642" ht="15" customHeight="1" s="104">
      <c r="BA7642" s="201" t="n">
        <v>0</v>
      </c>
    </row>
    <row r="7643" ht="15" customHeight="1" s="104">
      <c r="BA7643" s="201" t="n">
        <v>0</v>
      </c>
    </row>
    <row r="7644" ht="15" customHeight="1" s="104">
      <c r="BA7644" s="201" t="n">
        <v>0</v>
      </c>
    </row>
    <row r="7645" ht="15" customHeight="1" s="104">
      <c r="BA7645" s="201" t="n">
        <v>0</v>
      </c>
    </row>
    <row r="7646" ht="15" customHeight="1" s="104">
      <c r="BA7646" s="201" t="n">
        <v>0</v>
      </c>
    </row>
    <row r="7647" ht="15" customHeight="1" s="104">
      <c r="BA7647" s="201" t="n">
        <v>0</v>
      </c>
    </row>
    <row r="7648" ht="15" customHeight="1" s="104">
      <c r="BA7648" s="201" t="n">
        <v>0</v>
      </c>
    </row>
    <row r="7649" ht="15" customHeight="1" s="104">
      <c r="BA7649" s="201" t="n">
        <v>0</v>
      </c>
    </row>
    <row r="7650" ht="15" customHeight="1" s="104">
      <c r="BA7650" s="201" t="n">
        <v>0</v>
      </c>
    </row>
    <row r="7651" ht="15" customHeight="1" s="104">
      <c r="BA7651" s="201" t="n">
        <v>0</v>
      </c>
    </row>
    <row r="7652" ht="15" customHeight="1" s="104">
      <c r="BA7652" s="201" t="n">
        <v>0</v>
      </c>
    </row>
    <row r="7653" ht="15" customHeight="1" s="104">
      <c r="BA7653" s="201" t="n">
        <v>0</v>
      </c>
    </row>
    <row r="7654" ht="15" customHeight="1" s="104">
      <c r="BA7654" s="201" t="n">
        <v>0</v>
      </c>
    </row>
    <row r="7655" ht="15" customHeight="1" s="104">
      <c r="BA7655" s="201" t="n">
        <v>0</v>
      </c>
    </row>
    <row r="7656" ht="15" customHeight="1" s="104">
      <c r="BA7656" s="201" t="n">
        <v>0</v>
      </c>
    </row>
    <row r="7657" ht="15" customHeight="1" s="104">
      <c r="BA7657" s="201" t="n">
        <v>0</v>
      </c>
    </row>
    <row r="7658" ht="15" customHeight="1" s="104">
      <c r="BA7658" s="201" t="n">
        <v>0</v>
      </c>
    </row>
    <row r="7659" ht="15" customHeight="1" s="104">
      <c r="BA7659" s="201" t="n">
        <v>0</v>
      </c>
    </row>
    <row r="7660" ht="15" customHeight="1" s="104">
      <c r="BA7660" s="201" t="n">
        <v>0</v>
      </c>
    </row>
    <row r="7661" ht="15" customHeight="1" s="104">
      <c r="BA7661" s="201" t="n">
        <v>0</v>
      </c>
    </row>
    <row r="7662" ht="15" customHeight="1" s="104">
      <c r="BA7662" s="201" t="n">
        <v>0</v>
      </c>
    </row>
    <row r="7663" ht="15" customHeight="1" s="104">
      <c r="BA7663" s="201" t="n">
        <v>0</v>
      </c>
    </row>
    <row r="7664" ht="15" customHeight="1" s="104">
      <c r="BA7664" s="201" t="n">
        <v>0</v>
      </c>
    </row>
    <row r="7665" ht="15" customHeight="1" s="104">
      <c r="BA7665" s="201" t="n">
        <v>0</v>
      </c>
    </row>
    <row r="7666" ht="15" customHeight="1" s="104">
      <c r="BA7666" s="201" t="n">
        <v>0</v>
      </c>
    </row>
    <row r="7667" ht="15" customHeight="1" s="104">
      <c r="BA7667" s="201" t="n">
        <v>0</v>
      </c>
    </row>
    <row r="7668" ht="15" customHeight="1" s="104">
      <c r="BA7668" s="201" t="n">
        <v>0</v>
      </c>
    </row>
    <row r="7669" ht="15" customHeight="1" s="104">
      <c r="BA7669" s="201" t="n">
        <v>0</v>
      </c>
    </row>
    <row r="7670" ht="15" customHeight="1" s="104">
      <c r="BA7670" s="201" t="n">
        <v>0</v>
      </c>
    </row>
    <row r="7671" ht="15" customHeight="1" s="104">
      <c r="BA7671" s="201" t="n">
        <v>0</v>
      </c>
    </row>
    <row r="7672" ht="15" customHeight="1" s="104">
      <c r="BA7672" s="201" t="n">
        <v>0</v>
      </c>
    </row>
    <row r="7673" ht="15" customHeight="1" s="104">
      <c r="BA7673" s="201" t="n">
        <v>0</v>
      </c>
    </row>
    <row r="7674" ht="15" customHeight="1" s="104">
      <c r="BA7674" s="201" t="n">
        <v>0</v>
      </c>
    </row>
    <row r="7675" ht="15" customHeight="1" s="104">
      <c r="BA7675" s="201" t="n">
        <v>0</v>
      </c>
    </row>
    <row r="7676" ht="15" customHeight="1" s="104">
      <c r="BA7676" s="201" t="n">
        <v>0</v>
      </c>
    </row>
    <row r="7677" ht="15" customHeight="1" s="104">
      <c r="BA7677" s="201" t="n">
        <v>0</v>
      </c>
    </row>
    <row r="7678" ht="15" customHeight="1" s="104">
      <c r="BA7678" s="201" t="n">
        <v>0</v>
      </c>
    </row>
    <row r="7679" ht="15" customHeight="1" s="104">
      <c r="BA7679" s="201" t="n">
        <v>0</v>
      </c>
    </row>
    <row r="7680" ht="15" customHeight="1" s="104">
      <c r="BA7680" s="201" t="n">
        <v>0</v>
      </c>
    </row>
    <row r="7681" ht="15" customHeight="1" s="104">
      <c r="BA7681" s="201" t="n">
        <v>0</v>
      </c>
    </row>
    <row r="7682" ht="15" customHeight="1" s="104">
      <c r="BA7682" s="201" t="n">
        <v>0</v>
      </c>
    </row>
    <row r="7683" ht="15" customHeight="1" s="104">
      <c r="BA7683" s="201" t="n">
        <v>0</v>
      </c>
    </row>
    <row r="7684" ht="15" customHeight="1" s="104">
      <c r="BA7684" s="201" t="n">
        <v>0</v>
      </c>
    </row>
    <row r="7685" ht="15" customHeight="1" s="104">
      <c r="BA7685" s="201" t="n">
        <v>0</v>
      </c>
    </row>
    <row r="7686" ht="15" customHeight="1" s="104">
      <c r="BA7686" s="201" t="n">
        <v>0</v>
      </c>
    </row>
    <row r="7687" ht="15" customHeight="1" s="104">
      <c r="BA7687" s="201" t="n">
        <v>0</v>
      </c>
    </row>
    <row r="7688" ht="15" customHeight="1" s="104">
      <c r="BA7688" s="201" t="n">
        <v>0</v>
      </c>
    </row>
    <row r="7689" ht="15" customHeight="1" s="104">
      <c r="BA7689" s="201" t="n">
        <v>0</v>
      </c>
    </row>
    <row r="7690" ht="15" customHeight="1" s="104">
      <c r="BA7690" s="201" t="n">
        <v>0</v>
      </c>
    </row>
    <row r="7691" ht="15" customHeight="1" s="104">
      <c r="BA7691" s="201" t="n">
        <v>0</v>
      </c>
    </row>
    <row r="7692" ht="15" customHeight="1" s="104">
      <c r="BA7692" s="201" t="n">
        <v>0</v>
      </c>
    </row>
    <row r="7693" ht="15" customHeight="1" s="104">
      <c r="BA7693" s="201" t="n">
        <v>0</v>
      </c>
    </row>
    <row r="7694" ht="15" customHeight="1" s="104">
      <c r="BA7694" s="201" t="n">
        <v>0</v>
      </c>
    </row>
    <row r="7695" ht="15" customHeight="1" s="104">
      <c r="BA7695" s="201" t="n">
        <v>0</v>
      </c>
    </row>
    <row r="7696" ht="15" customHeight="1" s="104">
      <c r="BA7696" s="201" t="n">
        <v>0</v>
      </c>
    </row>
    <row r="7697" ht="15" customHeight="1" s="104">
      <c r="BA7697" s="201" t="n">
        <v>0</v>
      </c>
    </row>
    <row r="7698" ht="15" customHeight="1" s="104">
      <c r="BA7698" s="201" t="n">
        <v>0</v>
      </c>
    </row>
    <row r="7699" ht="15" customHeight="1" s="104">
      <c r="BA7699" s="201" t="n">
        <v>0</v>
      </c>
    </row>
    <row r="7700" ht="15" customHeight="1" s="104">
      <c r="BA7700" s="201" t="n">
        <v>0</v>
      </c>
    </row>
    <row r="7701" ht="15" customHeight="1" s="104">
      <c r="BA7701" s="201" t="n">
        <v>0</v>
      </c>
    </row>
    <row r="7702" ht="15" customHeight="1" s="104">
      <c r="BA7702" s="201" t="n">
        <v>0</v>
      </c>
    </row>
    <row r="7703" ht="15" customHeight="1" s="104">
      <c r="BA7703" s="201" t="n">
        <v>0</v>
      </c>
    </row>
    <row r="7704" ht="15" customHeight="1" s="104">
      <c r="BA7704" s="201" t="n">
        <v>0</v>
      </c>
    </row>
    <row r="7705" ht="15" customHeight="1" s="104">
      <c r="BA7705" s="201" t="n">
        <v>0</v>
      </c>
    </row>
    <row r="7706" ht="15" customHeight="1" s="104">
      <c r="BA7706" s="201" t="n">
        <v>0</v>
      </c>
    </row>
    <row r="7707" ht="15" customHeight="1" s="104">
      <c r="BA7707" s="201" t="n">
        <v>0</v>
      </c>
    </row>
    <row r="7708" ht="15" customHeight="1" s="104">
      <c r="BA7708" s="201" t="n">
        <v>0</v>
      </c>
    </row>
    <row r="7709" ht="15" customHeight="1" s="104">
      <c r="BA7709" s="201" t="n">
        <v>0</v>
      </c>
    </row>
    <row r="7710" ht="15" customHeight="1" s="104">
      <c r="BA7710" s="201" t="n">
        <v>0</v>
      </c>
    </row>
    <row r="7711" ht="15" customHeight="1" s="104">
      <c r="BA7711" s="201" t="n">
        <v>0</v>
      </c>
    </row>
    <row r="7712" ht="15" customHeight="1" s="104">
      <c r="BA7712" s="201" t="n">
        <v>0</v>
      </c>
    </row>
    <row r="7713" ht="15" customHeight="1" s="104">
      <c r="BA7713" s="201" t="n">
        <v>0</v>
      </c>
    </row>
    <row r="7714" ht="15" customHeight="1" s="104">
      <c r="BA7714" s="201" t="n">
        <v>0</v>
      </c>
    </row>
    <row r="7715" ht="15" customHeight="1" s="104">
      <c r="BA7715" s="201" t="n">
        <v>0</v>
      </c>
    </row>
    <row r="7716" ht="15" customHeight="1" s="104">
      <c r="BA7716" s="201" t="n">
        <v>0</v>
      </c>
    </row>
    <row r="7717" ht="15" customHeight="1" s="104">
      <c r="BA7717" s="201" t="n">
        <v>0</v>
      </c>
    </row>
    <row r="7718" ht="15" customHeight="1" s="104">
      <c r="BA7718" s="201" t="n">
        <v>0</v>
      </c>
    </row>
    <row r="7719" ht="15" customHeight="1" s="104">
      <c r="BA7719" s="201" t="n">
        <v>0</v>
      </c>
    </row>
    <row r="7720" ht="15" customHeight="1" s="104">
      <c r="BA7720" s="201" t="n">
        <v>0</v>
      </c>
    </row>
    <row r="7721" ht="15" customHeight="1" s="104">
      <c r="BA7721" s="201" t="n">
        <v>0</v>
      </c>
    </row>
    <row r="7722" ht="15" customHeight="1" s="104">
      <c r="BA7722" s="201" t="n">
        <v>0</v>
      </c>
    </row>
    <row r="7723" ht="15" customHeight="1" s="104">
      <c r="BA7723" s="201" t="n">
        <v>0</v>
      </c>
    </row>
    <row r="7724" ht="15" customHeight="1" s="104">
      <c r="BA7724" s="201" t="n">
        <v>0</v>
      </c>
    </row>
    <row r="7725" ht="15" customHeight="1" s="104">
      <c r="BA7725" s="201" t="n">
        <v>0</v>
      </c>
    </row>
    <row r="7726" ht="15" customHeight="1" s="104">
      <c r="BA7726" s="201" t="n">
        <v>0</v>
      </c>
    </row>
    <row r="7727" ht="15" customHeight="1" s="104">
      <c r="BA7727" s="201" t="n">
        <v>0</v>
      </c>
    </row>
    <row r="7728" ht="15" customHeight="1" s="104">
      <c r="BA7728" s="201" t="n">
        <v>0</v>
      </c>
    </row>
    <row r="7729" ht="15" customHeight="1" s="104">
      <c r="BA7729" s="201" t="n">
        <v>0</v>
      </c>
    </row>
    <row r="7730" ht="15" customHeight="1" s="104">
      <c r="BA7730" s="201" t="n">
        <v>0</v>
      </c>
    </row>
    <row r="7731" ht="15" customHeight="1" s="104">
      <c r="BA7731" s="201" t="n">
        <v>0</v>
      </c>
    </row>
    <row r="7732" ht="15" customHeight="1" s="104">
      <c r="BA7732" s="201" t="n">
        <v>0</v>
      </c>
    </row>
    <row r="7733" ht="15" customHeight="1" s="104">
      <c r="BA7733" s="201" t="n">
        <v>0</v>
      </c>
    </row>
    <row r="7734" ht="15" customHeight="1" s="104">
      <c r="BA7734" s="201" t="n">
        <v>0</v>
      </c>
    </row>
    <row r="7735" ht="15" customHeight="1" s="104">
      <c r="BA7735" s="201" t="n">
        <v>0</v>
      </c>
    </row>
    <row r="7736" ht="15" customHeight="1" s="104">
      <c r="BA7736" s="201" t="n">
        <v>0</v>
      </c>
    </row>
    <row r="7737" ht="15" customHeight="1" s="104">
      <c r="BA7737" s="201" t="n">
        <v>0</v>
      </c>
    </row>
    <row r="7738" ht="15" customHeight="1" s="104">
      <c r="BA7738" s="201" t="n">
        <v>0</v>
      </c>
    </row>
    <row r="7739" ht="15" customHeight="1" s="104">
      <c r="BA7739" s="201" t="n">
        <v>0</v>
      </c>
    </row>
    <row r="7740" ht="15" customHeight="1" s="104">
      <c r="BA7740" s="201" t="n">
        <v>0</v>
      </c>
    </row>
    <row r="7741" ht="15" customHeight="1" s="104">
      <c r="BA7741" s="201" t="n">
        <v>0</v>
      </c>
    </row>
    <row r="7742" ht="15" customHeight="1" s="104">
      <c r="BA7742" s="201" t="n">
        <v>0</v>
      </c>
    </row>
    <row r="7743" ht="15" customHeight="1" s="104">
      <c r="BA7743" s="201" t="n">
        <v>0</v>
      </c>
    </row>
    <row r="7744" ht="15" customHeight="1" s="104">
      <c r="BA7744" s="201" t="n">
        <v>0</v>
      </c>
    </row>
    <row r="7745" ht="15" customHeight="1" s="104">
      <c r="BA7745" s="201" t="n">
        <v>0</v>
      </c>
    </row>
    <row r="7746" ht="15" customHeight="1" s="104">
      <c r="BA7746" s="201" t="n">
        <v>0</v>
      </c>
    </row>
    <row r="7747" ht="15" customHeight="1" s="104">
      <c r="BA7747" s="201" t="n">
        <v>0</v>
      </c>
    </row>
    <row r="7748" ht="15" customHeight="1" s="104">
      <c r="BA7748" s="201" t="n">
        <v>0</v>
      </c>
    </row>
    <row r="7749" ht="15" customHeight="1" s="104">
      <c r="BA7749" s="201" t="n">
        <v>0</v>
      </c>
    </row>
    <row r="7750" ht="15" customHeight="1" s="104">
      <c r="BA7750" s="201" t="n">
        <v>0</v>
      </c>
    </row>
    <row r="7751" ht="15" customHeight="1" s="104">
      <c r="BA7751" s="201" t="n">
        <v>0</v>
      </c>
    </row>
    <row r="7752" ht="15" customHeight="1" s="104">
      <c r="BA7752" s="201" t="n">
        <v>0</v>
      </c>
    </row>
    <row r="7753" ht="15" customHeight="1" s="104">
      <c r="BA7753" s="201" t="n">
        <v>0</v>
      </c>
    </row>
    <row r="7754" ht="15" customHeight="1" s="104">
      <c r="BA7754" s="201" t="n">
        <v>0</v>
      </c>
    </row>
    <row r="7755" ht="15" customHeight="1" s="104">
      <c r="BA7755" s="201" t="n">
        <v>0</v>
      </c>
    </row>
    <row r="7756" ht="15" customHeight="1" s="104">
      <c r="BA7756" s="201" t="n">
        <v>0</v>
      </c>
    </row>
    <row r="7757" ht="15" customHeight="1" s="104">
      <c r="BA7757" s="201" t="n">
        <v>0</v>
      </c>
    </row>
    <row r="7758" ht="15" customHeight="1" s="104">
      <c r="BA7758" s="201" t="n">
        <v>0</v>
      </c>
    </row>
    <row r="7759" ht="15" customHeight="1" s="104">
      <c r="BA7759" s="201" t="n">
        <v>0</v>
      </c>
    </row>
    <row r="7760" ht="15" customHeight="1" s="104">
      <c r="BA7760" s="201" t="n">
        <v>0</v>
      </c>
    </row>
    <row r="7761" ht="15" customHeight="1" s="104">
      <c r="BA7761" s="201" t="n">
        <v>0</v>
      </c>
    </row>
    <row r="7762" ht="15" customHeight="1" s="104">
      <c r="BA7762" s="201" t="n">
        <v>0</v>
      </c>
    </row>
    <row r="7763" ht="15" customHeight="1" s="104">
      <c r="BA7763" s="201" t="n">
        <v>0</v>
      </c>
    </row>
    <row r="7764" ht="15" customHeight="1" s="104">
      <c r="BA7764" s="201" t="n">
        <v>0</v>
      </c>
    </row>
    <row r="7765" ht="15" customHeight="1" s="104">
      <c r="BA7765" s="201" t="n">
        <v>0</v>
      </c>
    </row>
    <row r="7766" ht="15" customHeight="1" s="104">
      <c r="BA7766" s="201" t="n">
        <v>0</v>
      </c>
    </row>
    <row r="7767" ht="15" customHeight="1" s="104">
      <c r="BA7767" s="201" t="n">
        <v>0</v>
      </c>
    </row>
    <row r="7768" ht="15" customHeight="1" s="104">
      <c r="BA7768" s="201" t="n">
        <v>0</v>
      </c>
    </row>
    <row r="7769" ht="15" customHeight="1" s="104">
      <c r="BA7769" s="201" t="n">
        <v>0</v>
      </c>
    </row>
    <row r="7770" ht="15" customHeight="1" s="104">
      <c r="BA7770" s="201" t="n">
        <v>0</v>
      </c>
    </row>
    <row r="7771" ht="15" customHeight="1" s="104">
      <c r="BA7771" s="201" t="n">
        <v>0</v>
      </c>
    </row>
    <row r="7772" ht="15" customHeight="1" s="104">
      <c r="BA7772" s="201" t="n">
        <v>0</v>
      </c>
    </row>
    <row r="7773" ht="15" customHeight="1" s="104">
      <c r="BA7773" s="201" t="n">
        <v>0</v>
      </c>
    </row>
    <row r="7774" ht="15" customHeight="1" s="104">
      <c r="BA7774" s="201" t="n">
        <v>0</v>
      </c>
    </row>
    <row r="7775" ht="15" customHeight="1" s="104">
      <c r="BA7775" s="201" t="n">
        <v>0</v>
      </c>
    </row>
    <row r="7776" ht="15" customHeight="1" s="104">
      <c r="BA7776" s="201" t="n">
        <v>0</v>
      </c>
    </row>
    <row r="7777" ht="15" customHeight="1" s="104">
      <c r="BA7777" s="201" t="n">
        <v>0</v>
      </c>
    </row>
    <row r="7778" ht="15" customHeight="1" s="104">
      <c r="BA7778" s="201" t="n">
        <v>0</v>
      </c>
    </row>
    <row r="7779" ht="15" customHeight="1" s="104">
      <c r="BA7779" s="201" t="n">
        <v>0</v>
      </c>
    </row>
    <row r="7780" ht="15" customHeight="1" s="104">
      <c r="BA7780" s="201" t="n">
        <v>0</v>
      </c>
    </row>
    <row r="7781" ht="15" customHeight="1" s="104">
      <c r="BA7781" s="201" t="n">
        <v>0</v>
      </c>
    </row>
    <row r="7782" ht="15" customHeight="1" s="104">
      <c r="BA7782" s="201" t="n">
        <v>0</v>
      </c>
    </row>
    <row r="7783" ht="15" customHeight="1" s="104">
      <c r="BA7783" s="201" t="n">
        <v>0</v>
      </c>
    </row>
    <row r="7784" ht="15" customHeight="1" s="104">
      <c r="BA7784" s="201" t="n">
        <v>0</v>
      </c>
    </row>
    <row r="7785" ht="15" customHeight="1" s="104">
      <c r="BA7785" s="201" t="n">
        <v>0</v>
      </c>
    </row>
    <row r="7786" ht="15" customHeight="1" s="104">
      <c r="BA7786" s="201" t="n">
        <v>0</v>
      </c>
    </row>
    <row r="7787" ht="15" customHeight="1" s="104">
      <c r="BA7787" s="201" t="n">
        <v>0</v>
      </c>
    </row>
    <row r="7788" ht="15" customHeight="1" s="104">
      <c r="BA7788" s="201" t="n">
        <v>0</v>
      </c>
    </row>
    <row r="7789" ht="15" customHeight="1" s="104">
      <c r="BA7789" s="201" t="n">
        <v>0</v>
      </c>
    </row>
    <row r="7790" ht="15" customHeight="1" s="104">
      <c r="BA7790" s="201" t="n">
        <v>0</v>
      </c>
    </row>
    <row r="7791" ht="15" customHeight="1" s="104">
      <c r="BA7791" s="201" t="n">
        <v>0</v>
      </c>
    </row>
    <row r="7792" ht="15" customHeight="1" s="104">
      <c r="BA7792" s="201" t="n">
        <v>0</v>
      </c>
    </row>
    <row r="7793" ht="15" customHeight="1" s="104">
      <c r="BA7793" s="201" t="n">
        <v>0</v>
      </c>
    </row>
    <row r="7794" ht="15" customHeight="1" s="104">
      <c r="BA7794" s="201" t="n">
        <v>0</v>
      </c>
    </row>
    <row r="7795" ht="15" customHeight="1" s="104">
      <c r="BA7795" s="201" t="n">
        <v>0</v>
      </c>
    </row>
    <row r="7796" ht="15" customHeight="1" s="104">
      <c r="BA7796" s="201" t="n">
        <v>0</v>
      </c>
    </row>
    <row r="7797" ht="15" customHeight="1" s="104">
      <c r="BA7797" s="201" t="n">
        <v>0</v>
      </c>
    </row>
    <row r="7798" ht="15" customHeight="1" s="104">
      <c r="BA7798" s="201" t="n">
        <v>0</v>
      </c>
    </row>
    <row r="7799" ht="15" customHeight="1" s="104">
      <c r="BA7799" s="201" t="n">
        <v>0</v>
      </c>
    </row>
    <row r="7800" ht="15" customHeight="1" s="104">
      <c r="BA7800" s="201" t="n">
        <v>0</v>
      </c>
    </row>
    <row r="7801" ht="15" customHeight="1" s="104">
      <c r="BA7801" s="201" t="n">
        <v>0</v>
      </c>
    </row>
    <row r="7802" ht="15" customHeight="1" s="104">
      <c r="BA7802" s="201" t="n">
        <v>0</v>
      </c>
    </row>
    <row r="7803" ht="15" customHeight="1" s="104">
      <c r="BA7803" s="201" t="n">
        <v>0</v>
      </c>
    </row>
    <row r="7804" ht="15" customHeight="1" s="104">
      <c r="BA7804" s="201" t="n">
        <v>0</v>
      </c>
    </row>
    <row r="7805" ht="15" customHeight="1" s="104">
      <c r="BA7805" s="201" t="n">
        <v>0</v>
      </c>
    </row>
    <row r="7806" ht="15" customHeight="1" s="104">
      <c r="BA7806" s="201" t="n">
        <v>0</v>
      </c>
    </row>
    <row r="7807" ht="15" customHeight="1" s="104">
      <c r="BA7807" s="201" t="n">
        <v>0</v>
      </c>
    </row>
    <row r="7808" ht="15" customHeight="1" s="104">
      <c r="BA7808" s="201" t="n">
        <v>0</v>
      </c>
    </row>
    <row r="7809" ht="15" customHeight="1" s="104">
      <c r="BA7809" s="201" t="n">
        <v>0</v>
      </c>
    </row>
    <row r="7810" ht="15" customHeight="1" s="104">
      <c r="BA7810" s="201" t="n">
        <v>0</v>
      </c>
    </row>
    <row r="7811" ht="15" customHeight="1" s="104">
      <c r="BA7811" s="201" t="n">
        <v>0</v>
      </c>
    </row>
    <row r="7812" ht="15" customHeight="1" s="104">
      <c r="BA7812" s="201" t="n">
        <v>0</v>
      </c>
    </row>
    <row r="7813" ht="15" customHeight="1" s="104">
      <c r="BA7813" s="201" t="n">
        <v>0</v>
      </c>
    </row>
    <row r="7814" ht="15" customHeight="1" s="104">
      <c r="BA7814" s="201" t="n">
        <v>0</v>
      </c>
    </row>
    <row r="7815" ht="15" customHeight="1" s="104">
      <c r="BA7815" s="201" t="n">
        <v>0</v>
      </c>
    </row>
    <row r="7816" ht="15" customHeight="1" s="104">
      <c r="BA7816" s="201" t="n">
        <v>0</v>
      </c>
    </row>
    <row r="7817" ht="15" customHeight="1" s="104">
      <c r="BA7817" s="201" t="n">
        <v>0</v>
      </c>
    </row>
    <row r="7818" ht="15" customHeight="1" s="104">
      <c r="BA7818" s="201" t="n">
        <v>0</v>
      </c>
    </row>
    <row r="7819" ht="15" customHeight="1" s="104">
      <c r="BA7819" s="201" t="n">
        <v>0</v>
      </c>
    </row>
    <row r="7820" ht="15" customHeight="1" s="104">
      <c r="BA7820" s="201" t="n">
        <v>0</v>
      </c>
    </row>
    <row r="7821" ht="15" customHeight="1" s="104">
      <c r="BA7821" s="201" t="n">
        <v>0</v>
      </c>
    </row>
    <row r="7822" ht="15" customHeight="1" s="104">
      <c r="BA7822" s="201" t="n">
        <v>0</v>
      </c>
    </row>
    <row r="7823" ht="15" customHeight="1" s="104">
      <c r="BA7823" s="201" t="n">
        <v>0</v>
      </c>
    </row>
    <row r="7824" ht="15" customHeight="1" s="104">
      <c r="BA7824" s="201" t="n">
        <v>0</v>
      </c>
    </row>
    <row r="7825" ht="15" customHeight="1" s="104">
      <c r="BA7825" s="201" t="n">
        <v>0</v>
      </c>
    </row>
    <row r="7826" ht="15" customHeight="1" s="104">
      <c r="BA7826" s="201" t="n">
        <v>0</v>
      </c>
    </row>
    <row r="7827" ht="15" customHeight="1" s="104">
      <c r="BA7827" s="201" t="n">
        <v>0</v>
      </c>
    </row>
    <row r="7828" ht="15" customHeight="1" s="104">
      <c r="BA7828" s="201" t="n">
        <v>0</v>
      </c>
    </row>
    <row r="7829" ht="15" customHeight="1" s="104">
      <c r="BA7829" s="201" t="n">
        <v>0</v>
      </c>
    </row>
    <row r="7830" ht="15" customHeight="1" s="104">
      <c r="BA7830" s="201" t="n">
        <v>0</v>
      </c>
    </row>
    <row r="7831" ht="15" customHeight="1" s="104">
      <c r="BA7831" s="201" t="n">
        <v>0</v>
      </c>
    </row>
    <row r="7832" ht="15" customHeight="1" s="104">
      <c r="BA7832" s="201" t="n">
        <v>0</v>
      </c>
    </row>
    <row r="7833" ht="15" customHeight="1" s="104">
      <c r="BA7833" s="201" t="n">
        <v>0</v>
      </c>
    </row>
    <row r="7834" ht="15" customHeight="1" s="104">
      <c r="BA7834" s="201" t="n">
        <v>0</v>
      </c>
    </row>
    <row r="7835" ht="15" customHeight="1" s="104">
      <c r="BA7835" s="201" t="n">
        <v>0</v>
      </c>
    </row>
    <row r="7836" ht="15" customHeight="1" s="104">
      <c r="BA7836" s="201" t="n">
        <v>0</v>
      </c>
    </row>
    <row r="7837" ht="15" customHeight="1" s="104">
      <c r="BA7837" s="201" t="n">
        <v>0</v>
      </c>
    </row>
    <row r="7838" ht="15" customHeight="1" s="104">
      <c r="BA7838" s="201" t="n">
        <v>0</v>
      </c>
    </row>
    <row r="7839" ht="15" customHeight="1" s="104">
      <c r="BA7839" s="201" t="n">
        <v>0</v>
      </c>
    </row>
    <row r="7840" ht="15" customHeight="1" s="104">
      <c r="BA7840" s="201" t="n">
        <v>0</v>
      </c>
    </row>
    <row r="7841" ht="15" customHeight="1" s="104">
      <c r="BA7841" s="201" t="n">
        <v>0</v>
      </c>
    </row>
    <row r="7842" ht="15" customHeight="1" s="104">
      <c r="BA7842" s="201" t="n">
        <v>0</v>
      </c>
    </row>
    <row r="7843" ht="15" customHeight="1" s="104">
      <c r="BA7843" s="201" t="n">
        <v>0</v>
      </c>
    </row>
    <row r="7844" ht="15" customHeight="1" s="104">
      <c r="BA7844" s="201" t="n">
        <v>0</v>
      </c>
    </row>
    <row r="7845" ht="15" customHeight="1" s="104">
      <c r="BA7845" s="201" t="n">
        <v>0</v>
      </c>
    </row>
    <row r="7846" ht="15" customHeight="1" s="104">
      <c r="BA7846" s="201" t="n">
        <v>0</v>
      </c>
    </row>
    <row r="7847" ht="15" customHeight="1" s="104">
      <c r="BA7847" s="201" t="n">
        <v>0</v>
      </c>
    </row>
    <row r="7848" ht="15" customHeight="1" s="104">
      <c r="BA7848" s="201" t="n">
        <v>0</v>
      </c>
    </row>
    <row r="7849" ht="15" customHeight="1" s="104">
      <c r="BA7849" s="201" t="n">
        <v>0</v>
      </c>
    </row>
    <row r="7850" ht="15" customHeight="1" s="104">
      <c r="BA7850" s="201" t="n">
        <v>0</v>
      </c>
    </row>
    <row r="7851" ht="15" customHeight="1" s="104">
      <c r="BA7851" s="201" t="n">
        <v>0</v>
      </c>
    </row>
    <row r="7852" ht="15" customHeight="1" s="104">
      <c r="BA7852" s="201" t="n">
        <v>0</v>
      </c>
    </row>
    <row r="7853" ht="15" customHeight="1" s="104">
      <c r="BA7853" s="201" t="n">
        <v>0</v>
      </c>
    </row>
    <row r="7854" ht="15" customHeight="1" s="104">
      <c r="BA7854" s="201" t="n">
        <v>0</v>
      </c>
    </row>
    <row r="7855" ht="15" customHeight="1" s="104">
      <c r="BA7855" s="201" t="n">
        <v>0</v>
      </c>
    </row>
    <row r="7856" ht="15" customHeight="1" s="104">
      <c r="BA7856" s="201" t="n">
        <v>0</v>
      </c>
    </row>
    <row r="7857" ht="15" customHeight="1" s="104">
      <c r="BA7857" s="201" t="n">
        <v>0</v>
      </c>
    </row>
    <row r="7858" ht="15" customHeight="1" s="104">
      <c r="BA7858" s="201" t="n">
        <v>0</v>
      </c>
    </row>
    <row r="7859" ht="15" customHeight="1" s="104">
      <c r="BA7859" s="201" t="n">
        <v>0</v>
      </c>
    </row>
    <row r="7860" ht="15" customHeight="1" s="104">
      <c r="BA7860" s="201" t="n">
        <v>0</v>
      </c>
    </row>
    <row r="7861" ht="15" customHeight="1" s="104">
      <c r="BA7861" s="201" t="n">
        <v>0</v>
      </c>
    </row>
    <row r="7862" ht="15" customHeight="1" s="104">
      <c r="BA7862" s="201" t="n">
        <v>0</v>
      </c>
    </row>
    <row r="7863" ht="15" customHeight="1" s="104">
      <c r="BA7863" s="201" t="n">
        <v>0</v>
      </c>
    </row>
    <row r="7864" ht="15" customHeight="1" s="104">
      <c r="BA7864" s="201" t="n">
        <v>0</v>
      </c>
    </row>
    <row r="7865" ht="15" customHeight="1" s="104">
      <c r="BA7865" s="201" t="n">
        <v>0</v>
      </c>
    </row>
    <row r="7866" ht="15" customHeight="1" s="104">
      <c r="BA7866" s="201" t="n">
        <v>0</v>
      </c>
    </row>
    <row r="7867" ht="15" customHeight="1" s="104">
      <c r="BA7867" s="201" t="n">
        <v>0</v>
      </c>
    </row>
    <row r="7868" ht="15" customHeight="1" s="104">
      <c r="BA7868" s="201" t="n">
        <v>0</v>
      </c>
    </row>
    <row r="7869" ht="15" customHeight="1" s="104">
      <c r="BA7869" s="201" t="n">
        <v>0</v>
      </c>
    </row>
    <row r="7870" ht="15" customHeight="1" s="104">
      <c r="BA7870" s="201" t="n">
        <v>0</v>
      </c>
    </row>
    <row r="7871" ht="15" customHeight="1" s="104">
      <c r="BA7871" s="201" t="n">
        <v>0</v>
      </c>
    </row>
    <row r="7872" ht="15" customHeight="1" s="104">
      <c r="BA7872" s="201" t="n">
        <v>0</v>
      </c>
    </row>
    <row r="7873" ht="15" customHeight="1" s="104">
      <c r="BA7873" s="201" t="n">
        <v>0</v>
      </c>
    </row>
    <row r="7874" ht="15" customHeight="1" s="104">
      <c r="BA7874" s="201" t="n">
        <v>0</v>
      </c>
    </row>
    <row r="7875" ht="15" customHeight="1" s="104">
      <c r="BA7875" s="201" t="n">
        <v>0</v>
      </c>
    </row>
    <row r="7876" ht="15" customHeight="1" s="104">
      <c r="BA7876" s="201" t="n">
        <v>0</v>
      </c>
    </row>
    <row r="7877" ht="15" customHeight="1" s="104">
      <c r="BA7877" s="201" t="n">
        <v>0</v>
      </c>
    </row>
    <row r="7878" ht="15" customHeight="1" s="104">
      <c r="BA7878" s="201" t="n">
        <v>0</v>
      </c>
    </row>
    <row r="7879" ht="15" customHeight="1" s="104">
      <c r="BA7879" s="201" t="n">
        <v>0</v>
      </c>
    </row>
    <row r="7880" ht="15" customHeight="1" s="104">
      <c r="BA7880" s="201" t="n">
        <v>0</v>
      </c>
    </row>
    <row r="7881" ht="15" customHeight="1" s="104">
      <c r="BA7881" s="201" t="n">
        <v>0</v>
      </c>
    </row>
    <row r="7882" ht="15" customHeight="1" s="104">
      <c r="BA7882" s="201" t="n">
        <v>0</v>
      </c>
    </row>
    <row r="7883" ht="15" customHeight="1" s="104">
      <c r="BA7883" s="201" t="n">
        <v>0</v>
      </c>
    </row>
    <row r="7884" ht="15" customHeight="1" s="104">
      <c r="BA7884" s="201" t="n">
        <v>0</v>
      </c>
    </row>
    <row r="7885" ht="15" customHeight="1" s="104">
      <c r="BA7885" s="201" t="n">
        <v>0</v>
      </c>
    </row>
    <row r="7886" ht="15" customHeight="1" s="104">
      <c r="BA7886" s="201" t="n">
        <v>0</v>
      </c>
    </row>
    <row r="7887" ht="15" customHeight="1" s="104">
      <c r="BA7887" s="201" t="n">
        <v>0</v>
      </c>
    </row>
    <row r="7888" ht="15" customHeight="1" s="104">
      <c r="BA7888" s="201" t="n">
        <v>0</v>
      </c>
    </row>
    <row r="7889" ht="15" customHeight="1" s="104">
      <c r="BA7889" s="201" t="n">
        <v>0</v>
      </c>
    </row>
    <row r="7890" ht="15" customHeight="1" s="104">
      <c r="BA7890" s="201" t="n">
        <v>0</v>
      </c>
    </row>
    <row r="7891" ht="15" customHeight="1" s="104">
      <c r="BA7891" s="201" t="n">
        <v>0</v>
      </c>
    </row>
    <row r="7892" ht="15" customHeight="1" s="104">
      <c r="BA7892" s="201" t="n">
        <v>0</v>
      </c>
    </row>
    <row r="7893" ht="15" customHeight="1" s="104">
      <c r="BA7893" s="201" t="n">
        <v>0</v>
      </c>
    </row>
    <row r="7894" ht="15" customHeight="1" s="104">
      <c r="BA7894" s="201" t="n">
        <v>0</v>
      </c>
    </row>
    <row r="7895" ht="15" customHeight="1" s="104">
      <c r="BA7895" s="201" t="n">
        <v>0</v>
      </c>
    </row>
    <row r="7896" ht="15" customHeight="1" s="104">
      <c r="BA7896" s="201" t="n">
        <v>0</v>
      </c>
    </row>
    <row r="7897" ht="15" customHeight="1" s="104">
      <c r="BA7897" s="201" t="n">
        <v>0</v>
      </c>
    </row>
    <row r="7898" ht="15" customHeight="1" s="104">
      <c r="BA7898" s="201" t="n">
        <v>0</v>
      </c>
    </row>
    <row r="7899" ht="15" customHeight="1" s="104">
      <c r="BA7899" s="201" t="n">
        <v>0</v>
      </c>
    </row>
    <row r="7900" ht="15" customHeight="1" s="104">
      <c r="BA7900" s="201" t="n">
        <v>0</v>
      </c>
    </row>
    <row r="7901" ht="15" customHeight="1" s="104">
      <c r="BA7901" s="201" t="n">
        <v>0</v>
      </c>
    </row>
    <row r="7902" ht="15" customHeight="1" s="104">
      <c r="BA7902" s="201" t="n">
        <v>0</v>
      </c>
    </row>
    <row r="7903" ht="15" customHeight="1" s="104">
      <c r="BA7903" s="201" t="n">
        <v>0</v>
      </c>
    </row>
    <row r="7904" ht="15" customHeight="1" s="104">
      <c r="BA7904" s="201" t="n">
        <v>0</v>
      </c>
    </row>
    <row r="7905" ht="15" customHeight="1" s="104">
      <c r="BA7905" s="201" t="n">
        <v>0</v>
      </c>
    </row>
    <row r="7906" ht="15" customHeight="1" s="104">
      <c r="BA7906" s="201" t="n">
        <v>0</v>
      </c>
    </row>
    <row r="7907" ht="15" customHeight="1" s="104">
      <c r="BA7907" s="201" t="n">
        <v>0</v>
      </c>
    </row>
    <row r="7908" ht="15" customHeight="1" s="104">
      <c r="BA7908" s="201" t="n">
        <v>0</v>
      </c>
    </row>
    <row r="7909" ht="15" customHeight="1" s="104">
      <c r="BA7909" s="201" t="n">
        <v>0</v>
      </c>
    </row>
    <row r="7910" ht="15" customHeight="1" s="104">
      <c r="BA7910" s="201" t="n">
        <v>0</v>
      </c>
    </row>
    <row r="7911" ht="15" customHeight="1" s="104">
      <c r="BA7911" s="201" t="n">
        <v>0</v>
      </c>
    </row>
    <row r="7912" ht="15" customHeight="1" s="104">
      <c r="BA7912" s="201" t="n">
        <v>0</v>
      </c>
    </row>
    <row r="7913" ht="15" customHeight="1" s="104">
      <c r="BA7913" s="201" t="n">
        <v>0</v>
      </c>
    </row>
    <row r="7914" ht="15" customHeight="1" s="104">
      <c r="BA7914" s="201" t="n">
        <v>0</v>
      </c>
    </row>
    <row r="7915" ht="15" customHeight="1" s="104">
      <c r="BA7915" s="201" t="n">
        <v>0</v>
      </c>
    </row>
    <row r="7916" ht="15" customHeight="1" s="104">
      <c r="BA7916" s="201" t="n">
        <v>0</v>
      </c>
    </row>
    <row r="7917" ht="15" customHeight="1" s="104">
      <c r="BA7917" s="201" t="n">
        <v>0</v>
      </c>
    </row>
    <row r="7918" ht="15" customHeight="1" s="104">
      <c r="BA7918" s="201" t="n">
        <v>0</v>
      </c>
    </row>
    <row r="7919" ht="15" customHeight="1" s="104">
      <c r="BA7919" s="201" t="n">
        <v>0</v>
      </c>
    </row>
    <row r="7920" ht="15" customHeight="1" s="104">
      <c r="BA7920" s="201" t="n">
        <v>0</v>
      </c>
    </row>
    <row r="7921" ht="15" customHeight="1" s="104">
      <c r="BA7921" s="201" t="n">
        <v>0</v>
      </c>
    </row>
    <row r="7922" ht="15" customHeight="1" s="104">
      <c r="BA7922" s="201" t="n">
        <v>0</v>
      </c>
    </row>
    <row r="7923" ht="15" customHeight="1" s="104">
      <c r="BA7923" s="201" t="n">
        <v>0</v>
      </c>
    </row>
    <row r="7924" ht="15" customHeight="1" s="104">
      <c r="BA7924" s="201" t="n">
        <v>0</v>
      </c>
    </row>
    <row r="7925" ht="15" customHeight="1" s="104">
      <c r="BA7925" s="201" t="n">
        <v>0</v>
      </c>
    </row>
    <row r="7926" ht="15" customHeight="1" s="104">
      <c r="BA7926" s="201" t="n">
        <v>0</v>
      </c>
    </row>
    <row r="7927" ht="15" customHeight="1" s="104">
      <c r="BA7927" s="201" t="n">
        <v>0</v>
      </c>
    </row>
    <row r="7928" ht="15" customHeight="1" s="104">
      <c r="BA7928" s="201" t="n">
        <v>0</v>
      </c>
    </row>
    <row r="7929" ht="15" customHeight="1" s="104">
      <c r="BA7929" s="201" t="n">
        <v>0</v>
      </c>
    </row>
    <row r="7930" ht="15" customHeight="1" s="104">
      <c r="BA7930" s="201" t="n">
        <v>0</v>
      </c>
    </row>
    <row r="7931" ht="15" customHeight="1" s="104">
      <c r="BA7931" s="201" t="n">
        <v>0</v>
      </c>
    </row>
    <row r="7932" ht="15" customHeight="1" s="104">
      <c r="BA7932" s="201" t="n">
        <v>0</v>
      </c>
    </row>
    <row r="7933" ht="15" customHeight="1" s="104">
      <c r="BA7933" s="201" t="n">
        <v>0</v>
      </c>
    </row>
    <row r="7934" ht="15" customHeight="1" s="104">
      <c r="BA7934" s="201" t="n">
        <v>0</v>
      </c>
    </row>
    <row r="7935" ht="15" customHeight="1" s="104">
      <c r="BA7935" s="201" t="n">
        <v>0</v>
      </c>
    </row>
    <row r="7936" ht="15" customHeight="1" s="104">
      <c r="BA7936" s="201" t="n">
        <v>0</v>
      </c>
    </row>
    <row r="7937" ht="15" customHeight="1" s="104">
      <c r="BA7937" s="201" t="n">
        <v>0</v>
      </c>
    </row>
    <row r="7938" ht="15" customHeight="1" s="104">
      <c r="BA7938" s="201" t="n">
        <v>0</v>
      </c>
    </row>
    <row r="7939" ht="15" customHeight="1" s="104">
      <c r="BA7939" s="201" t="n">
        <v>0</v>
      </c>
    </row>
    <row r="7940" ht="15" customHeight="1" s="104">
      <c r="BA7940" s="201" t="n">
        <v>0</v>
      </c>
    </row>
    <row r="7941" ht="15" customHeight="1" s="104">
      <c r="BA7941" s="201" t="n">
        <v>0</v>
      </c>
    </row>
    <row r="7942" ht="15" customHeight="1" s="104">
      <c r="BA7942" s="201" t="n">
        <v>0</v>
      </c>
    </row>
    <row r="7943" ht="15" customHeight="1" s="104">
      <c r="BA7943" s="201" t="n">
        <v>0</v>
      </c>
    </row>
    <row r="7944" ht="15" customHeight="1" s="104">
      <c r="BA7944" s="201" t="n">
        <v>0</v>
      </c>
    </row>
    <row r="7945" ht="15" customHeight="1" s="104">
      <c r="BA7945" s="201" t="n">
        <v>0</v>
      </c>
    </row>
    <row r="7946" ht="15" customHeight="1" s="104">
      <c r="BA7946" s="201" t="n">
        <v>0</v>
      </c>
    </row>
    <row r="7947" ht="15" customHeight="1" s="104">
      <c r="BA7947" s="201" t="n">
        <v>0</v>
      </c>
    </row>
    <row r="7948" ht="15" customHeight="1" s="104">
      <c r="BA7948" s="201" t="n">
        <v>0</v>
      </c>
    </row>
    <row r="7949" ht="15" customHeight="1" s="104">
      <c r="BA7949" s="201" t="n">
        <v>0</v>
      </c>
    </row>
    <row r="7950" ht="15" customHeight="1" s="104">
      <c r="BA7950" s="201" t="n">
        <v>0</v>
      </c>
    </row>
    <row r="7951" ht="15" customHeight="1" s="104">
      <c r="BA7951" s="201" t="n">
        <v>0</v>
      </c>
    </row>
    <row r="7952" ht="15" customHeight="1" s="104">
      <c r="BA7952" s="201" t="n">
        <v>0</v>
      </c>
    </row>
    <row r="7953" ht="15" customHeight="1" s="104">
      <c r="BA7953" s="201" t="n">
        <v>0</v>
      </c>
    </row>
    <row r="7954" ht="15" customHeight="1" s="104">
      <c r="BA7954" s="201" t="n">
        <v>0</v>
      </c>
    </row>
    <row r="7955" ht="15" customHeight="1" s="104">
      <c r="BA7955" s="201" t="n">
        <v>0</v>
      </c>
    </row>
    <row r="7956" ht="15" customHeight="1" s="104">
      <c r="BA7956" s="201" t="n">
        <v>0</v>
      </c>
    </row>
    <row r="7957" ht="15" customHeight="1" s="104">
      <c r="BA7957" s="201" t="n">
        <v>0</v>
      </c>
    </row>
    <row r="7958" ht="15" customHeight="1" s="104">
      <c r="BA7958" s="201" t="n">
        <v>0</v>
      </c>
    </row>
    <row r="7959" ht="15" customHeight="1" s="104">
      <c r="BA7959" s="201" t="n">
        <v>0</v>
      </c>
    </row>
    <row r="7960" ht="15" customHeight="1" s="104">
      <c r="BA7960" s="201" t="n">
        <v>0</v>
      </c>
    </row>
    <row r="7961" ht="15" customHeight="1" s="104">
      <c r="BA7961" s="201" t="n">
        <v>0</v>
      </c>
    </row>
    <row r="7962" ht="15" customHeight="1" s="104">
      <c r="BA7962" s="201" t="n">
        <v>0</v>
      </c>
    </row>
    <row r="7963" ht="15" customHeight="1" s="104">
      <c r="BA7963" s="201" t="n">
        <v>0</v>
      </c>
    </row>
    <row r="7964" ht="15" customHeight="1" s="104">
      <c r="BA7964" s="201" t="n">
        <v>0</v>
      </c>
    </row>
    <row r="7965" ht="15" customHeight="1" s="104">
      <c r="BA7965" s="201" t="n">
        <v>0</v>
      </c>
    </row>
    <row r="7966" ht="15" customHeight="1" s="104">
      <c r="BA7966" s="201" t="n">
        <v>0</v>
      </c>
    </row>
    <row r="7967" ht="15" customHeight="1" s="104">
      <c r="BA7967" s="201" t="n">
        <v>0</v>
      </c>
    </row>
    <row r="7968" ht="15" customHeight="1" s="104">
      <c r="BA7968" s="201" t="n">
        <v>0</v>
      </c>
    </row>
    <row r="7969" ht="15" customHeight="1" s="104">
      <c r="BA7969" s="201" t="n">
        <v>0</v>
      </c>
    </row>
    <row r="7970" ht="15" customHeight="1" s="104">
      <c r="BA7970" s="201" t="n">
        <v>0</v>
      </c>
    </row>
    <row r="7971" ht="15" customHeight="1" s="104">
      <c r="BA7971" s="201" t="n">
        <v>0</v>
      </c>
    </row>
    <row r="7972" ht="15" customHeight="1" s="104">
      <c r="BA7972" s="201" t="n">
        <v>0</v>
      </c>
    </row>
    <row r="7973" ht="15" customHeight="1" s="104">
      <c r="BA7973" s="201" t="n">
        <v>0</v>
      </c>
    </row>
    <row r="7974" ht="15" customHeight="1" s="104">
      <c r="BA7974" s="201" t="n">
        <v>0</v>
      </c>
    </row>
    <row r="7975" ht="15" customHeight="1" s="104">
      <c r="BA7975" s="201" t="n">
        <v>0</v>
      </c>
    </row>
    <row r="7976" ht="15" customHeight="1" s="104">
      <c r="BA7976" s="201" t="n">
        <v>0</v>
      </c>
    </row>
    <row r="7977" ht="15" customHeight="1" s="104">
      <c r="BA7977" s="201" t="n">
        <v>0</v>
      </c>
    </row>
    <row r="7978" ht="15" customHeight="1" s="104">
      <c r="BA7978" s="201" t="n">
        <v>0</v>
      </c>
    </row>
    <row r="7979" ht="15" customHeight="1" s="104">
      <c r="BA7979" s="201" t="n">
        <v>0</v>
      </c>
    </row>
    <row r="7980" ht="15" customHeight="1" s="104">
      <c r="BA7980" s="201" t="n">
        <v>0</v>
      </c>
    </row>
    <row r="7981" ht="15" customHeight="1" s="104">
      <c r="BA7981" s="201" t="n">
        <v>0</v>
      </c>
    </row>
    <row r="7982" ht="15" customHeight="1" s="104">
      <c r="BA7982" s="201" t="n">
        <v>0</v>
      </c>
    </row>
    <row r="7983" ht="15" customHeight="1" s="104">
      <c r="BA7983" s="201" t="n">
        <v>0</v>
      </c>
    </row>
    <row r="7984" ht="15" customHeight="1" s="104">
      <c r="BA7984" s="201" t="n">
        <v>0</v>
      </c>
    </row>
    <row r="7985" ht="15" customHeight="1" s="104">
      <c r="BA7985" s="201" t="n">
        <v>0</v>
      </c>
    </row>
    <row r="7986" ht="15" customHeight="1" s="104">
      <c r="BA7986" s="201" t="n">
        <v>0</v>
      </c>
    </row>
    <row r="7987" ht="15" customHeight="1" s="104">
      <c r="BA7987" s="201" t="n">
        <v>0</v>
      </c>
    </row>
    <row r="7988" ht="15" customHeight="1" s="104">
      <c r="BA7988" s="201" t="n">
        <v>0</v>
      </c>
    </row>
    <row r="7989" ht="15" customHeight="1" s="104">
      <c r="BA7989" s="201" t="n">
        <v>0</v>
      </c>
    </row>
    <row r="7990" ht="15" customHeight="1" s="104">
      <c r="BA7990" s="201" t="n">
        <v>0</v>
      </c>
    </row>
    <row r="7991" ht="15" customHeight="1" s="104">
      <c r="BA7991" s="201" t="n">
        <v>0</v>
      </c>
    </row>
    <row r="7992" ht="15" customHeight="1" s="104">
      <c r="BA7992" s="201" t="n">
        <v>0</v>
      </c>
    </row>
    <row r="7993" ht="15" customHeight="1" s="104">
      <c r="BA7993" s="201" t="n">
        <v>0</v>
      </c>
    </row>
    <row r="7994" ht="15" customHeight="1" s="104">
      <c r="BA7994" s="201" t="n">
        <v>0</v>
      </c>
    </row>
    <row r="7995" ht="15" customHeight="1" s="104">
      <c r="BA7995" s="201" t="n">
        <v>0</v>
      </c>
    </row>
    <row r="7996" ht="15" customHeight="1" s="104">
      <c r="BA7996" s="201" t="n">
        <v>0</v>
      </c>
    </row>
    <row r="7997" ht="15" customHeight="1" s="104">
      <c r="BA7997" s="201" t="n">
        <v>0</v>
      </c>
    </row>
    <row r="7998" ht="15" customHeight="1" s="104">
      <c r="BA7998" s="201" t="n">
        <v>0</v>
      </c>
    </row>
    <row r="7999" ht="15" customHeight="1" s="104">
      <c r="BA7999" s="201" t="n">
        <v>0</v>
      </c>
    </row>
    <row r="8000" ht="15" customHeight="1" s="104">
      <c r="BA8000" s="201" t="n">
        <v>0</v>
      </c>
    </row>
    <row r="8001" ht="15" customHeight="1" s="104">
      <c r="BA8001" s="201" t="n">
        <v>0</v>
      </c>
    </row>
    <row r="8002" ht="15" customHeight="1" s="104">
      <c r="BA8002" s="201" t="n">
        <v>0</v>
      </c>
    </row>
    <row r="8003" ht="15" customHeight="1" s="104">
      <c r="BA8003" s="201" t="n">
        <v>0</v>
      </c>
    </row>
    <row r="8004" ht="15" customHeight="1" s="104">
      <c r="BA8004" s="201" t="n">
        <v>0</v>
      </c>
    </row>
    <row r="8005" ht="15" customHeight="1" s="104">
      <c r="BA8005" s="201" t="n">
        <v>0</v>
      </c>
    </row>
    <row r="8006" ht="15" customHeight="1" s="104">
      <c r="BA8006" s="201" t="n">
        <v>0</v>
      </c>
    </row>
    <row r="8007" ht="15" customHeight="1" s="104">
      <c r="BA8007" s="201" t="n">
        <v>0</v>
      </c>
    </row>
    <row r="8008" ht="15" customHeight="1" s="104">
      <c r="BA8008" s="201" t="n">
        <v>0</v>
      </c>
    </row>
    <row r="8009" ht="15" customHeight="1" s="104">
      <c r="BA8009" s="201" t="n">
        <v>0</v>
      </c>
    </row>
    <row r="8010" ht="15" customHeight="1" s="104">
      <c r="BA8010" s="201" t="n">
        <v>0</v>
      </c>
    </row>
    <row r="8011" ht="15" customHeight="1" s="104">
      <c r="BA8011" s="201" t="n">
        <v>0</v>
      </c>
    </row>
    <row r="8012" ht="15" customHeight="1" s="104">
      <c r="BA8012" s="201" t="n">
        <v>0</v>
      </c>
    </row>
    <row r="8013" ht="15" customHeight="1" s="104">
      <c r="BA8013" s="201" t="n">
        <v>0</v>
      </c>
    </row>
    <row r="8014" ht="15" customHeight="1" s="104">
      <c r="BA8014" s="201" t="n">
        <v>0</v>
      </c>
    </row>
    <row r="8015" ht="15" customHeight="1" s="104">
      <c r="BA8015" s="201" t="n">
        <v>0</v>
      </c>
    </row>
    <row r="8016" ht="15" customHeight="1" s="104">
      <c r="BA8016" s="201" t="n">
        <v>0</v>
      </c>
    </row>
    <row r="8017" ht="15" customHeight="1" s="104">
      <c r="BA8017" s="201" t="n">
        <v>0</v>
      </c>
    </row>
    <row r="8018" ht="15" customHeight="1" s="104">
      <c r="BA8018" s="201" t="n">
        <v>0</v>
      </c>
    </row>
    <row r="8019" ht="15" customHeight="1" s="104">
      <c r="BA8019" s="201" t="n">
        <v>0</v>
      </c>
    </row>
    <row r="8020" ht="15" customHeight="1" s="104">
      <c r="BA8020" s="201" t="n">
        <v>0</v>
      </c>
    </row>
    <row r="8021" ht="15" customHeight="1" s="104">
      <c r="BA8021" s="201" t="n">
        <v>0</v>
      </c>
    </row>
    <row r="8022" ht="15" customHeight="1" s="104">
      <c r="BA8022" s="201" t="n">
        <v>0</v>
      </c>
    </row>
    <row r="8023" ht="15" customHeight="1" s="104">
      <c r="BA8023" s="201" t="n">
        <v>0</v>
      </c>
    </row>
    <row r="8024" ht="15" customHeight="1" s="104">
      <c r="BA8024" s="201" t="n">
        <v>0</v>
      </c>
    </row>
    <row r="8025" ht="15" customHeight="1" s="104">
      <c r="BA8025" s="201" t="n">
        <v>0</v>
      </c>
    </row>
    <row r="8026" ht="15" customHeight="1" s="104">
      <c r="BA8026" s="201" t="n">
        <v>0</v>
      </c>
    </row>
    <row r="8027" ht="15" customHeight="1" s="104">
      <c r="BA8027" s="201" t="n">
        <v>0</v>
      </c>
    </row>
    <row r="8028" ht="15" customHeight="1" s="104">
      <c r="BA8028" s="201" t="n">
        <v>0</v>
      </c>
    </row>
    <row r="8029" ht="15" customHeight="1" s="104">
      <c r="BA8029" s="201" t="n">
        <v>0</v>
      </c>
    </row>
    <row r="8030" ht="15" customHeight="1" s="104">
      <c r="BA8030" s="201" t="n">
        <v>0</v>
      </c>
    </row>
    <row r="8031" ht="15" customHeight="1" s="104">
      <c r="BA8031" s="201" t="n">
        <v>0</v>
      </c>
    </row>
    <row r="8032" ht="15" customHeight="1" s="104">
      <c r="BA8032" s="201" t="n">
        <v>0</v>
      </c>
    </row>
    <row r="8033" ht="15" customHeight="1" s="104">
      <c r="BA8033" s="201" t="n">
        <v>0</v>
      </c>
    </row>
    <row r="8034" ht="15" customHeight="1" s="104">
      <c r="BA8034" s="201" t="n">
        <v>0</v>
      </c>
    </row>
    <row r="8035" ht="15" customHeight="1" s="104">
      <c r="BA8035" s="201" t="n">
        <v>0</v>
      </c>
    </row>
    <row r="8036" ht="15" customHeight="1" s="104">
      <c r="BA8036" s="201" t="n">
        <v>0</v>
      </c>
    </row>
    <row r="8037" ht="15" customHeight="1" s="104">
      <c r="BA8037" s="201" t="n">
        <v>0</v>
      </c>
    </row>
    <row r="8038" ht="15" customHeight="1" s="104">
      <c r="BA8038" s="201" t="n">
        <v>0</v>
      </c>
    </row>
    <row r="8039" ht="15" customHeight="1" s="104">
      <c r="BA8039" s="201" t="n">
        <v>0</v>
      </c>
    </row>
    <row r="8040" ht="15" customHeight="1" s="104">
      <c r="BA8040" s="201" t="n">
        <v>0</v>
      </c>
    </row>
    <row r="8041" ht="15" customHeight="1" s="104">
      <c r="BA8041" s="201" t="n">
        <v>0</v>
      </c>
    </row>
    <row r="8042" ht="15" customHeight="1" s="104">
      <c r="BA8042" s="201" t="n">
        <v>0</v>
      </c>
    </row>
    <row r="8043" ht="15" customHeight="1" s="104">
      <c r="BA8043" s="201" t="n">
        <v>0</v>
      </c>
    </row>
    <row r="8044" ht="15" customHeight="1" s="104">
      <c r="BA8044" s="201" t="n">
        <v>0</v>
      </c>
    </row>
    <row r="8045" ht="15" customHeight="1" s="104">
      <c r="BA8045" s="201" t="n">
        <v>0</v>
      </c>
    </row>
    <row r="8046" ht="15" customHeight="1" s="104">
      <c r="BA8046" s="201" t="n">
        <v>0</v>
      </c>
    </row>
    <row r="8047" ht="15" customHeight="1" s="104">
      <c r="BA8047" s="201" t="n">
        <v>0</v>
      </c>
    </row>
    <row r="8048" ht="15" customHeight="1" s="104">
      <c r="BA8048" s="201" t="n">
        <v>0</v>
      </c>
    </row>
    <row r="8049" ht="15" customHeight="1" s="104">
      <c r="BA8049" s="201" t="n">
        <v>0</v>
      </c>
    </row>
    <row r="8050" ht="15" customHeight="1" s="104">
      <c r="BA8050" s="201" t="n">
        <v>0</v>
      </c>
    </row>
    <row r="8051" ht="15" customHeight="1" s="104">
      <c r="BA8051" s="201" t="n">
        <v>0</v>
      </c>
    </row>
    <row r="8052" ht="15" customHeight="1" s="104">
      <c r="BA8052" s="201" t="n">
        <v>0</v>
      </c>
    </row>
    <row r="8053" ht="15" customHeight="1" s="104">
      <c r="BA8053" s="201" t="n">
        <v>0</v>
      </c>
    </row>
    <row r="8054" ht="15" customHeight="1" s="104">
      <c r="BA8054" s="201" t="n">
        <v>0</v>
      </c>
    </row>
    <row r="8055" ht="15" customHeight="1" s="104">
      <c r="BA8055" s="201" t="n">
        <v>0</v>
      </c>
    </row>
    <row r="8056" ht="15" customHeight="1" s="104">
      <c r="BA8056" s="201" t="n">
        <v>0</v>
      </c>
    </row>
    <row r="8057" ht="15" customHeight="1" s="104">
      <c r="BA8057" s="201" t="n">
        <v>0</v>
      </c>
    </row>
    <row r="8058" ht="15" customHeight="1" s="104">
      <c r="BA8058" s="201" t="n">
        <v>0</v>
      </c>
    </row>
    <row r="8059" ht="15" customHeight="1" s="104">
      <c r="BA8059" s="201" t="n">
        <v>0</v>
      </c>
    </row>
    <row r="8060" ht="15" customHeight="1" s="104">
      <c r="BA8060" s="201" t="n">
        <v>0</v>
      </c>
    </row>
    <row r="8061" ht="15" customHeight="1" s="104">
      <c r="BA8061" s="201" t="n">
        <v>0</v>
      </c>
    </row>
    <row r="8062" ht="15" customHeight="1" s="104">
      <c r="BA8062" s="201" t="n">
        <v>0</v>
      </c>
    </row>
    <row r="8063" ht="15" customHeight="1" s="104">
      <c r="BA8063" s="201" t="n">
        <v>0</v>
      </c>
    </row>
    <row r="8064" ht="15" customHeight="1" s="104">
      <c r="BA8064" s="201" t="n">
        <v>0</v>
      </c>
    </row>
    <row r="8065" ht="15" customHeight="1" s="104">
      <c r="BA8065" s="201" t="n">
        <v>0</v>
      </c>
    </row>
    <row r="8066" ht="15" customHeight="1" s="104">
      <c r="BA8066" s="201" t="n">
        <v>0</v>
      </c>
    </row>
    <row r="8067" ht="15" customHeight="1" s="104">
      <c r="BA8067" s="201" t="n">
        <v>0</v>
      </c>
    </row>
    <row r="8068" ht="15" customHeight="1" s="104">
      <c r="BA8068" s="201" t="n">
        <v>0</v>
      </c>
    </row>
    <row r="8069" ht="15" customHeight="1" s="104">
      <c r="BA8069" s="201" t="n">
        <v>0</v>
      </c>
    </row>
    <row r="8070" ht="15" customHeight="1" s="104">
      <c r="BA8070" s="201" t="n">
        <v>0</v>
      </c>
    </row>
    <row r="8071" ht="15" customHeight="1" s="104">
      <c r="BA8071" s="201" t="n">
        <v>0</v>
      </c>
    </row>
    <row r="8072" ht="15" customHeight="1" s="104">
      <c r="BA8072" s="201" t="n">
        <v>0</v>
      </c>
    </row>
    <row r="8073" ht="15" customHeight="1" s="104">
      <c r="BA8073" s="201" t="n">
        <v>0</v>
      </c>
    </row>
    <row r="8074" ht="15" customHeight="1" s="104">
      <c r="BA8074" s="201" t="n">
        <v>0</v>
      </c>
    </row>
    <row r="8075" ht="15" customHeight="1" s="104">
      <c r="BA8075" s="201" t="n">
        <v>0</v>
      </c>
    </row>
    <row r="8076" ht="15" customHeight="1" s="104">
      <c r="BA8076" s="201" t="n">
        <v>0</v>
      </c>
    </row>
    <row r="8077" ht="15" customHeight="1" s="104">
      <c r="BA8077" s="201" t="n">
        <v>0</v>
      </c>
    </row>
    <row r="8078" ht="15" customHeight="1" s="104">
      <c r="BA8078" s="201" t="n">
        <v>0</v>
      </c>
    </row>
    <row r="8079" ht="15" customHeight="1" s="104">
      <c r="BA8079" s="201" t="n">
        <v>0</v>
      </c>
    </row>
    <row r="8080" ht="15" customHeight="1" s="104">
      <c r="BA8080" s="201" t="n">
        <v>0</v>
      </c>
    </row>
    <row r="8081" ht="15" customHeight="1" s="104">
      <c r="BA8081" s="201" t="n">
        <v>0</v>
      </c>
    </row>
    <row r="8082" ht="15" customHeight="1" s="104">
      <c r="BA8082" s="201" t="n">
        <v>0</v>
      </c>
    </row>
    <row r="8083" ht="15" customHeight="1" s="104">
      <c r="BA8083" s="201" t="n">
        <v>0</v>
      </c>
    </row>
    <row r="8084" ht="15" customHeight="1" s="104">
      <c r="BA8084" s="201" t="n">
        <v>0</v>
      </c>
    </row>
    <row r="8085" ht="15" customHeight="1" s="104">
      <c r="BA8085" s="201" t="n">
        <v>0</v>
      </c>
    </row>
    <row r="8086" ht="15" customHeight="1" s="104">
      <c r="BA8086" s="201" t="n">
        <v>0</v>
      </c>
    </row>
    <row r="8087" ht="15" customHeight="1" s="104">
      <c r="BA8087" s="201" t="n">
        <v>0</v>
      </c>
    </row>
    <row r="8088" ht="15" customHeight="1" s="104">
      <c r="BA8088" s="201" t="n">
        <v>0</v>
      </c>
    </row>
    <row r="8089" ht="15" customHeight="1" s="104">
      <c r="BA8089" s="201" t="n">
        <v>0</v>
      </c>
    </row>
    <row r="8090" ht="15" customHeight="1" s="104">
      <c r="BA8090" s="201" t="n">
        <v>0</v>
      </c>
    </row>
    <row r="8091" ht="15" customHeight="1" s="104">
      <c r="BA8091" s="201" t="n">
        <v>0</v>
      </c>
    </row>
    <row r="8092" ht="15" customHeight="1" s="104">
      <c r="BA8092" s="201" t="n">
        <v>0</v>
      </c>
    </row>
    <row r="8093" ht="15" customHeight="1" s="104">
      <c r="BA8093" s="201" t="n">
        <v>0</v>
      </c>
    </row>
    <row r="8094" ht="15" customHeight="1" s="104">
      <c r="BA8094" s="201" t="n">
        <v>0</v>
      </c>
    </row>
    <row r="8095" ht="15" customHeight="1" s="104">
      <c r="BA8095" s="201" t="n">
        <v>0</v>
      </c>
    </row>
    <row r="8096" ht="15" customHeight="1" s="104">
      <c r="BA8096" s="201" t="n">
        <v>0</v>
      </c>
    </row>
    <row r="8097" ht="15" customHeight="1" s="104">
      <c r="BA8097" s="201" t="n">
        <v>0</v>
      </c>
    </row>
    <row r="8098" ht="15" customHeight="1" s="104">
      <c r="BA8098" s="201" t="n">
        <v>0</v>
      </c>
    </row>
    <row r="8099" ht="15" customHeight="1" s="104">
      <c r="BA8099" s="201" t="n">
        <v>0</v>
      </c>
    </row>
    <row r="8100" ht="15" customHeight="1" s="104">
      <c r="BA8100" s="201" t="n">
        <v>0</v>
      </c>
    </row>
    <row r="8101" ht="15" customHeight="1" s="104">
      <c r="BA8101" s="201" t="n">
        <v>0</v>
      </c>
    </row>
    <row r="8102" ht="15" customHeight="1" s="104">
      <c r="BA8102" s="201" t="n">
        <v>0</v>
      </c>
    </row>
    <row r="8103" ht="15" customHeight="1" s="104">
      <c r="BA8103" s="201" t="n">
        <v>0</v>
      </c>
    </row>
    <row r="8104" ht="15" customHeight="1" s="104">
      <c r="BA8104" s="201" t="n">
        <v>0</v>
      </c>
    </row>
    <row r="8105" ht="15" customHeight="1" s="104">
      <c r="BA8105" s="201" t="n">
        <v>0</v>
      </c>
    </row>
    <row r="8106" ht="15" customHeight="1" s="104">
      <c r="BA8106" s="201" t="n">
        <v>0</v>
      </c>
    </row>
    <row r="8107" ht="15" customHeight="1" s="104">
      <c r="BA8107" s="201" t="n">
        <v>0</v>
      </c>
    </row>
    <row r="8108" ht="15" customHeight="1" s="104">
      <c r="BA8108" s="201" t="n">
        <v>0</v>
      </c>
    </row>
    <row r="8109" ht="15" customHeight="1" s="104">
      <c r="BA8109" s="201" t="n">
        <v>0</v>
      </c>
    </row>
    <row r="8110" ht="15" customHeight="1" s="104">
      <c r="BA8110" s="201" t="n">
        <v>0</v>
      </c>
    </row>
    <row r="8111" ht="15" customHeight="1" s="104">
      <c r="BA8111" s="201" t="n">
        <v>0</v>
      </c>
    </row>
    <row r="8112" ht="15" customHeight="1" s="104">
      <c r="BA8112" s="201" t="n">
        <v>0</v>
      </c>
    </row>
    <row r="8113" ht="15" customHeight="1" s="104">
      <c r="BA8113" s="201" t="n">
        <v>0</v>
      </c>
    </row>
    <row r="8114" ht="15" customHeight="1" s="104">
      <c r="BA8114" s="201" t="n">
        <v>0</v>
      </c>
    </row>
    <row r="8115" ht="15" customHeight="1" s="104">
      <c r="BA8115" s="201" t="n">
        <v>0</v>
      </c>
    </row>
    <row r="8116" ht="15" customHeight="1" s="104">
      <c r="BA8116" s="201" t="n">
        <v>0</v>
      </c>
    </row>
    <row r="8117" ht="15" customHeight="1" s="104">
      <c r="BA8117" s="201" t="n">
        <v>0</v>
      </c>
    </row>
    <row r="8118" ht="15" customHeight="1" s="104">
      <c r="BA8118" s="201" t="n">
        <v>0</v>
      </c>
    </row>
    <row r="8119" ht="15" customHeight="1" s="104">
      <c r="BA8119" s="201" t="n">
        <v>0</v>
      </c>
    </row>
    <row r="8120" ht="15" customHeight="1" s="104">
      <c r="BA8120" s="201" t="n">
        <v>0</v>
      </c>
    </row>
    <row r="8121" ht="15" customHeight="1" s="104">
      <c r="BA8121" s="201" t="n">
        <v>0</v>
      </c>
    </row>
    <row r="8122" ht="15" customHeight="1" s="104">
      <c r="BA8122" s="201" t="n">
        <v>0</v>
      </c>
    </row>
    <row r="8123" ht="15" customHeight="1" s="104">
      <c r="BA8123" s="201" t="n">
        <v>0</v>
      </c>
    </row>
    <row r="8124" ht="15" customHeight="1" s="104">
      <c r="BA8124" s="201" t="n">
        <v>0</v>
      </c>
    </row>
    <row r="8125" ht="15" customHeight="1" s="104">
      <c r="BA8125" s="201" t="n">
        <v>0</v>
      </c>
    </row>
    <row r="8126" ht="15" customHeight="1" s="104">
      <c r="BA8126" s="201" t="n">
        <v>0</v>
      </c>
    </row>
    <row r="8127" ht="15" customHeight="1" s="104">
      <c r="BA8127" s="201" t="n">
        <v>0</v>
      </c>
    </row>
    <row r="8128" ht="15" customHeight="1" s="104">
      <c r="BA8128" s="201" t="n">
        <v>0</v>
      </c>
    </row>
    <row r="8129" ht="15" customHeight="1" s="104">
      <c r="BA8129" s="201" t="n">
        <v>0</v>
      </c>
    </row>
    <row r="8130" ht="15" customHeight="1" s="104">
      <c r="BA8130" s="201" t="n">
        <v>0</v>
      </c>
    </row>
    <row r="8131" ht="15" customHeight="1" s="104">
      <c r="BA8131" s="201" t="n">
        <v>0</v>
      </c>
    </row>
    <row r="8132" ht="15" customHeight="1" s="104">
      <c r="BA8132" s="201" t="n">
        <v>0</v>
      </c>
    </row>
    <row r="8133" ht="15" customHeight="1" s="104">
      <c r="BA8133" s="201" t="n">
        <v>0</v>
      </c>
    </row>
    <row r="8134" ht="15" customHeight="1" s="104">
      <c r="BA8134" s="201" t="n">
        <v>0</v>
      </c>
    </row>
    <row r="8135" ht="15" customHeight="1" s="104">
      <c r="BA8135" s="201" t="n">
        <v>0</v>
      </c>
    </row>
    <row r="8136" ht="15" customHeight="1" s="104">
      <c r="BA8136" s="201" t="n">
        <v>0</v>
      </c>
    </row>
    <row r="8137" ht="15" customHeight="1" s="104">
      <c r="BA8137" s="201" t="n">
        <v>0</v>
      </c>
    </row>
    <row r="8138" ht="15" customHeight="1" s="104">
      <c r="BA8138" s="201" t="n">
        <v>0</v>
      </c>
    </row>
    <row r="8139" ht="15" customHeight="1" s="104">
      <c r="BA8139" s="201" t="n">
        <v>0</v>
      </c>
    </row>
    <row r="8140" ht="15" customHeight="1" s="104">
      <c r="BA8140" s="201" t="n">
        <v>0</v>
      </c>
    </row>
    <row r="8141" ht="15" customHeight="1" s="104">
      <c r="BA8141" s="201" t="n">
        <v>0</v>
      </c>
    </row>
    <row r="8142" ht="15" customHeight="1" s="104">
      <c r="BA8142" s="201" t="n">
        <v>0</v>
      </c>
    </row>
    <row r="8143" ht="15" customHeight="1" s="104">
      <c r="BA8143" s="201" t="n">
        <v>0</v>
      </c>
    </row>
    <row r="8144" ht="15" customHeight="1" s="104">
      <c r="BA8144" s="201" t="n">
        <v>0</v>
      </c>
    </row>
    <row r="8145" ht="15" customHeight="1" s="104">
      <c r="BA8145" s="201" t="n">
        <v>0</v>
      </c>
    </row>
    <row r="8146" ht="15" customHeight="1" s="104">
      <c r="BA8146" s="201" t="n">
        <v>0</v>
      </c>
    </row>
    <row r="8147" ht="15" customHeight="1" s="104">
      <c r="BA8147" s="201" t="n">
        <v>0</v>
      </c>
    </row>
    <row r="8148" ht="15" customHeight="1" s="104">
      <c r="BA8148" s="201" t="n">
        <v>0</v>
      </c>
    </row>
    <row r="8149" ht="15" customHeight="1" s="104">
      <c r="BA8149" s="201" t="n">
        <v>0</v>
      </c>
    </row>
    <row r="8150" ht="15" customHeight="1" s="104">
      <c r="BA8150" s="201" t="n">
        <v>0</v>
      </c>
    </row>
    <row r="8151" ht="15" customHeight="1" s="104">
      <c r="BA8151" s="201" t="n">
        <v>0</v>
      </c>
    </row>
    <row r="8152" ht="15" customHeight="1" s="104">
      <c r="BA8152" s="201" t="n">
        <v>0</v>
      </c>
    </row>
    <row r="8153" ht="15" customHeight="1" s="104">
      <c r="BA8153" s="201" t="n">
        <v>0</v>
      </c>
    </row>
    <row r="8154" ht="15" customHeight="1" s="104">
      <c r="BA8154" s="201" t="n">
        <v>0</v>
      </c>
    </row>
    <row r="8155" ht="15" customHeight="1" s="104">
      <c r="BA8155" s="201" t="n">
        <v>0</v>
      </c>
    </row>
    <row r="8156" ht="15" customHeight="1" s="104">
      <c r="BA8156" s="201" t="n">
        <v>0</v>
      </c>
    </row>
    <row r="8157" ht="15" customHeight="1" s="104">
      <c r="BA8157" s="201" t="n">
        <v>0</v>
      </c>
    </row>
    <row r="8158" ht="15" customHeight="1" s="104">
      <c r="BA8158" s="201" t="n">
        <v>0</v>
      </c>
    </row>
    <row r="8159" ht="15" customHeight="1" s="104">
      <c r="BA8159" s="201" t="n">
        <v>0</v>
      </c>
    </row>
    <row r="8160" ht="15" customHeight="1" s="104">
      <c r="BA8160" s="201" t="n">
        <v>0</v>
      </c>
    </row>
    <row r="8161" ht="15" customHeight="1" s="104">
      <c r="BA8161" s="201" t="n">
        <v>0</v>
      </c>
    </row>
    <row r="8162" ht="15" customHeight="1" s="104">
      <c r="BA8162" s="201" t="n">
        <v>0</v>
      </c>
    </row>
    <row r="8163" ht="15" customHeight="1" s="104">
      <c r="BA8163" s="201" t="n">
        <v>0</v>
      </c>
    </row>
    <row r="8164" ht="15" customHeight="1" s="104">
      <c r="BA8164" s="201" t="n">
        <v>0</v>
      </c>
    </row>
    <row r="8165" ht="15" customHeight="1" s="104">
      <c r="BA8165" s="201" t="n">
        <v>0</v>
      </c>
    </row>
    <row r="8166" ht="15" customHeight="1" s="104">
      <c r="BA8166" s="201" t="n">
        <v>0</v>
      </c>
    </row>
    <row r="8167" ht="15" customHeight="1" s="104">
      <c r="BA8167" s="201" t="n">
        <v>0</v>
      </c>
    </row>
    <row r="8168" ht="15" customHeight="1" s="104">
      <c r="BA8168" s="201" t="n">
        <v>0</v>
      </c>
    </row>
    <row r="8169" ht="15" customHeight="1" s="104">
      <c r="BA8169" s="201" t="n">
        <v>0</v>
      </c>
    </row>
    <row r="8170" ht="15" customHeight="1" s="104">
      <c r="BA8170" s="201" t="n">
        <v>0</v>
      </c>
    </row>
    <row r="8171" ht="15" customHeight="1" s="104">
      <c r="BA8171" s="201" t="n">
        <v>0</v>
      </c>
    </row>
    <row r="8172" ht="15" customHeight="1" s="104">
      <c r="BA8172" s="201" t="n">
        <v>0</v>
      </c>
    </row>
    <row r="8173" ht="15" customHeight="1" s="104">
      <c r="BA8173" s="201" t="n">
        <v>0</v>
      </c>
    </row>
    <row r="8174" ht="15" customHeight="1" s="104">
      <c r="BA8174" s="201" t="n">
        <v>0</v>
      </c>
    </row>
    <row r="8175" ht="15" customHeight="1" s="104">
      <c r="BA8175" s="201" t="n">
        <v>0</v>
      </c>
    </row>
    <row r="8176" ht="15" customHeight="1" s="104">
      <c r="BA8176" s="201" t="n">
        <v>0</v>
      </c>
    </row>
    <row r="8177" ht="15" customHeight="1" s="104">
      <c r="BA8177" s="201" t="n">
        <v>0</v>
      </c>
    </row>
    <row r="8178" ht="15" customHeight="1" s="104">
      <c r="BA8178" s="201" t="n">
        <v>0</v>
      </c>
    </row>
    <row r="8179" ht="15" customHeight="1" s="104">
      <c r="BA8179" s="201" t="n">
        <v>0</v>
      </c>
    </row>
    <row r="8180" ht="15" customHeight="1" s="104">
      <c r="BA8180" s="201" t="n">
        <v>0</v>
      </c>
    </row>
    <row r="8181" ht="15" customHeight="1" s="104">
      <c r="BA8181" s="201" t="n">
        <v>0</v>
      </c>
    </row>
    <row r="8182" ht="15" customHeight="1" s="104">
      <c r="BA8182" s="201" t="n">
        <v>0</v>
      </c>
    </row>
    <row r="8183" ht="15" customHeight="1" s="104">
      <c r="BA8183" s="201" t="n">
        <v>0</v>
      </c>
    </row>
    <row r="8184" ht="15" customHeight="1" s="104">
      <c r="BA8184" s="201" t="n">
        <v>0</v>
      </c>
    </row>
    <row r="8185" ht="15" customHeight="1" s="104">
      <c r="BA8185" s="201" t="n">
        <v>0</v>
      </c>
    </row>
    <row r="8186" ht="15" customHeight="1" s="104">
      <c r="BA8186" s="201" t="n">
        <v>0</v>
      </c>
    </row>
    <row r="8187" ht="15" customHeight="1" s="104">
      <c r="BA8187" s="201" t="n">
        <v>0</v>
      </c>
    </row>
    <row r="8188" ht="15" customHeight="1" s="104">
      <c r="BA8188" s="201" t="n">
        <v>0</v>
      </c>
    </row>
    <row r="8189" ht="15" customHeight="1" s="104">
      <c r="BA8189" s="201" t="n">
        <v>0</v>
      </c>
    </row>
    <row r="8190" ht="15" customHeight="1" s="104">
      <c r="BA8190" s="201" t="n">
        <v>0</v>
      </c>
    </row>
    <row r="8191" ht="15" customHeight="1" s="104">
      <c r="BA8191" s="201" t="n">
        <v>0</v>
      </c>
    </row>
    <row r="8192" ht="15" customHeight="1" s="104">
      <c r="BA8192" s="201" t="n">
        <v>0</v>
      </c>
    </row>
    <row r="8193" ht="15" customHeight="1" s="104">
      <c r="BA8193" s="201" t="n">
        <v>0</v>
      </c>
    </row>
    <row r="8194" ht="15" customHeight="1" s="104">
      <c r="BA8194" s="201" t="n">
        <v>0</v>
      </c>
    </row>
    <row r="8195" ht="15" customHeight="1" s="104">
      <c r="BA8195" s="201" t="n">
        <v>0</v>
      </c>
    </row>
    <row r="8196" ht="15" customHeight="1" s="104">
      <c r="BA8196" s="201" t="n">
        <v>0</v>
      </c>
    </row>
    <row r="8197" ht="15" customHeight="1" s="104">
      <c r="BA8197" s="201" t="n">
        <v>0</v>
      </c>
    </row>
    <row r="8198" ht="15" customHeight="1" s="104">
      <c r="BA8198" s="201" t="n">
        <v>0</v>
      </c>
    </row>
    <row r="8199" ht="15" customHeight="1" s="104">
      <c r="BA8199" s="201" t="n">
        <v>0</v>
      </c>
    </row>
    <row r="8200" ht="15" customHeight="1" s="104">
      <c r="BA8200" s="201" t="n">
        <v>0</v>
      </c>
    </row>
    <row r="8201" ht="15" customHeight="1" s="104">
      <c r="BA8201" s="201" t="n">
        <v>0</v>
      </c>
    </row>
    <row r="8202" ht="15" customHeight="1" s="104">
      <c r="BA8202" s="201" t="n">
        <v>0</v>
      </c>
    </row>
    <row r="8203" ht="15" customHeight="1" s="104">
      <c r="BA8203" s="201" t="n">
        <v>0</v>
      </c>
    </row>
    <row r="8204" ht="15" customHeight="1" s="104">
      <c r="BA8204" s="201" t="n">
        <v>0</v>
      </c>
    </row>
    <row r="8205" ht="15" customHeight="1" s="104">
      <c r="BA8205" s="201" t="n">
        <v>0</v>
      </c>
    </row>
    <row r="8206" ht="15" customHeight="1" s="104">
      <c r="BA8206" s="201" t="n">
        <v>0</v>
      </c>
    </row>
    <row r="8207" ht="15" customHeight="1" s="104">
      <c r="BA8207" s="201" t="n">
        <v>0</v>
      </c>
    </row>
    <row r="8208" ht="15" customHeight="1" s="104">
      <c r="BA8208" s="201" t="n">
        <v>0</v>
      </c>
    </row>
    <row r="8209" ht="15" customHeight="1" s="104">
      <c r="BA8209" s="201" t="n">
        <v>0</v>
      </c>
    </row>
    <row r="8210" ht="15" customHeight="1" s="104">
      <c r="BA8210" s="201" t="n">
        <v>0</v>
      </c>
    </row>
    <row r="8211" ht="15" customHeight="1" s="104">
      <c r="BA8211" s="201" t="n">
        <v>0</v>
      </c>
    </row>
    <row r="8212" ht="15" customHeight="1" s="104">
      <c r="BA8212" s="201" t="n">
        <v>0</v>
      </c>
    </row>
    <row r="8213" ht="15" customHeight="1" s="104">
      <c r="BA8213" s="201" t="n">
        <v>0</v>
      </c>
    </row>
    <row r="8214" ht="15" customHeight="1" s="104">
      <c r="BA8214" s="201" t="n">
        <v>0</v>
      </c>
    </row>
    <row r="8215" ht="15" customHeight="1" s="104">
      <c r="BA8215" s="201" t="n">
        <v>0</v>
      </c>
    </row>
    <row r="8216" ht="15" customHeight="1" s="104">
      <c r="BA8216" s="201" t="n">
        <v>0</v>
      </c>
    </row>
    <row r="8217" ht="15" customHeight="1" s="104">
      <c r="BA8217" s="201" t="n">
        <v>0</v>
      </c>
    </row>
    <row r="8218" ht="15" customHeight="1" s="104">
      <c r="BA8218" s="201" t="n">
        <v>0</v>
      </c>
    </row>
    <row r="8219" ht="15" customHeight="1" s="104">
      <c r="BA8219" s="201" t="n">
        <v>0</v>
      </c>
    </row>
    <row r="8220" ht="15" customHeight="1" s="104">
      <c r="BA8220" s="201" t="n">
        <v>0</v>
      </c>
    </row>
    <row r="8221" ht="15" customHeight="1" s="104">
      <c r="BA8221" s="201" t="n">
        <v>0</v>
      </c>
    </row>
    <row r="8222" ht="15" customHeight="1" s="104">
      <c r="BA8222" s="201" t="n">
        <v>0</v>
      </c>
    </row>
    <row r="8223" ht="15" customHeight="1" s="104">
      <c r="BA8223" s="201" t="n">
        <v>0</v>
      </c>
    </row>
    <row r="8224" ht="15" customHeight="1" s="104">
      <c r="BA8224" s="201" t="n">
        <v>0</v>
      </c>
    </row>
    <row r="8225" ht="15" customHeight="1" s="104">
      <c r="BA8225" s="201" t="n">
        <v>0</v>
      </c>
    </row>
    <row r="8226" ht="15" customHeight="1" s="104">
      <c r="BA8226" s="201" t="n">
        <v>0</v>
      </c>
    </row>
    <row r="8227" ht="15" customHeight="1" s="104">
      <c r="BA8227" s="201" t="n">
        <v>0</v>
      </c>
    </row>
    <row r="8228" ht="15" customHeight="1" s="104">
      <c r="BA8228" s="201" t="n">
        <v>0</v>
      </c>
    </row>
    <row r="8229" ht="15" customHeight="1" s="104">
      <c r="BA8229" s="201" t="n">
        <v>0</v>
      </c>
    </row>
    <row r="8230" ht="15" customHeight="1" s="104">
      <c r="BA8230" s="201" t="n">
        <v>0</v>
      </c>
    </row>
    <row r="8231" ht="15" customHeight="1" s="104">
      <c r="BA8231" s="201" t="n">
        <v>0</v>
      </c>
    </row>
    <row r="8232" ht="15" customHeight="1" s="104">
      <c r="BA8232" s="201" t="n">
        <v>0</v>
      </c>
    </row>
    <row r="8233" ht="15" customHeight="1" s="104">
      <c r="BA8233" s="201" t="n">
        <v>0</v>
      </c>
    </row>
    <row r="8234" ht="15" customHeight="1" s="104">
      <c r="BA8234" s="201" t="n">
        <v>0</v>
      </c>
    </row>
    <row r="8235" ht="15" customHeight="1" s="104">
      <c r="BA8235" s="201" t="n">
        <v>0</v>
      </c>
    </row>
    <row r="8236" ht="15" customHeight="1" s="104">
      <c r="BA8236" s="201" t="n">
        <v>0</v>
      </c>
    </row>
    <row r="8237" ht="15" customHeight="1" s="104">
      <c r="BA8237" s="201" t="n">
        <v>0</v>
      </c>
    </row>
    <row r="8238" ht="15" customHeight="1" s="104">
      <c r="BA8238" s="201" t="n">
        <v>0</v>
      </c>
    </row>
    <row r="8239" ht="15" customHeight="1" s="104">
      <c r="BA8239" s="201" t="n">
        <v>0</v>
      </c>
    </row>
    <row r="8240" ht="15" customHeight="1" s="104">
      <c r="BA8240" s="201" t="n">
        <v>0</v>
      </c>
    </row>
    <row r="8241" ht="15" customHeight="1" s="104">
      <c r="BA8241" s="201" t="n">
        <v>0</v>
      </c>
    </row>
    <row r="8242" ht="15" customHeight="1" s="104">
      <c r="BA8242" s="201" t="n">
        <v>0</v>
      </c>
    </row>
    <row r="8243" ht="15" customHeight="1" s="104">
      <c r="BA8243" s="201" t="n">
        <v>0</v>
      </c>
    </row>
    <row r="8244" ht="15" customHeight="1" s="104">
      <c r="BA8244" s="201" t="n">
        <v>0</v>
      </c>
    </row>
    <row r="8245" ht="15" customHeight="1" s="104">
      <c r="BA8245" s="201" t="n">
        <v>0</v>
      </c>
    </row>
    <row r="8246" ht="15" customHeight="1" s="104">
      <c r="BA8246" s="201" t="n">
        <v>0</v>
      </c>
    </row>
    <row r="8247" ht="15" customHeight="1" s="104">
      <c r="BA8247" s="201" t="n">
        <v>0</v>
      </c>
    </row>
    <row r="8248" ht="15" customHeight="1" s="104">
      <c r="BA8248" s="201" t="n">
        <v>0</v>
      </c>
    </row>
    <row r="8249" ht="15" customHeight="1" s="104">
      <c r="BA8249" s="201" t="n">
        <v>0</v>
      </c>
    </row>
    <row r="8250" ht="15" customHeight="1" s="104">
      <c r="BA8250" s="201" t="n">
        <v>0</v>
      </c>
    </row>
    <row r="8251" ht="15" customHeight="1" s="104">
      <c r="BA8251" s="201" t="n">
        <v>0</v>
      </c>
    </row>
    <row r="8252" ht="15" customHeight="1" s="104">
      <c r="BA8252" s="201" t="n">
        <v>0</v>
      </c>
    </row>
    <row r="8253" ht="15" customHeight="1" s="104">
      <c r="BA8253" s="201" t="n">
        <v>0</v>
      </c>
    </row>
    <row r="8254" ht="15" customHeight="1" s="104">
      <c r="BA8254" s="201" t="n">
        <v>0</v>
      </c>
    </row>
    <row r="8255" ht="15" customHeight="1" s="104">
      <c r="BA8255" s="201" t="n">
        <v>0</v>
      </c>
    </row>
    <row r="8256" ht="15" customHeight="1" s="104">
      <c r="BA8256" s="201" t="n">
        <v>0</v>
      </c>
    </row>
    <row r="8257" ht="15" customHeight="1" s="104">
      <c r="BA8257" s="201" t="n">
        <v>0</v>
      </c>
    </row>
    <row r="8258" ht="15" customHeight="1" s="104">
      <c r="BA8258" s="201" t="n">
        <v>0</v>
      </c>
    </row>
    <row r="8259" ht="15" customHeight="1" s="104">
      <c r="BA8259" s="201" t="n">
        <v>0</v>
      </c>
    </row>
    <row r="8260" ht="15" customHeight="1" s="104">
      <c r="BA8260" s="201" t="n">
        <v>0</v>
      </c>
    </row>
    <row r="8261" ht="15" customHeight="1" s="104">
      <c r="BA8261" s="201" t="n">
        <v>0</v>
      </c>
    </row>
    <row r="8262" ht="15" customHeight="1" s="104">
      <c r="BA8262" s="201" t="n">
        <v>0</v>
      </c>
    </row>
    <row r="8263" ht="15" customHeight="1" s="104">
      <c r="BA8263" s="201" t="n">
        <v>0</v>
      </c>
    </row>
    <row r="8264" ht="15" customHeight="1" s="104">
      <c r="BA8264" s="201" t="n">
        <v>0</v>
      </c>
    </row>
    <row r="8265" ht="15" customHeight="1" s="104">
      <c r="BA8265" s="201" t="n">
        <v>0</v>
      </c>
    </row>
    <row r="8266" ht="15" customHeight="1" s="104">
      <c r="BA8266" s="201" t="n">
        <v>0</v>
      </c>
    </row>
    <row r="8267" ht="15" customHeight="1" s="104">
      <c r="BA8267" s="201" t="n">
        <v>0</v>
      </c>
    </row>
    <row r="8268" ht="15" customHeight="1" s="104">
      <c r="BA8268" s="201" t="n">
        <v>0</v>
      </c>
    </row>
    <row r="8269" ht="15" customHeight="1" s="104">
      <c r="BA8269" s="201" t="n">
        <v>0</v>
      </c>
    </row>
    <row r="8270" ht="15" customHeight="1" s="104">
      <c r="BA8270" s="201" t="n">
        <v>0</v>
      </c>
    </row>
    <row r="8271" ht="15" customHeight="1" s="104">
      <c r="BA8271" s="201" t="n">
        <v>0</v>
      </c>
    </row>
    <row r="8272" ht="15" customHeight="1" s="104">
      <c r="BA8272" s="201" t="n">
        <v>0</v>
      </c>
    </row>
    <row r="8273" ht="15" customHeight="1" s="104">
      <c r="BA8273" s="201" t="n">
        <v>0</v>
      </c>
    </row>
    <row r="8274" ht="15" customHeight="1" s="104">
      <c r="BA8274" s="201" t="n">
        <v>0</v>
      </c>
    </row>
    <row r="8275" ht="15" customHeight="1" s="104">
      <c r="BA8275" s="201" t="n">
        <v>0</v>
      </c>
    </row>
    <row r="8276" ht="15" customHeight="1" s="104">
      <c r="BA8276" s="201" t="n">
        <v>0</v>
      </c>
    </row>
    <row r="8277" ht="15" customHeight="1" s="104">
      <c r="BA8277" s="201" t="n">
        <v>0</v>
      </c>
    </row>
    <row r="8278" ht="15" customHeight="1" s="104">
      <c r="BA8278" s="201" t="n">
        <v>0</v>
      </c>
    </row>
    <row r="8279" ht="15" customHeight="1" s="104">
      <c r="BA8279" s="201" t="n">
        <v>0</v>
      </c>
    </row>
    <row r="8280" ht="15" customHeight="1" s="104">
      <c r="BA8280" s="201" t="n">
        <v>0</v>
      </c>
    </row>
    <row r="8281" ht="15" customHeight="1" s="104">
      <c r="BA8281" s="201" t="n">
        <v>0</v>
      </c>
    </row>
    <row r="8282" ht="15" customHeight="1" s="104">
      <c r="BA8282" s="201" t="n">
        <v>0</v>
      </c>
    </row>
    <row r="8283" ht="15" customHeight="1" s="104">
      <c r="BA8283" s="201" t="n">
        <v>0</v>
      </c>
    </row>
    <row r="8284" ht="15" customHeight="1" s="104">
      <c r="BA8284" s="201" t="n">
        <v>0</v>
      </c>
    </row>
    <row r="8285" ht="15" customHeight="1" s="104">
      <c r="BA8285" s="201" t="n">
        <v>0</v>
      </c>
    </row>
    <row r="8286" ht="15" customHeight="1" s="104">
      <c r="BA8286" s="201" t="n">
        <v>0</v>
      </c>
    </row>
    <row r="8287" ht="15" customHeight="1" s="104">
      <c r="BA8287" s="201" t="n">
        <v>0</v>
      </c>
    </row>
    <row r="8288" ht="15" customHeight="1" s="104">
      <c r="BA8288" s="201" t="n">
        <v>0</v>
      </c>
    </row>
    <row r="8289" ht="15" customHeight="1" s="104">
      <c r="BA8289" s="201" t="n">
        <v>0</v>
      </c>
    </row>
    <row r="8290" ht="15" customHeight="1" s="104">
      <c r="BA8290" s="201" t="n">
        <v>0</v>
      </c>
    </row>
    <row r="8291" ht="15" customHeight="1" s="104">
      <c r="BA8291" s="201" t="n">
        <v>0</v>
      </c>
    </row>
    <row r="8292" ht="15" customHeight="1" s="104">
      <c r="BA8292" s="201" t="n">
        <v>0</v>
      </c>
    </row>
    <row r="8293" ht="15" customHeight="1" s="104">
      <c r="BA8293" s="201" t="n">
        <v>0</v>
      </c>
    </row>
    <row r="8294" ht="15" customHeight="1" s="104">
      <c r="BA8294" s="201" t="n">
        <v>0</v>
      </c>
    </row>
    <row r="8295" ht="15" customHeight="1" s="104">
      <c r="BA8295" s="201" t="n">
        <v>0</v>
      </c>
    </row>
    <row r="8296" ht="15" customHeight="1" s="104">
      <c r="BA8296" s="201" t="n">
        <v>0</v>
      </c>
    </row>
    <row r="8297" ht="15" customHeight="1" s="104">
      <c r="BA8297" s="201" t="n">
        <v>0</v>
      </c>
    </row>
    <row r="8298" ht="15" customHeight="1" s="104">
      <c r="BA8298" s="201" t="n">
        <v>0</v>
      </c>
    </row>
    <row r="8299" ht="15" customHeight="1" s="104">
      <c r="BA8299" s="201" t="n">
        <v>0</v>
      </c>
    </row>
    <row r="8300" ht="15" customHeight="1" s="104">
      <c r="BA8300" s="201" t="n">
        <v>0</v>
      </c>
    </row>
    <row r="8301" ht="15" customHeight="1" s="104">
      <c r="BA8301" s="201" t="n">
        <v>0</v>
      </c>
    </row>
    <row r="8302" ht="15" customHeight="1" s="104">
      <c r="BA8302" s="201" t="n">
        <v>0</v>
      </c>
    </row>
    <row r="8303" ht="15" customHeight="1" s="104">
      <c r="BA8303" s="201" t="n">
        <v>0</v>
      </c>
    </row>
    <row r="8304" ht="15" customHeight="1" s="104">
      <c r="BA8304" s="201" t="n">
        <v>0</v>
      </c>
    </row>
    <row r="8305" ht="15" customHeight="1" s="104">
      <c r="BA8305" s="201" t="n">
        <v>0</v>
      </c>
    </row>
    <row r="8306" ht="15" customHeight="1" s="104">
      <c r="BA8306" s="201" t="n">
        <v>0</v>
      </c>
    </row>
    <row r="8307" ht="15" customHeight="1" s="104">
      <c r="BA8307" s="201" t="n">
        <v>0</v>
      </c>
    </row>
    <row r="8308" ht="15" customHeight="1" s="104">
      <c r="BA8308" s="201" t="n">
        <v>0</v>
      </c>
    </row>
    <row r="8309" ht="15" customHeight="1" s="104">
      <c r="BA8309" s="201" t="n">
        <v>0</v>
      </c>
    </row>
    <row r="8310" ht="15" customHeight="1" s="104">
      <c r="BA8310" s="201" t="n">
        <v>0</v>
      </c>
    </row>
    <row r="8311" ht="15" customHeight="1" s="104">
      <c r="BA8311" s="201" t="n">
        <v>0</v>
      </c>
    </row>
    <row r="8312" ht="15" customHeight="1" s="104">
      <c r="BA8312" s="201" t="n">
        <v>0</v>
      </c>
    </row>
    <row r="8313" ht="15" customHeight="1" s="104">
      <c r="BA8313" s="201" t="n">
        <v>0</v>
      </c>
    </row>
    <row r="8314" ht="15" customHeight="1" s="104">
      <c r="BA8314" s="201" t="n">
        <v>0</v>
      </c>
    </row>
    <row r="8315" ht="15" customHeight="1" s="104">
      <c r="BA8315" s="201" t="n">
        <v>0</v>
      </c>
    </row>
    <row r="8316" ht="15" customHeight="1" s="104">
      <c r="BA8316" s="201" t="n">
        <v>0</v>
      </c>
    </row>
    <row r="8317" ht="15" customHeight="1" s="104">
      <c r="BA8317" s="201" t="n">
        <v>0</v>
      </c>
    </row>
    <row r="8318" ht="15" customHeight="1" s="104">
      <c r="BA8318" s="201" t="n">
        <v>0</v>
      </c>
    </row>
    <row r="8319" ht="15" customHeight="1" s="104">
      <c r="BA8319" s="201" t="n">
        <v>0</v>
      </c>
    </row>
    <row r="8320" ht="15" customHeight="1" s="104">
      <c r="BA8320" s="201" t="n">
        <v>0</v>
      </c>
    </row>
    <row r="8321" ht="15" customHeight="1" s="104">
      <c r="BA8321" s="201" t="n">
        <v>0</v>
      </c>
    </row>
    <row r="8322" ht="15" customHeight="1" s="104">
      <c r="BA8322" s="201" t="n">
        <v>0</v>
      </c>
    </row>
    <row r="8323" ht="15" customHeight="1" s="104">
      <c r="BA8323" s="201" t="n">
        <v>0</v>
      </c>
    </row>
    <row r="8324" ht="15" customHeight="1" s="104">
      <c r="BA8324" s="201" t="n">
        <v>0</v>
      </c>
    </row>
    <row r="8325" ht="15" customHeight="1" s="104">
      <c r="BA8325" s="201" t="n">
        <v>0</v>
      </c>
    </row>
    <row r="8326" ht="15" customHeight="1" s="104">
      <c r="BA8326" s="201" t="n">
        <v>0</v>
      </c>
    </row>
    <row r="8327" ht="15" customHeight="1" s="104">
      <c r="BA8327" s="201" t="n">
        <v>0</v>
      </c>
    </row>
    <row r="8328" ht="15" customHeight="1" s="104">
      <c r="BA8328" s="201" t="n">
        <v>0</v>
      </c>
    </row>
    <row r="8329" ht="15" customHeight="1" s="104">
      <c r="BA8329" s="201" t="n">
        <v>0</v>
      </c>
    </row>
    <row r="8330" ht="15" customHeight="1" s="104">
      <c r="BA8330" s="201" t="n">
        <v>0</v>
      </c>
    </row>
    <row r="8331" ht="15" customHeight="1" s="104">
      <c r="BA8331" s="201" t="n">
        <v>0</v>
      </c>
    </row>
    <row r="8332" ht="15" customHeight="1" s="104">
      <c r="BA8332" s="201" t="n">
        <v>0</v>
      </c>
    </row>
    <row r="8333" ht="15" customHeight="1" s="104">
      <c r="BA8333" s="201" t="n">
        <v>0</v>
      </c>
    </row>
    <row r="8334" ht="15" customHeight="1" s="104">
      <c r="BA8334" s="201" t="n">
        <v>0</v>
      </c>
    </row>
    <row r="8335" ht="15" customHeight="1" s="104">
      <c r="BA8335" s="201" t="n">
        <v>0</v>
      </c>
    </row>
    <row r="8336" ht="15" customHeight="1" s="104">
      <c r="BA8336" s="201" t="n">
        <v>0</v>
      </c>
    </row>
    <row r="8337" ht="15" customHeight="1" s="104">
      <c r="BA8337" s="201" t="n">
        <v>0</v>
      </c>
    </row>
    <row r="8338" ht="15" customHeight="1" s="104">
      <c r="BA8338" s="201" t="n">
        <v>0</v>
      </c>
    </row>
    <row r="8339" ht="15" customHeight="1" s="104">
      <c r="BA8339" s="201" t="n">
        <v>0</v>
      </c>
    </row>
    <row r="8340" ht="15" customHeight="1" s="104">
      <c r="BA8340" s="201" t="n">
        <v>0</v>
      </c>
    </row>
    <row r="8341" ht="15" customHeight="1" s="104">
      <c r="BA8341" s="201" t="n">
        <v>0</v>
      </c>
    </row>
    <row r="8342" ht="15" customHeight="1" s="104">
      <c r="BA8342" s="201" t="n">
        <v>0</v>
      </c>
    </row>
    <row r="8343" ht="15" customHeight="1" s="104">
      <c r="BA8343" s="201" t="n">
        <v>0</v>
      </c>
    </row>
    <row r="8344" ht="15" customHeight="1" s="104">
      <c r="BA8344" s="201" t="n">
        <v>0</v>
      </c>
    </row>
    <row r="8345" ht="15" customHeight="1" s="104">
      <c r="BA8345" s="201" t="n">
        <v>0</v>
      </c>
    </row>
    <row r="8346" ht="15" customHeight="1" s="104">
      <c r="BA8346" s="201" t="n">
        <v>0</v>
      </c>
    </row>
    <row r="8347" ht="15" customHeight="1" s="104">
      <c r="BA8347" s="201" t="n">
        <v>0</v>
      </c>
    </row>
    <row r="8348" ht="15" customHeight="1" s="104">
      <c r="BA8348" s="201" t="n">
        <v>0</v>
      </c>
    </row>
    <row r="8349" ht="15" customHeight="1" s="104">
      <c r="BA8349" s="201" t="n">
        <v>0</v>
      </c>
    </row>
    <row r="8350" ht="15" customHeight="1" s="104">
      <c r="BA8350" s="201" t="n">
        <v>0</v>
      </c>
    </row>
    <row r="8351" ht="15" customHeight="1" s="104">
      <c r="BA8351" s="201" t="n">
        <v>0</v>
      </c>
    </row>
    <row r="8352" ht="15" customHeight="1" s="104">
      <c r="BA8352" s="201" t="n">
        <v>0</v>
      </c>
    </row>
    <row r="8353" ht="15" customHeight="1" s="104">
      <c r="BA8353" s="201" t="n">
        <v>0</v>
      </c>
    </row>
    <row r="8354" ht="15" customHeight="1" s="104">
      <c r="BA8354" s="201" t="n">
        <v>0</v>
      </c>
    </row>
    <row r="8355" ht="15" customHeight="1" s="104">
      <c r="BA8355" s="201" t="n">
        <v>0</v>
      </c>
    </row>
    <row r="8356" ht="15" customHeight="1" s="104">
      <c r="BA8356" s="201" t="n">
        <v>0</v>
      </c>
    </row>
    <row r="8357" ht="15" customHeight="1" s="104">
      <c r="BA8357" s="201" t="n">
        <v>0</v>
      </c>
    </row>
    <row r="8358" ht="15" customHeight="1" s="104">
      <c r="BA8358" s="201" t="n">
        <v>0</v>
      </c>
    </row>
    <row r="8359" ht="15" customHeight="1" s="104">
      <c r="BA8359" s="201" t="n">
        <v>0</v>
      </c>
    </row>
    <row r="8360" ht="15" customHeight="1" s="104">
      <c r="BA8360" s="201" t="n">
        <v>0</v>
      </c>
    </row>
    <row r="8361" ht="15" customHeight="1" s="104">
      <c r="BA8361" s="201" t="n">
        <v>0</v>
      </c>
    </row>
    <row r="8362" ht="15" customHeight="1" s="104">
      <c r="BA8362" s="201" t="n">
        <v>0</v>
      </c>
    </row>
    <row r="8363" ht="15" customHeight="1" s="104">
      <c r="BA8363" s="201" t="n">
        <v>0</v>
      </c>
    </row>
    <row r="8364" ht="15" customHeight="1" s="104">
      <c r="BA8364" s="201" t="n">
        <v>0</v>
      </c>
    </row>
    <row r="8365" ht="15" customHeight="1" s="104">
      <c r="BA8365" s="201" t="n">
        <v>0</v>
      </c>
    </row>
    <row r="8366" ht="15" customHeight="1" s="104">
      <c r="BA8366" s="201" t="n">
        <v>0</v>
      </c>
    </row>
    <row r="8367" ht="15" customHeight="1" s="104">
      <c r="BA8367" s="201" t="n">
        <v>0</v>
      </c>
    </row>
    <row r="8368" ht="15" customHeight="1" s="104">
      <c r="BA8368" s="201" t="n">
        <v>0</v>
      </c>
    </row>
    <row r="8369" ht="15" customHeight="1" s="104">
      <c r="BA8369" s="201" t="n">
        <v>0</v>
      </c>
    </row>
    <row r="8370" ht="15" customHeight="1" s="104">
      <c r="BA8370" s="201" t="n">
        <v>0</v>
      </c>
    </row>
    <row r="8371" ht="15" customHeight="1" s="104">
      <c r="BA8371" s="201" t="n">
        <v>0</v>
      </c>
    </row>
    <row r="8372" ht="15" customHeight="1" s="104">
      <c r="BA8372" s="201" t="n">
        <v>0</v>
      </c>
    </row>
    <row r="8373" ht="15" customHeight="1" s="104">
      <c r="BA8373" s="201" t="n">
        <v>0</v>
      </c>
    </row>
    <row r="8374" ht="15" customHeight="1" s="104">
      <c r="BA8374" s="201" t="n">
        <v>0</v>
      </c>
    </row>
    <row r="8375" ht="15" customHeight="1" s="104">
      <c r="BA8375" s="201" t="n">
        <v>0</v>
      </c>
    </row>
    <row r="8376" ht="15" customHeight="1" s="104">
      <c r="BA8376" s="201" t="n">
        <v>0</v>
      </c>
    </row>
    <row r="8377" ht="15" customHeight="1" s="104">
      <c r="BA8377" s="201" t="n">
        <v>0</v>
      </c>
    </row>
    <row r="8378" ht="15" customHeight="1" s="104">
      <c r="BA8378" s="201" t="n">
        <v>0</v>
      </c>
    </row>
    <row r="8379" ht="15" customHeight="1" s="104">
      <c r="BA8379" s="201" t="n">
        <v>0</v>
      </c>
    </row>
    <row r="8380" ht="15" customHeight="1" s="104">
      <c r="BA8380" s="201" t="n">
        <v>0</v>
      </c>
    </row>
    <row r="8381" ht="15" customHeight="1" s="104">
      <c r="BA8381" s="201" t="n">
        <v>0</v>
      </c>
    </row>
    <row r="8382" ht="15" customHeight="1" s="104">
      <c r="BA8382" s="201" t="n">
        <v>0</v>
      </c>
    </row>
    <row r="8383" ht="15" customHeight="1" s="104">
      <c r="BA8383" s="201" t="n">
        <v>0</v>
      </c>
    </row>
    <row r="8384" ht="15" customHeight="1" s="104">
      <c r="BA8384" s="201" t="n">
        <v>0</v>
      </c>
    </row>
    <row r="8385" ht="15" customHeight="1" s="104">
      <c r="BA8385" s="201" t="n">
        <v>0</v>
      </c>
    </row>
    <row r="8386" ht="15" customHeight="1" s="104">
      <c r="BA8386" s="201" t="n">
        <v>0</v>
      </c>
    </row>
    <row r="8387" ht="15" customHeight="1" s="104">
      <c r="BA8387" s="201" t="n">
        <v>0</v>
      </c>
    </row>
    <row r="8388" ht="15" customHeight="1" s="104">
      <c r="BA8388" s="201" t="n">
        <v>0</v>
      </c>
    </row>
    <row r="8389" ht="15" customHeight="1" s="104">
      <c r="BA8389" s="201" t="n">
        <v>0</v>
      </c>
    </row>
    <row r="8390" ht="15" customHeight="1" s="104">
      <c r="BA8390" s="201" t="n">
        <v>0</v>
      </c>
    </row>
    <row r="8391" ht="15" customHeight="1" s="104">
      <c r="BA8391" s="201" t="n">
        <v>0</v>
      </c>
    </row>
    <row r="8392" ht="15" customHeight="1" s="104">
      <c r="BA8392" s="201" t="n">
        <v>0</v>
      </c>
    </row>
    <row r="8393" ht="15" customHeight="1" s="104">
      <c r="BA8393" s="201" t="n">
        <v>0</v>
      </c>
    </row>
    <row r="8394" ht="15" customHeight="1" s="104">
      <c r="BA8394" s="201" t="n">
        <v>0</v>
      </c>
    </row>
    <row r="8395" ht="15" customHeight="1" s="104">
      <c r="BA8395" s="201" t="n">
        <v>0</v>
      </c>
    </row>
    <row r="8396" ht="15" customHeight="1" s="104">
      <c r="BA8396" s="201" t="n">
        <v>0</v>
      </c>
    </row>
    <row r="8397" ht="15" customHeight="1" s="104">
      <c r="BA8397" s="201" t="n">
        <v>0</v>
      </c>
    </row>
    <row r="8398" ht="15" customHeight="1" s="104">
      <c r="BA8398" s="201" t="n">
        <v>0</v>
      </c>
    </row>
    <row r="8399" ht="15" customHeight="1" s="104">
      <c r="BA8399" s="201" t="n">
        <v>0</v>
      </c>
    </row>
    <row r="8400" ht="15" customHeight="1" s="104">
      <c r="BA8400" s="201" t="n">
        <v>0</v>
      </c>
    </row>
    <row r="8401" ht="15" customHeight="1" s="104">
      <c r="BA8401" s="201" t="n">
        <v>0</v>
      </c>
    </row>
    <row r="8402" ht="15" customHeight="1" s="104">
      <c r="BA8402" s="201" t="n">
        <v>0</v>
      </c>
    </row>
    <row r="8403" ht="15" customHeight="1" s="104">
      <c r="BA8403" s="201" t="n">
        <v>0</v>
      </c>
    </row>
    <row r="8404" ht="15" customHeight="1" s="104">
      <c r="BA8404" s="201" t="n">
        <v>0</v>
      </c>
    </row>
    <row r="8405" ht="15" customHeight="1" s="104">
      <c r="BA8405" s="201" t="n">
        <v>0</v>
      </c>
    </row>
    <row r="8406" ht="15" customHeight="1" s="104">
      <c r="BA8406" s="201" t="n">
        <v>0</v>
      </c>
    </row>
    <row r="8407" ht="15" customHeight="1" s="104">
      <c r="BA8407" s="201" t="n">
        <v>0</v>
      </c>
    </row>
    <row r="8408" ht="15" customHeight="1" s="104">
      <c r="BA8408" s="201" t="n">
        <v>0</v>
      </c>
    </row>
    <row r="8409" ht="15" customHeight="1" s="104">
      <c r="BA8409" s="201" t="n">
        <v>0</v>
      </c>
    </row>
    <row r="8410" ht="15" customHeight="1" s="104">
      <c r="BA8410" s="201" t="n">
        <v>0</v>
      </c>
    </row>
    <row r="8411" ht="15" customHeight="1" s="104">
      <c r="BA8411" s="201" t="n">
        <v>0</v>
      </c>
    </row>
    <row r="8412" ht="15" customHeight="1" s="104">
      <c r="BA8412" s="201" t="n">
        <v>0</v>
      </c>
    </row>
    <row r="8413" ht="15" customHeight="1" s="104">
      <c r="BA8413" s="201" t="n">
        <v>0</v>
      </c>
    </row>
    <row r="8414" ht="15" customHeight="1" s="104">
      <c r="BA8414" s="201" t="n">
        <v>0</v>
      </c>
    </row>
    <row r="8415" ht="15" customHeight="1" s="104">
      <c r="BA8415" s="201" t="n">
        <v>0</v>
      </c>
    </row>
    <row r="8416" ht="15" customHeight="1" s="104">
      <c r="BA8416" s="201" t="n">
        <v>0</v>
      </c>
    </row>
    <row r="8417" ht="15" customHeight="1" s="104">
      <c r="BA8417" s="201" t="n">
        <v>0</v>
      </c>
    </row>
    <row r="8418" ht="15" customHeight="1" s="104">
      <c r="BA8418" s="201" t="n">
        <v>0</v>
      </c>
    </row>
    <row r="8419" ht="15" customHeight="1" s="104">
      <c r="BA8419" s="201" t="n">
        <v>0</v>
      </c>
    </row>
    <row r="8420" ht="15" customHeight="1" s="104">
      <c r="BA8420" s="201" t="n">
        <v>0</v>
      </c>
    </row>
    <row r="8421" ht="15" customHeight="1" s="104">
      <c r="BA8421" s="201" t="n">
        <v>0</v>
      </c>
    </row>
    <row r="8422" ht="15" customHeight="1" s="104">
      <c r="BA8422" s="201" t="n">
        <v>0</v>
      </c>
    </row>
    <row r="8423" ht="15" customHeight="1" s="104">
      <c r="BA8423" s="201" t="n">
        <v>0</v>
      </c>
    </row>
    <row r="8424" ht="15" customHeight="1" s="104">
      <c r="BA8424" s="201" t="n">
        <v>0</v>
      </c>
    </row>
    <row r="8425" ht="15" customHeight="1" s="104">
      <c r="BA8425" s="201" t="n">
        <v>0</v>
      </c>
    </row>
    <row r="8426" ht="15" customHeight="1" s="104">
      <c r="BA8426" s="201" t="n">
        <v>0</v>
      </c>
    </row>
    <row r="8427" ht="15" customHeight="1" s="104">
      <c r="BA8427" s="201" t="n">
        <v>0</v>
      </c>
    </row>
    <row r="8428" ht="15" customHeight="1" s="104">
      <c r="BA8428" s="201" t="n">
        <v>0</v>
      </c>
    </row>
    <row r="8429" ht="15" customHeight="1" s="104">
      <c r="BA8429" s="201" t="n">
        <v>0</v>
      </c>
    </row>
    <row r="8430" ht="15" customHeight="1" s="104">
      <c r="BA8430" s="201" t="n">
        <v>0</v>
      </c>
    </row>
    <row r="8431" ht="15" customHeight="1" s="104">
      <c r="BA8431" s="201" t="n">
        <v>0</v>
      </c>
    </row>
    <row r="8432" ht="15" customHeight="1" s="104">
      <c r="BA8432" s="201" t="n">
        <v>0</v>
      </c>
    </row>
    <row r="8433" ht="15" customHeight="1" s="104">
      <c r="BA8433" s="201" t="n">
        <v>0</v>
      </c>
    </row>
    <row r="8434" ht="15" customHeight="1" s="104">
      <c r="BA8434" s="201" t="n">
        <v>0</v>
      </c>
    </row>
    <row r="8435" ht="15" customHeight="1" s="104">
      <c r="BA8435" s="201" t="n">
        <v>0</v>
      </c>
    </row>
    <row r="8436" ht="15" customHeight="1" s="104">
      <c r="BA8436" s="201" t="n">
        <v>0</v>
      </c>
    </row>
    <row r="8437" ht="15" customHeight="1" s="104">
      <c r="BA8437" s="201" t="n">
        <v>0</v>
      </c>
    </row>
    <row r="8438" ht="15" customHeight="1" s="104">
      <c r="BA8438" s="201" t="n">
        <v>0</v>
      </c>
    </row>
    <row r="8439" ht="15" customHeight="1" s="104">
      <c r="BA8439" s="201" t="n">
        <v>0</v>
      </c>
    </row>
    <row r="8440" ht="15" customHeight="1" s="104">
      <c r="BA8440" s="201" t="n">
        <v>0</v>
      </c>
    </row>
    <row r="8441" ht="15" customHeight="1" s="104">
      <c r="BA8441" s="201" t="n">
        <v>0</v>
      </c>
    </row>
    <row r="8442" ht="15" customHeight="1" s="104">
      <c r="BA8442" s="201" t="n">
        <v>0</v>
      </c>
    </row>
    <row r="8443" ht="15" customHeight="1" s="104">
      <c r="BA8443" s="201" t="n">
        <v>0</v>
      </c>
    </row>
    <row r="8444" ht="15" customHeight="1" s="104">
      <c r="BA8444" s="201" t="n">
        <v>0</v>
      </c>
    </row>
    <row r="8445" ht="15" customHeight="1" s="104">
      <c r="BA8445" s="201" t="n">
        <v>0</v>
      </c>
    </row>
    <row r="8446" ht="15" customHeight="1" s="104">
      <c r="BA8446" s="201" t="n">
        <v>0</v>
      </c>
    </row>
    <row r="8447" ht="15" customHeight="1" s="104">
      <c r="BA8447" s="201" t="n">
        <v>0</v>
      </c>
    </row>
    <row r="8448" ht="15" customHeight="1" s="104">
      <c r="BA8448" s="201" t="n">
        <v>0</v>
      </c>
    </row>
    <row r="8449" ht="15" customHeight="1" s="104">
      <c r="BA8449" s="201" t="n">
        <v>0</v>
      </c>
    </row>
    <row r="8450" ht="15" customHeight="1" s="104">
      <c r="BA8450" s="201" t="n">
        <v>0</v>
      </c>
    </row>
    <row r="8451" ht="15" customHeight="1" s="104">
      <c r="BA8451" s="201" t="n">
        <v>0</v>
      </c>
    </row>
    <row r="8452" ht="15" customHeight="1" s="104">
      <c r="BA8452" s="201" t="n">
        <v>0</v>
      </c>
    </row>
    <row r="8453" ht="15" customHeight="1" s="104">
      <c r="BA8453" s="201" t="n">
        <v>0</v>
      </c>
    </row>
    <row r="8454" ht="15" customHeight="1" s="104">
      <c r="BA8454" s="201" t="n">
        <v>0</v>
      </c>
    </row>
    <row r="8455" ht="15" customHeight="1" s="104">
      <c r="BA8455" s="201" t="n">
        <v>0</v>
      </c>
    </row>
    <row r="8456" ht="15" customHeight="1" s="104">
      <c r="BA8456" s="201" t="n">
        <v>0</v>
      </c>
    </row>
    <row r="8457" ht="15" customHeight="1" s="104">
      <c r="BA8457" s="201" t="n">
        <v>0</v>
      </c>
    </row>
    <row r="8458" ht="15" customHeight="1" s="104">
      <c r="BA8458" s="201" t="n">
        <v>0</v>
      </c>
    </row>
    <row r="8459" ht="15" customHeight="1" s="104">
      <c r="BA8459" s="201" t="n">
        <v>0</v>
      </c>
    </row>
    <row r="8460" ht="15" customHeight="1" s="104">
      <c r="BA8460" s="201" t="n">
        <v>0</v>
      </c>
    </row>
    <row r="8461" ht="15" customHeight="1" s="104">
      <c r="BA8461" s="201" t="n">
        <v>0</v>
      </c>
    </row>
    <row r="8462" ht="15" customHeight="1" s="104">
      <c r="BA8462" s="201" t="n">
        <v>0</v>
      </c>
    </row>
    <row r="8463" ht="15" customHeight="1" s="104">
      <c r="BA8463" s="201" t="n">
        <v>0</v>
      </c>
    </row>
    <row r="8464" ht="15" customHeight="1" s="104">
      <c r="BA8464" s="201" t="n">
        <v>0</v>
      </c>
    </row>
    <row r="8465" ht="15" customHeight="1" s="104">
      <c r="BA8465" s="201" t="n">
        <v>0</v>
      </c>
    </row>
    <row r="8466" ht="15" customHeight="1" s="104">
      <c r="BA8466" s="201" t="n">
        <v>0</v>
      </c>
    </row>
    <row r="8467" ht="15" customHeight="1" s="104">
      <c r="BA8467" s="201" t="n">
        <v>0</v>
      </c>
    </row>
    <row r="8468" ht="15" customHeight="1" s="104">
      <c r="BA8468" s="201" t="n">
        <v>0</v>
      </c>
    </row>
    <row r="8469" ht="15" customHeight="1" s="104">
      <c r="BA8469" s="201" t="n">
        <v>0</v>
      </c>
    </row>
    <row r="8470" ht="15" customHeight="1" s="104">
      <c r="BA8470" s="201" t="n">
        <v>0</v>
      </c>
    </row>
    <row r="8471" ht="15" customHeight="1" s="104">
      <c r="BA8471" s="201" t="n">
        <v>0</v>
      </c>
    </row>
    <row r="8472" ht="15" customHeight="1" s="104">
      <c r="BA8472" s="201" t="n">
        <v>0</v>
      </c>
    </row>
    <row r="8473" ht="15" customHeight="1" s="104">
      <c r="BA8473" s="201" t="n">
        <v>0</v>
      </c>
    </row>
    <row r="8474" ht="15" customHeight="1" s="104">
      <c r="BA8474" s="201" t="n">
        <v>0</v>
      </c>
    </row>
    <row r="8475" ht="15" customHeight="1" s="104">
      <c r="BA8475" s="201" t="n">
        <v>0</v>
      </c>
    </row>
    <row r="8476" ht="15" customHeight="1" s="104">
      <c r="BA8476" s="201" t="n">
        <v>0</v>
      </c>
    </row>
    <row r="8477" ht="15" customHeight="1" s="104">
      <c r="BA8477" s="201" t="n">
        <v>0</v>
      </c>
    </row>
    <row r="8478" ht="15" customHeight="1" s="104">
      <c r="BA8478" s="201" t="n">
        <v>0</v>
      </c>
    </row>
    <row r="8479" ht="15" customHeight="1" s="104">
      <c r="BA8479" s="201" t="n">
        <v>0</v>
      </c>
    </row>
    <row r="8480" ht="15" customHeight="1" s="104">
      <c r="BA8480" s="201" t="n">
        <v>0</v>
      </c>
    </row>
    <row r="8481" ht="15" customHeight="1" s="104">
      <c r="BA8481" s="201" t="n">
        <v>0</v>
      </c>
    </row>
    <row r="8482" ht="15" customHeight="1" s="104">
      <c r="BA8482" s="201" t="n">
        <v>0</v>
      </c>
    </row>
    <row r="8483" ht="15" customHeight="1" s="104">
      <c r="BA8483" s="201" t="n">
        <v>0</v>
      </c>
    </row>
    <row r="8484" ht="15" customHeight="1" s="104">
      <c r="BA8484" s="201" t="n">
        <v>0</v>
      </c>
    </row>
    <row r="8485" ht="15" customHeight="1" s="104">
      <c r="BA8485" s="201" t="n">
        <v>0</v>
      </c>
    </row>
    <row r="8486" ht="15" customHeight="1" s="104">
      <c r="BA8486" s="201" t="n">
        <v>0</v>
      </c>
    </row>
    <row r="8487" ht="15" customHeight="1" s="104">
      <c r="BA8487" s="201" t="n">
        <v>0</v>
      </c>
    </row>
    <row r="8488" ht="15" customHeight="1" s="104">
      <c r="BA8488" s="201" t="n">
        <v>0</v>
      </c>
    </row>
    <row r="8489" ht="15" customHeight="1" s="104">
      <c r="BA8489" s="201" t="n">
        <v>0</v>
      </c>
    </row>
    <row r="8490" ht="15" customHeight="1" s="104">
      <c r="BA8490" s="201" t="n">
        <v>0</v>
      </c>
    </row>
    <row r="8491" ht="15" customHeight="1" s="104">
      <c r="BA8491" s="201" t="n">
        <v>0</v>
      </c>
    </row>
    <row r="8492" ht="15" customHeight="1" s="104">
      <c r="BA8492" s="201" t="n">
        <v>0</v>
      </c>
    </row>
    <row r="8493" ht="15" customHeight="1" s="104">
      <c r="BA8493" s="201" t="n">
        <v>0</v>
      </c>
    </row>
    <row r="8494" ht="15" customHeight="1" s="104">
      <c r="BA8494" s="201" t="n">
        <v>0</v>
      </c>
    </row>
    <row r="8495" ht="15" customHeight="1" s="104">
      <c r="BA8495" s="201" t="n">
        <v>0</v>
      </c>
    </row>
    <row r="8496" ht="15" customHeight="1" s="104">
      <c r="BA8496" s="201" t="n">
        <v>0</v>
      </c>
    </row>
    <row r="8497" ht="15" customHeight="1" s="104">
      <c r="BA8497" s="201" t="n">
        <v>0</v>
      </c>
    </row>
    <row r="8498" ht="15" customHeight="1" s="104">
      <c r="BA8498" s="201" t="n">
        <v>0</v>
      </c>
    </row>
    <row r="8499" ht="15" customHeight="1" s="104">
      <c r="BA8499" s="201" t="n">
        <v>0</v>
      </c>
    </row>
    <row r="8500" ht="15" customHeight="1" s="104">
      <c r="BA8500" s="201" t="n">
        <v>0</v>
      </c>
    </row>
    <row r="8501" ht="15" customHeight="1" s="104">
      <c r="BA8501" s="201" t="n">
        <v>0</v>
      </c>
    </row>
    <row r="8502" ht="15" customHeight="1" s="104">
      <c r="BA8502" s="201" t="n">
        <v>0</v>
      </c>
    </row>
    <row r="8503" ht="15" customHeight="1" s="104">
      <c r="BA8503" s="201" t="n">
        <v>0</v>
      </c>
    </row>
    <row r="8504" ht="15" customHeight="1" s="104">
      <c r="BA8504" s="201" t="n">
        <v>0</v>
      </c>
    </row>
    <row r="8505" ht="15" customHeight="1" s="104">
      <c r="BA8505" s="201" t="n">
        <v>0</v>
      </c>
    </row>
    <row r="8506" ht="15" customHeight="1" s="104">
      <c r="BA8506" s="201" t="n">
        <v>0</v>
      </c>
    </row>
    <row r="8507" ht="15" customHeight="1" s="104">
      <c r="BA8507" s="201" t="n">
        <v>0</v>
      </c>
    </row>
    <row r="8508" ht="15" customHeight="1" s="104">
      <c r="BA8508" s="201" t="n">
        <v>0</v>
      </c>
    </row>
    <row r="8509" ht="15" customHeight="1" s="104">
      <c r="BA8509" s="201" t="n">
        <v>0</v>
      </c>
    </row>
    <row r="8510" ht="15" customHeight="1" s="104">
      <c r="BA8510" s="201" t="n">
        <v>0</v>
      </c>
    </row>
    <row r="8511" ht="15" customHeight="1" s="104">
      <c r="BA8511" s="201" t="n">
        <v>0</v>
      </c>
    </row>
    <row r="8512" ht="15" customHeight="1" s="104">
      <c r="BA8512" s="201" t="n">
        <v>0</v>
      </c>
    </row>
    <row r="8513" ht="15" customHeight="1" s="104">
      <c r="BA8513" s="201" t="n">
        <v>0</v>
      </c>
    </row>
    <row r="8514" ht="15" customHeight="1" s="104">
      <c r="BA8514" s="201" t="n">
        <v>0</v>
      </c>
    </row>
    <row r="8515" ht="15" customHeight="1" s="104">
      <c r="BA8515" s="201" t="n">
        <v>0</v>
      </c>
    </row>
    <row r="8516" ht="15" customHeight="1" s="104">
      <c r="BA8516" s="201" t="n">
        <v>0</v>
      </c>
    </row>
    <row r="8517" ht="15" customHeight="1" s="104">
      <c r="BA8517" s="201" t="n">
        <v>0</v>
      </c>
    </row>
    <row r="8518" ht="15" customHeight="1" s="104">
      <c r="BA8518" s="201" t="n">
        <v>0</v>
      </c>
    </row>
    <row r="8519" ht="15" customHeight="1" s="104">
      <c r="BA8519" s="201" t="n">
        <v>0</v>
      </c>
    </row>
    <row r="8520" ht="15" customHeight="1" s="104">
      <c r="BA8520" s="201" t="n">
        <v>0</v>
      </c>
    </row>
    <row r="8521" ht="15" customHeight="1" s="104">
      <c r="BA8521" s="201" t="n">
        <v>0</v>
      </c>
    </row>
    <row r="8522" ht="15" customHeight="1" s="104">
      <c r="BA8522" s="201" t="n">
        <v>0</v>
      </c>
    </row>
    <row r="8523" ht="15" customHeight="1" s="104">
      <c r="BA8523" s="201" t="n">
        <v>0</v>
      </c>
    </row>
    <row r="8524" ht="15" customHeight="1" s="104">
      <c r="BA8524" s="201" t="n">
        <v>0</v>
      </c>
    </row>
    <row r="8525" ht="15" customHeight="1" s="104">
      <c r="BA8525" s="201" t="n">
        <v>0</v>
      </c>
    </row>
    <row r="8526" ht="15" customHeight="1" s="104">
      <c r="BA8526" s="201" t="n">
        <v>0</v>
      </c>
    </row>
    <row r="8527" ht="15" customHeight="1" s="104">
      <c r="BA8527" s="201" t="n">
        <v>0</v>
      </c>
    </row>
    <row r="8528" ht="15" customHeight="1" s="104">
      <c r="BA8528" s="201" t="n">
        <v>0</v>
      </c>
    </row>
    <row r="8529" ht="15" customHeight="1" s="104">
      <c r="BA8529" s="201" t="n">
        <v>0</v>
      </c>
    </row>
    <row r="8530" ht="15" customHeight="1" s="104">
      <c r="BA8530" s="201" t="n">
        <v>0</v>
      </c>
    </row>
    <row r="8531" ht="15" customHeight="1" s="104">
      <c r="BA8531" s="201" t="n">
        <v>0</v>
      </c>
    </row>
    <row r="8532" ht="15" customHeight="1" s="104">
      <c r="BA8532" s="201" t="n">
        <v>0</v>
      </c>
    </row>
    <row r="8533" ht="15" customHeight="1" s="104">
      <c r="BA8533" s="201" t="n">
        <v>0</v>
      </c>
    </row>
    <row r="8534" ht="15" customHeight="1" s="104">
      <c r="BA8534" s="201" t="n">
        <v>0</v>
      </c>
    </row>
    <row r="8535" ht="15" customHeight="1" s="104">
      <c r="BA8535" s="201" t="n">
        <v>0</v>
      </c>
    </row>
    <row r="8536" ht="15" customHeight="1" s="104">
      <c r="BA8536" s="201" t="n">
        <v>0</v>
      </c>
    </row>
    <row r="8537" ht="15" customHeight="1" s="104">
      <c r="BA8537" s="201" t="n">
        <v>0</v>
      </c>
    </row>
    <row r="8538" ht="15" customHeight="1" s="104">
      <c r="BA8538" s="201" t="n">
        <v>0</v>
      </c>
    </row>
    <row r="8539" ht="15" customHeight="1" s="104">
      <c r="BA8539" s="201" t="n">
        <v>0</v>
      </c>
    </row>
    <row r="8540" ht="15" customHeight="1" s="104">
      <c r="BA8540" s="201" t="n">
        <v>0</v>
      </c>
    </row>
    <row r="8541" ht="15" customHeight="1" s="104">
      <c r="BA8541" s="201" t="n">
        <v>0</v>
      </c>
    </row>
    <row r="8542" ht="15" customHeight="1" s="104">
      <c r="BA8542" s="201" t="n">
        <v>0</v>
      </c>
    </row>
    <row r="8543" ht="15" customHeight="1" s="104">
      <c r="BA8543" s="201" t="n">
        <v>0</v>
      </c>
    </row>
    <row r="8544" ht="15" customHeight="1" s="104">
      <c r="BA8544" s="201" t="n">
        <v>0</v>
      </c>
    </row>
    <row r="8545" ht="15" customHeight="1" s="104">
      <c r="BA8545" s="201" t="n">
        <v>0</v>
      </c>
    </row>
    <row r="8546" ht="15" customHeight="1" s="104">
      <c r="BA8546" s="201" t="n">
        <v>0</v>
      </c>
    </row>
    <row r="8547" ht="15" customHeight="1" s="104">
      <c r="BA8547" s="201" t="n">
        <v>0</v>
      </c>
    </row>
    <row r="8548" ht="15" customHeight="1" s="104">
      <c r="BA8548" s="201" t="n">
        <v>0</v>
      </c>
    </row>
    <row r="8549" ht="15" customHeight="1" s="104">
      <c r="BA8549" s="201" t="n">
        <v>0</v>
      </c>
    </row>
    <row r="8550" ht="15" customHeight="1" s="104">
      <c r="BA8550" s="201" t="n">
        <v>0</v>
      </c>
    </row>
    <row r="8551" ht="15" customHeight="1" s="104">
      <c r="BA8551" s="201" t="n">
        <v>0</v>
      </c>
    </row>
    <row r="8552" ht="15" customHeight="1" s="104">
      <c r="BA8552" s="201" t="n">
        <v>0</v>
      </c>
    </row>
    <row r="8553" ht="15" customHeight="1" s="104">
      <c r="BA8553" s="201" t="n">
        <v>0</v>
      </c>
    </row>
    <row r="8554" ht="15" customHeight="1" s="104">
      <c r="BA8554" s="201" t="n">
        <v>0</v>
      </c>
    </row>
    <row r="8555" ht="15" customHeight="1" s="104">
      <c r="BA8555" s="201" t="n">
        <v>0</v>
      </c>
    </row>
    <row r="8556" ht="15" customHeight="1" s="104">
      <c r="BA8556" s="201" t="n">
        <v>0</v>
      </c>
    </row>
    <row r="8557" ht="15" customHeight="1" s="104">
      <c r="BA8557" s="201" t="n">
        <v>0</v>
      </c>
    </row>
    <row r="8558" ht="15" customHeight="1" s="104">
      <c r="BA8558" s="201" t="n">
        <v>0</v>
      </c>
    </row>
    <row r="8559" ht="15" customHeight="1" s="104">
      <c r="BA8559" s="201" t="n">
        <v>0</v>
      </c>
    </row>
    <row r="8560" ht="15" customHeight="1" s="104">
      <c r="BA8560" s="201" t="n">
        <v>0</v>
      </c>
    </row>
    <row r="8561" ht="15" customHeight="1" s="104">
      <c r="BA8561" s="201" t="n">
        <v>0</v>
      </c>
    </row>
    <row r="8562" ht="15" customHeight="1" s="104">
      <c r="BA8562" s="201" t="n">
        <v>0</v>
      </c>
    </row>
    <row r="8563" ht="15" customHeight="1" s="104">
      <c r="BA8563" s="201" t="n">
        <v>0</v>
      </c>
    </row>
    <row r="8564" ht="15" customHeight="1" s="104">
      <c r="BA8564" s="201" t="n">
        <v>0</v>
      </c>
    </row>
    <row r="8565" ht="15" customHeight="1" s="104">
      <c r="BA8565" s="201" t="n">
        <v>0</v>
      </c>
    </row>
    <row r="8566" ht="15" customHeight="1" s="104">
      <c r="BA8566" s="201" t="n">
        <v>0</v>
      </c>
    </row>
    <row r="8567" ht="15" customHeight="1" s="104">
      <c r="BA8567" s="201" t="n">
        <v>0</v>
      </c>
    </row>
    <row r="8568" ht="15" customHeight="1" s="104">
      <c r="BA8568" s="201" t="n">
        <v>0</v>
      </c>
    </row>
    <row r="8569" ht="15" customHeight="1" s="104">
      <c r="BA8569" s="201" t="n">
        <v>0</v>
      </c>
    </row>
    <row r="8570" ht="15" customHeight="1" s="104">
      <c r="BA8570" s="201" t="n">
        <v>0</v>
      </c>
    </row>
    <row r="8571" ht="15" customHeight="1" s="104">
      <c r="BA8571" s="201" t="n">
        <v>0</v>
      </c>
    </row>
    <row r="8572" ht="15" customHeight="1" s="104">
      <c r="BA8572" s="201" t="n">
        <v>0</v>
      </c>
    </row>
    <row r="8573" ht="15" customHeight="1" s="104">
      <c r="BA8573" s="201" t="n">
        <v>0</v>
      </c>
    </row>
    <row r="8574" ht="15" customHeight="1" s="104">
      <c r="BA8574" s="201" t="n">
        <v>0</v>
      </c>
    </row>
    <row r="8575" ht="15" customHeight="1" s="104">
      <c r="BA8575" s="201" t="n">
        <v>0</v>
      </c>
    </row>
    <row r="8576" ht="15" customHeight="1" s="104">
      <c r="BA8576" s="201" t="n">
        <v>0</v>
      </c>
    </row>
    <row r="8577" ht="15" customHeight="1" s="104">
      <c r="BA8577" s="201" t="n">
        <v>0</v>
      </c>
    </row>
    <row r="8578" ht="15" customHeight="1" s="104">
      <c r="BA8578" s="201" t="n">
        <v>0</v>
      </c>
    </row>
    <row r="8579" ht="15" customHeight="1" s="104">
      <c r="BA8579" s="201" t="n">
        <v>0</v>
      </c>
    </row>
    <row r="8580" ht="15" customHeight="1" s="104">
      <c r="BA8580" s="201" t="n">
        <v>0</v>
      </c>
    </row>
    <row r="8581" ht="15" customHeight="1" s="104">
      <c r="BA8581" s="201" t="n">
        <v>0</v>
      </c>
    </row>
    <row r="8582" ht="15" customHeight="1" s="104">
      <c r="BA8582" s="201" t="n">
        <v>0</v>
      </c>
    </row>
    <row r="8583" ht="15" customHeight="1" s="104">
      <c r="BA8583" s="201" t="n">
        <v>0</v>
      </c>
    </row>
    <row r="8584" ht="15" customHeight="1" s="104">
      <c r="BA8584" s="201" t="n">
        <v>0</v>
      </c>
    </row>
    <row r="8585" ht="15" customHeight="1" s="104">
      <c r="BA8585" s="201" t="n">
        <v>0</v>
      </c>
    </row>
    <row r="8586" ht="15" customHeight="1" s="104">
      <c r="BA8586" s="201" t="n">
        <v>0</v>
      </c>
    </row>
    <row r="8587" ht="15" customHeight="1" s="104">
      <c r="BA8587" s="201" t="n">
        <v>0</v>
      </c>
    </row>
    <row r="8588" ht="15" customHeight="1" s="104">
      <c r="BA8588" s="201" t="n">
        <v>0</v>
      </c>
    </row>
    <row r="8589" ht="15" customHeight="1" s="104">
      <c r="BA8589" s="201" t="n">
        <v>0</v>
      </c>
    </row>
    <row r="8590" ht="15" customHeight="1" s="104">
      <c r="BA8590" s="201" t="n">
        <v>0</v>
      </c>
    </row>
    <row r="8591" ht="15" customHeight="1" s="104">
      <c r="BA8591" s="201" t="n">
        <v>0</v>
      </c>
    </row>
    <row r="8592" ht="15" customHeight="1" s="104">
      <c r="BA8592" s="201" t="n">
        <v>0</v>
      </c>
    </row>
    <row r="8593" ht="15" customHeight="1" s="104">
      <c r="BA8593" s="201" t="n">
        <v>0</v>
      </c>
    </row>
    <row r="8594" ht="15" customHeight="1" s="104">
      <c r="BA8594" s="201" t="n">
        <v>0</v>
      </c>
    </row>
    <row r="8595" ht="15" customHeight="1" s="104">
      <c r="BA8595" s="201" t="n">
        <v>0</v>
      </c>
    </row>
    <row r="8596" ht="15" customHeight="1" s="104">
      <c r="BA8596" s="201" t="n">
        <v>0</v>
      </c>
    </row>
    <row r="8597" ht="15" customHeight="1" s="104">
      <c r="BA8597" s="201" t="n">
        <v>0</v>
      </c>
    </row>
    <row r="8598" ht="15" customHeight="1" s="104">
      <c r="BA8598" s="201" t="n">
        <v>0</v>
      </c>
    </row>
    <row r="8599" ht="15" customHeight="1" s="104">
      <c r="BA8599" s="201" t="n">
        <v>0</v>
      </c>
    </row>
    <row r="8600" ht="15" customHeight="1" s="104">
      <c r="BA8600" s="201" t="n">
        <v>0</v>
      </c>
    </row>
    <row r="8601" ht="15" customHeight="1" s="104">
      <c r="BA8601" s="201" t="n">
        <v>0</v>
      </c>
    </row>
    <row r="8602" ht="15" customHeight="1" s="104">
      <c r="BA8602" s="201" t="n">
        <v>0</v>
      </c>
    </row>
    <row r="8603" ht="15" customHeight="1" s="104">
      <c r="BA8603" s="201" t="n">
        <v>0</v>
      </c>
    </row>
    <row r="8604" ht="15" customHeight="1" s="104">
      <c r="BA8604" s="201" t="n">
        <v>0</v>
      </c>
    </row>
    <row r="8605" ht="15" customHeight="1" s="104">
      <c r="BA8605" s="201" t="n">
        <v>0</v>
      </c>
    </row>
    <row r="8606" ht="15" customHeight="1" s="104">
      <c r="BA8606" s="201" t="n">
        <v>0</v>
      </c>
    </row>
    <row r="8607" ht="15" customHeight="1" s="104">
      <c r="BA8607" s="201" t="n">
        <v>0</v>
      </c>
    </row>
    <row r="8608" ht="15" customHeight="1" s="104">
      <c r="BA8608" s="201" t="n">
        <v>0</v>
      </c>
    </row>
    <row r="8609" ht="15" customHeight="1" s="104">
      <c r="BA8609" s="201" t="n">
        <v>0</v>
      </c>
    </row>
    <row r="8610" ht="15" customHeight="1" s="104">
      <c r="BA8610" s="201" t="n">
        <v>0</v>
      </c>
    </row>
    <row r="8611" ht="15" customHeight="1" s="104">
      <c r="BA8611" s="201" t="n">
        <v>0</v>
      </c>
    </row>
    <row r="8612" ht="15" customHeight="1" s="104">
      <c r="BA8612" s="201" t="n">
        <v>0</v>
      </c>
    </row>
    <row r="8613" ht="15" customHeight="1" s="104">
      <c r="BA8613" s="201" t="n">
        <v>0</v>
      </c>
    </row>
    <row r="8614" ht="15" customHeight="1" s="104">
      <c r="BA8614" s="201" t="n">
        <v>0</v>
      </c>
    </row>
    <row r="8615" ht="15" customHeight="1" s="104">
      <c r="BA8615" s="201" t="n">
        <v>0</v>
      </c>
    </row>
    <row r="8616" ht="15" customHeight="1" s="104">
      <c r="BA8616" s="201" t="n">
        <v>0</v>
      </c>
    </row>
    <row r="8617" ht="15" customHeight="1" s="104">
      <c r="BA8617" s="201" t="n">
        <v>0</v>
      </c>
    </row>
    <row r="8618" ht="15" customHeight="1" s="104">
      <c r="BA8618" s="201" t="n">
        <v>0</v>
      </c>
    </row>
    <row r="8619" ht="15" customHeight="1" s="104">
      <c r="BA8619" s="201" t="n">
        <v>0</v>
      </c>
    </row>
    <row r="8620" ht="15" customHeight="1" s="104">
      <c r="BA8620" s="201" t="n">
        <v>0</v>
      </c>
    </row>
    <row r="8621" ht="15" customHeight="1" s="104">
      <c r="BA8621" s="201" t="n">
        <v>0</v>
      </c>
    </row>
    <row r="8622" ht="15" customHeight="1" s="104">
      <c r="BA8622" s="201" t="n">
        <v>0</v>
      </c>
    </row>
    <row r="8623" ht="15" customHeight="1" s="104">
      <c r="BA8623" s="201" t="n">
        <v>0</v>
      </c>
    </row>
    <row r="8624" ht="15" customHeight="1" s="104">
      <c r="BA8624" s="201" t="n">
        <v>0</v>
      </c>
    </row>
    <row r="8625" ht="15" customHeight="1" s="104">
      <c r="BA8625" s="201" t="n">
        <v>0</v>
      </c>
    </row>
    <row r="8626" ht="15" customHeight="1" s="104">
      <c r="BA8626" s="201" t="n">
        <v>0</v>
      </c>
    </row>
    <row r="8627" ht="15" customHeight="1" s="104">
      <c r="BA8627" s="201" t="n">
        <v>0</v>
      </c>
    </row>
    <row r="8628" ht="15" customHeight="1" s="104">
      <c r="BA8628" s="201" t="n">
        <v>0</v>
      </c>
    </row>
    <row r="8629" ht="15" customHeight="1" s="104">
      <c r="BA8629" s="201" t="n">
        <v>0</v>
      </c>
    </row>
    <row r="8630" ht="15" customHeight="1" s="104">
      <c r="BA8630" s="201" t="n">
        <v>0</v>
      </c>
    </row>
    <row r="8631" ht="15" customHeight="1" s="104">
      <c r="BA8631" s="201" t="n">
        <v>0</v>
      </c>
    </row>
    <row r="8632" ht="15" customHeight="1" s="104">
      <c r="BA8632" s="201" t="n">
        <v>0</v>
      </c>
    </row>
    <row r="8633" ht="15" customHeight="1" s="104">
      <c r="BA8633" s="201" t="n">
        <v>0</v>
      </c>
    </row>
    <row r="8634" ht="15" customHeight="1" s="104">
      <c r="BA8634" s="201" t="n">
        <v>0</v>
      </c>
    </row>
    <row r="8635" ht="15" customHeight="1" s="104">
      <c r="BA8635" s="201" t="n">
        <v>0</v>
      </c>
    </row>
    <row r="8636" ht="15" customHeight="1" s="104">
      <c r="BA8636" s="201" t="n">
        <v>0</v>
      </c>
    </row>
    <row r="8637" ht="15" customHeight="1" s="104">
      <c r="BA8637" s="201" t="n">
        <v>0</v>
      </c>
    </row>
    <row r="8638" ht="15" customHeight="1" s="104">
      <c r="BA8638" s="201" t="n">
        <v>0</v>
      </c>
    </row>
    <row r="8639" ht="15" customHeight="1" s="104">
      <c r="BA8639" s="201" t="n">
        <v>0</v>
      </c>
    </row>
    <row r="8640" ht="15" customHeight="1" s="104">
      <c r="BA8640" s="201" t="n">
        <v>0</v>
      </c>
    </row>
    <row r="8641" ht="15" customHeight="1" s="104">
      <c r="BA8641" s="201" t="n">
        <v>0</v>
      </c>
    </row>
    <row r="8642" ht="15" customHeight="1" s="104">
      <c r="BA8642" s="201" t="n">
        <v>0</v>
      </c>
    </row>
    <row r="8643" ht="15" customHeight="1" s="104">
      <c r="BA8643" s="201" t="n">
        <v>0</v>
      </c>
    </row>
    <row r="8644" ht="15" customHeight="1" s="104">
      <c r="BA8644" s="201" t="n">
        <v>0</v>
      </c>
    </row>
    <row r="8645" ht="15" customHeight="1" s="104">
      <c r="BA8645" s="201" t="n">
        <v>0</v>
      </c>
    </row>
    <row r="8646" ht="15" customHeight="1" s="104">
      <c r="BA8646" s="201" t="n">
        <v>0</v>
      </c>
    </row>
    <row r="8647" ht="15" customHeight="1" s="104">
      <c r="BA8647" s="201" t="n">
        <v>0</v>
      </c>
    </row>
    <row r="8648" ht="15" customHeight="1" s="104">
      <c r="BA8648" s="201" t="n">
        <v>0</v>
      </c>
    </row>
    <row r="8649" ht="15" customHeight="1" s="104">
      <c r="BA8649" s="201" t="n">
        <v>0</v>
      </c>
    </row>
    <row r="8650" ht="15" customHeight="1" s="104">
      <c r="BA8650" s="201" t="n">
        <v>0</v>
      </c>
    </row>
    <row r="8651" ht="15" customHeight="1" s="104">
      <c r="BA8651" s="201" t="n">
        <v>0</v>
      </c>
    </row>
    <row r="8652" ht="15" customHeight="1" s="104">
      <c r="BA8652" s="201" t="n">
        <v>0</v>
      </c>
    </row>
    <row r="8653" ht="15" customHeight="1" s="104">
      <c r="BA8653" s="201" t="n">
        <v>0</v>
      </c>
    </row>
    <row r="8654" ht="15" customHeight="1" s="104">
      <c r="BA8654" s="201" t="n">
        <v>0</v>
      </c>
    </row>
    <row r="8655" ht="15" customHeight="1" s="104">
      <c r="BA8655" s="201" t="n">
        <v>0</v>
      </c>
    </row>
    <row r="8656" ht="15" customHeight="1" s="104">
      <c r="BA8656" s="201" t="n">
        <v>0</v>
      </c>
    </row>
    <row r="8657" ht="15" customHeight="1" s="104">
      <c r="BA8657" s="201" t="n">
        <v>0</v>
      </c>
    </row>
    <row r="8658" ht="15" customHeight="1" s="104">
      <c r="BA8658" s="201" t="n">
        <v>0</v>
      </c>
    </row>
    <row r="8659" ht="15" customHeight="1" s="104">
      <c r="BA8659" s="201" t="n">
        <v>0</v>
      </c>
    </row>
    <row r="8660" ht="15" customHeight="1" s="104">
      <c r="BA8660" s="201" t="n">
        <v>0</v>
      </c>
    </row>
    <row r="8661" ht="15" customHeight="1" s="104">
      <c r="BA8661" s="201" t="n">
        <v>0</v>
      </c>
    </row>
    <row r="8662" ht="15" customHeight="1" s="104">
      <c r="BA8662" s="201" t="n">
        <v>0</v>
      </c>
    </row>
    <row r="8663" ht="15" customHeight="1" s="104">
      <c r="BA8663" s="201" t="n">
        <v>0</v>
      </c>
    </row>
    <row r="8664" ht="15" customHeight="1" s="104">
      <c r="BA8664" s="201" t="n">
        <v>0</v>
      </c>
    </row>
    <row r="8665" ht="15" customHeight="1" s="104">
      <c r="BA8665" s="201" t="n">
        <v>0</v>
      </c>
    </row>
    <row r="8666" ht="15" customHeight="1" s="104">
      <c r="BA8666" s="201" t="n">
        <v>0</v>
      </c>
    </row>
    <row r="8667" ht="15" customHeight="1" s="104">
      <c r="BA8667" s="201" t="n">
        <v>0</v>
      </c>
    </row>
    <row r="8668" ht="15" customHeight="1" s="104">
      <c r="BA8668" s="201" t="n">
        <v>0</v>
      </c>
    </row>
    <row r="8669" ht="15" customHeight="1" s="104">
      <c r="BA8669" s="201" t="n">
        <v>0</v>
      </c>
    </row>
    <row r="8670" ht="15" customHeight="1" s="104">
      <c r="BA8670" s="201" t="n">
        <v>0</v>
      </c>
    </row>
    <row r="8671" ht="15" customHeight="1" s="104">
      <c r="BA8671" s="201" t="n">
        <v>0</v>
      </c>
    </row>
    <row r="8672" ht="15" customHeight="1" s="104">
      <c r="BA8672" s="201" t="n">
        <v>0</v>
      </c>
    </row>
    <row r="8673" ht="15" customHeight="1" s="104">
      <c r="BA8673" s="201" t="n">
        <v>0</v>
      </c>
    </row>
    <row r="8674" ht="15" customHeight="1" s="104">
      <c r="BA8674" s="201" t="n">
        <v>0</v>
      </c>
    </row>
    <row r="8675" ht="15" customHeight="1" s="104">
      <c r="BA8675" s="201" t="n">
        <v>0</v>
      </c>
    </row>
    <row r="8676" ht="15" customHeight="1" s="104">
      <c r="BA8676" s="201" t="n">
        <v>0</v>
      </c>
    </row>
    <row r="8677" ht="15" customHeight="1" s="104">
      <c r="BA8677" s="201" t="n">
        <v>0</v>
      </c>
    </row>
    <row r="8678" ht="15" customHeight="1" s="104">
      <c r="BA8678" s="201" t="n">
        <v>0</v>
      </c>
    </row>
    <row r="8679" ht="15" customHeight="1" s="104">
      <c r="BA8679" s="201" t="n">
        <v>0</v>
      </c>
    </row>
    <row r="8680" ht="15" customHeight="1" s="104">
      <c r="BA8680" s="201" t="n">
        <v>0</v>
      </c>
    </row>
    <row r="8681" ht="15" customHeight="1" s="104">
      <c r="BA8681" s="201" t="n">
        <v>0</v>
      </c>
    </row>
    <row r="8682" ht="15" customHeight="1" s="104">
      <c r="BA8682" s="201" t="n">
        <v>0</v>
      </c>
    </row>
    <row r="8683" ht="15" customHeight="1" s="104">
      <c r="BA8683" s="201" t="n">
        <v>0</v>
      </c>
    </row>
    <row r="8684" ht="15" customHeight="1" s="104">
      <c r="BA8684" s="201" t="n">
        <v>0</v>
      </c>
    </row>
    <row r="8685" ht="15" customHeight="1" s="104">
      <c r="BA8685" s="201" t="n">
        <v>0</v>
      </c>
    </row>
    <row r="8686" ht="15" customHeight="1" s="104">
      <c r="BA8686" s="201" t="n">
        <v>0</v>
      </c>
    </row>
    <row r="8687" ht="15" customHeight="1" s="104">
      <c r="BA8687" s="201" t="n">
        <v>0</v>
      </c>
    </row>
    <row r="8688" ht="15" customHeight="1" s="104">
      <c r="BA8688" s="201" t="n">
        <v>0</v>
      </c>
    </row>
    <row r="8689" ht="15" customHeight="1" s="104">
      <c r="BA8689" s="201" t="n">
        <v>0</v>
      </c>
    </row>
    <row r="8690" ht="15" customHeight="1" s="104">
      <c r="BA8690" s="201" t="n">
        <v>0</v>
      </c>
    </row>
    <row r="8691" ht="15" customHeight="1" s="104">
      <c r="BA8691" s="201" t="n">
        <v>0</v>
      </c>
    </row>
    <row r="8692" ht="15" customHeight="1" s="104">
      <c r="BA8692" s="201" t="n">
        <v>0</v>
      </c>
    </row>
    <row r="8693" ht="15" customHeight="1" s="104">
      <c r="BA8693" s="201" t="n">
        <v>0</v>
      </c>
    </row>
    <row r="8694" ht="15" customHeight="1" s="104">
      <c r="BA8694" s="201" t="n">
        <v>0</v>
      </c>
    </row>
    <row r="8695" ht="15" customHeight="1" s="104">
      <c r="BA8695" s="201" t="n">
        <v>0</v>
      </c>
    </row>
    <row r="8696" ht="15" customHeight="1" s="104">
      <c r="BA8696" s="201" t="n">
        <v>0</v>
      </c>
    </row>
    <row r="8697" ht="15" customHeight="1" s="104">
      <c r="BA8697" s="201" t="n">
        <v>0</v>
      </c>
    </row>
    <row r="8698" ht="15" customHeight="1" s="104">
      <c r="BA8698" s="201" t="n">
        <v>0</v>
      </c>
    </row>
    <row r="8699" ht="15" customHeight="1" s="104">
      <c r="BA8699" s="201" t="n">
        <v>0</v>
      </c>
    </row>
    <row r="8700" ht="15" customHeight="1" s="104">
      <c r="BA8700" s="201" t="n">
        <v>0</v>
      </c>
    </row>
    <row r="8701" ht="15" customHeight="1" s="104">
      <c r="BA8701" s="201" t="n">
        <v>0</v>
      </c>
    </row>
    <row r="8702" ht="15" customHeight="1" s="104">
      <c r="BA8702" s="201" t="n">
        <v>0</v>
      </c>
    </row>
    <row r="8703" ht="15" customHeight="1" s="104">
      <c r="BA8703" s="201" t="n">
        <v>0</v>
      </c>
    </row>
    <row r="8704" ht="15" customHeight="1" s="104">
      <c r="BA8704" s="201" t="n">
        <v>0</v>
      </c>
    </row>
    <row r="8705" ht="15" customHeight="1" s="104">
      <c r="BA8705" s="201" t="n">
        <v>0</v>
      </c>
    </row>
    <row r="8706" ht="15" customHeight="1" s="104">
      <c r="BA8706" s="201" t="n">
        <v>0</v>
      </c>
    </row>
    <row r="8707" ht="15" customHeight="1" s="104">
      <c r="BA8707" s="201" t="n">
        <v>0</v>
      </c>
    </row>
    <row r="8708" ht="15" customHeight="1" s="104">
      <c r="BA8708" s="201" t="n">
        <v>0</v>
      </c>
    </row>
    <row r="8709" ht="15" customHeight="1" s="104">
      <c r="BA8709" s="201" t="n">
        <v>0</v>
      </c>
    </row>
    <row r="8710" ht="15" customHeight="1" s="104">
      <c r="BA8710" s="201" t="n">
        <v>0</v>
      </c>
    </row>
    <row r="8711" ht="15" customHeight="1" s="104">
      <c r="BA8711" s="201" t="n">
        <v>0</v>
      </c>
    </row>
    <row r="8712" ht="15" customHeight="1" s="104">
      <c r="BA8712" s="201" t="n">
        <v>0</v>
      </c>
    </row>
    <row r="8713" ht="15" customHeight="1" s="104">
      <c r="BA8713" s="201" t="n">
        <v>0</v>
      </c>
    </row>
    <row r="8714" ht="15" customHeight="1" s="104">
      <c r="BA8714" s="201" t="n">
        <v>0</v>
      </c>
    </row>
    <row r="8715" ht="15" customHeight="1" s="104">
      <c r="BA8715" s="201" t="n">
        <v>0</v>
      </c>
    </row>
    <row r="8716" ht="15" customHeight="1" s="104">
      <c r="BA8716" s="201" t="n">
        <v>0</v>
      </c>
    </row>
    <row r="8717" ht="15" customHeight="1" s="104">
      <c r="BA8717" s="201" t="n">
        <v>0</v>
      </c>
    </row>
    <row r="8718" ht="15" customHeight="1" s="104">
      <c r="BA8718" s="201" t="n">
        <v>0</v>
      </c>
    </row>
    <row r="8719" ht="15" customHeight="1" s="104">
      <c r="BA8719" s="201" t="n">
        <v>0</v>
      </c>
    </row>
    <row r="8720" ht="15" customHeight="1" s="104">
      <c r="BA8720" s="201" t="n">
        <v>0</v>
      </c>
    </row>
    <row r="8721" ht="15" customHeight="1" s="104">
      <c r="BA8721" s="201" t="n">
        <v>0</v>
      </c>
    </row>
    <row r="8722" ht="15" customHeight="1" s="104">
      <c r="BA8722" s="201" t="n">
        <v>0</v>
      </c>
    </row>
    <row r="8723" ht="15" customHeight="1" s="104">
      <c r="BA8723" s="201" t="n">
        <v>0</v>
      </c>
    </row>
    <row r="8724" ht="15" customHeight="1" s="104">
      <c r="BA8724" s="201" t="n">
        <v>0</v>
      </c>
    </row>
    <row r="8725" ht="15" customHeight="1" s="104">
      <c r="BA8725" s="201" t="n">
        <v>0</v>
      </c>
    </row>
    <row r="8726" ht="15" customHeight="1" s="104">
      <c r="BA8726" s="201" t="n">
        <v>0</v>
      </c>
    </row>
    <row r="8727" ht="15" customHeight="1" s="104">
      <c r="BA8727" s="201" t="n">
        <v>0</v>
      </c>
    </row>
    <row r="8728" ht="15" customHeight="1" s="104">
      <c r="BA8728" s="201" t="n">
        <v>0</v>
      </c>
    </row>
    <row r="8729" ht="15" customHeight="1" s="104">
      <c r="BA8729" s="201" t="n">
        <v>0</v>
      </c>
    </row>
    <row r="8730" ht="15" customHeight="1" s="104">
      <c r="BA8730" s="201" t="n">
        <v>0</v>
      </c>
    </row>
    <row r="8731" ht="15" customHeight="1" s="104">
      <c r="BA8731" s="201" t="n">
        <v>0</v>
      </c>
    </row>
    <row r="8732" ht="15" customHeight="1" s="104">
      <c r="BA8732" s="201" t="n">
        <v>0</v>
      </c>
    </row>
    <row r="8733" ht="15" customHeight="1" s="104">
      <c r="BA8733" s="201" t="n">
        <v>0</v>
      </c>
    </row>
    <row r="8734" ht="15" customHeight="1" s="104">
      <c r="BA8734" s="201" t="n">
        <v>0</v>
      </c>
    </row>
    <row r="8735" ht="15" customHeight="1" s="104">
      <c r="BA8735" s="201" t="n">
        <v>0</v>
      </c>
    </row>
    <row r="8736" ht="15" customHeight="1" s="104">
      <c r="BA8736" s="201" t="n">
        <v>0</v>
      </c>
    </row>
    <row r="8737" ht="15" customHeight="1" s="104">
      <c r="BA8737" s="201" t="n">
        <v>0</v>
      </c>
    </row>
    <row r="8738" ht="15" customHeight="1" s="104">
      <c r="BA8738" s="201" t="n">
        <v>0</v>
      </c>
    </row>
    <row r="8739" ht="15" customHeight="1" s="104">
      <c r="BA8739" s="201" t="n">
        <v>0</v>
      </c>
    </row>
    <row r="8740" ht="15" customHeight="1" s="104">
      <c r="BA8740" s="201" t="n">
        <v>0</v>
      </c>
    </row>
    <row r="8741" ht="15" customHeight="1" s="104">
      <c r="BA8741" s="201" t="n">
        <v>0</v>
      </c>
    </row>
    <row r="8742" ht="15" customHeight="1" s="104">
      <c r="BA8742" s="201" t="n">
        <v>0</v>
      </c>
    </row>
    <row r="8743" ht="15" customHeight="1" s="104">
      <c r="BA8743" s="201" t="n">
        <v>0</v>
      </c>
    </row>
    <row r="8744" ht="15" customHeight="1" s="104">
      <c r="BA8744" s="201" t="n">
        <v>0</v>
      </c>
    </row>
    <row r="8745" ht="15" customHeight="1" s="104">
      <c r="BA8745" s="201" t="n">
        <v>0</v>
      </c>
    </row>
    <row r="8746" ht="15" customHeight="1" s="104">
      <c r="BA8746" s="201" t="n">
        <v>0</v>
      </c>
    </row>
    <row r="8747" ht="15" customHeight="1" s="104">
      <c r="BA8747" s="201" t="n">
        <v>0</v>
      </c>
    </row>
    <row r="8748" ht="15" customHeight="1" s="104">
      <c r="BA8748" s="201" t="n">
        <v>0</v>
      </c>
    </row>
    <row r="8749" ht="15" customHeight="1" s="104">
      <c r="BA8749" s="201" t="n">
        <v>0</v>
      </c>
    </row>
    <row r="8750" ht="15" customHeight="1" s="104">
      <c r="BA8750" s="201" t="n">
        <v>0</v>
      </c>
    </row>
    <row r="8751" ht="15" customHeight="1" s="104">
      <c r="BA8751" s="201" t="n">
        <v>0</v>
      </c>
    </row>
    <row r="8752" ht="15" customHeight="1" s="104">
      <c r="BA8752" s="201" t="n">
        <v>0</v>
      </c>
    </row>
    <row r="8753" ht="15" customHeight="1" s="104">
      <c r="BA8753" s="201" t="n">
        <v>0</v>
      </c>
    </row>
    <row r="8754" ht="15" customHeight="1" s="104">
      <c r="BA8754" s="201" t="n">
        <v>0</v>
      </c>
    </row>
    <row r="8755" ht="15" customHeight="1" s="104">
      <c r="BA8755" s="201" t="n">
        <v>0</v>
      </c>
    </row>
    <row r="8756" ht="15" customHeight="1" s="104">
      <c r="BA8756" s="201" t="n">
        <v>0</v>
      </c>
    </row>
    <row r="8757" ht="15" customHeight="1" s="104">
      <c r="BA8757" s="201" t="n">
        <v>0</v>
      </c>
    </row>
    <row r="8758" ht="15" customHeight="1" s="104">
      <c r="BA8758" s="201" t="n">
        <v>0</v>
      </c>
    </row>
    <row r="8759" ht="15" customHeight="1" s="104">
      <c r="BA8759" s="201" t="n">
        <v>0</v>
      </c>
    </row>
    <row r="8760" ht="15" customHeight="1" s="104">
      <c r="BA8760" s="201" t="n">
        <v>0</v>
      </c>
    </row>
    <row r="8761" ht="15" customHeight="1" s="104">
      <c r="BA8761" s="201" t="n">
        <v>0</v>
      </c>
    </row>
    <row r="8762" ht="15" customHeight="1" s="104">
      <c r="BA8762" s="201" t="n">
        <v>0</v>
      </c>
    </row>
    <row r="8763" ht="15" customHeight="1" s="104">
      <c r="BA8763" s="201" t="n">
        <v>0</v>
      </c>
    </row>
    <row r="8764" ht="15" customHeight="1" s="104">
      <c r="BA8764" s="201" t="n">
        <v>0</v>
      </c>
    </row>
    <row r="8765" ht="15" customHeight="1" s="104">
      <c r="BA8765" s="201" t="n">
        <v>0</v>
      </c>
    </row>
    <row r="8766" ht="15" customHeight="1" s="104">
      <c r="BA8766" s="201" t="n">
        <v>0</v>
      </c>
    </row>
    <row r="8767" ht="15" customHeight="1" s="104">
      <c r="BA8767" s="201" t="n">
        <v>0</v>
      </c>
    </row>
    <row r="8768" ht="15" customHeight="1" s="104">
      <c r="BA8768" s="201" t="n">
        <v>0</v>
      </c>
    </row>
    <row r="8769" ht="15" customHeight="1" s="104">
      <c r="BA8769" s="201" t="n">
        <v>0</v>
      </c>
    </row>
    <row r="8770" ht="15" customHeight="1" s="104">
      <c r="BA8770" s="201" t="n">
        <v>0</v>
      </c>
    </row>
    <row r="8771" ht="15" customHeight="1" s="104">
      <c r="BA8771" s="201" t="n">
        <v>0</v>
      </c>
    </row>
    <row r="8772" ht="15" customHeight="1" s="104">
      <c r="BA8772" s="201" t="n">
        <v>0</v>
      </c>
    </row>
    <row r="8773" ht="15" customHeight="1" s="104">
      <c r="BA8773" s="201" t="n">
        <v>0</v>
      </c>
    </row>
    <row r="8774" ht="15" customHeight="1" s="104">
      <c r="BA8774" s="201" t="n">
        <v>0</v>
      </c>
    </row>
    <row r="8775" ht="15" customHeight="1" s="104">
      <c r="BA8775" s="201" t="n">
        <v>0</v>
      </c>
    </row>
    <row r="8776" ht="15" customHeight="1" s="104">
      <c r="BA8776" s="201" t="n">
        <v>0</v>
      </c>
    </row>
    <row r="8777" ht="15" customHeight="1" s="104">
      <c r="BA8777" s="201" t="n">
        <v>0</v>
      </c>
    </row>
    <row r="8778" ht="15" customHeight="1" s="104">
      <c r="BA8778" s="201" t="n">
        <v>0</v>
      </c>
    </row>
    <row r="8779" ht="15" customHeight="1" s="104">
      <c r="BA8779" s="201" t="n">
        <v>0</v>
      </c>
    </row>
    <row r="8780" ht="15" customHeight="1" s="104">
      <c r="BA8780" s="201" t="n">
        <v>0</v>
      </c>
    </row>
    <row r="8781" ht="15" customHeight="1" s="104">
      <c r="BA8781" s="201" t="n">
        <v>0</v>
      </c>
    </row>
    <row r="8782" ht="15" customHeight="1" s="104">
      <c r="BA8782" s="201" t="n">
        <v>0</v>
      </c>
    </row>
    <row r="8783" ht="15" customHeight="1" s="104">
      <c r="BA8783" s="201" t="n">
        <v>0</v>
      </c>
    </row>
    <row r="8784" ht="15" customHeight="1" s="104">
      <c r="BA8784" s="201" t="n">
        <v>0</v>
      </c>
    </row>
    <row r="8785" ht="15" customHeight="1" s="104">
      <c r="BA8785" s="201" t="n">
        <v>0</v>
      </c>
    </row>
    <row r="8786" ht="15" customHeight="1" s="104">
      <c r="BA8786" s="201" t="n">
        <v>0</v>
      </c>
    </row>
    <row r="8787" ht="15" customHeight="1" s="104">
      <c r="BA8787" s="201" t="n">
        <v>0</v>
      </c>
    </row>
    <row r="8788" ht="15" customHeight="1" s="104">
      <c r="BA8788" s="201" t="n">
        <v>0</v>
      </c>
    </row>
    <row r="8789" ht="15" customHeight="1" s="104">
      <c r="BA8789" s="201" t="n">
        <v>0</v>
      </c>
    </row>
    <row r="8790" ht="15" customHeight="1" s="104">
      <c r="BA8790" s="201" t="n">
        <v>0</v>
      </c>
    </row>
    <row r="8791" ht="15" customHeight="1" s="104">
      <c r="BA8791" s="201" t="n">
        <v>0</v>
      </c>
    </row>
    <row r="8792" ht="15" customHeight="1" s="104">
      <c r="BA8792" s="201" t="n">
        <v>0</v>
      </c>
    </row>
    <row r="8793" ht="15" customHeight="1" s="104">
      <c r="BA8793" s="201" t="n">
        <v>0</v>
      </c>
    </row>
    <row r="8794" ht="15" customHeight="1" s="104">
      <c r="BA8794" s="201" t="n">
        <v>0</v>
      </c>
    </row>
    <row r="8795" ht="15" customHeight="1" s="104">
      <c r="BA8795" s="201" t="n">
        <v>0</v>
      </c>
    </row>
    <row r="8796" ht="15" customHeight="1" s="104">
      <c r="BA8796" s="201" t="n">
        <v>0</v>
      </c>
    </row>
    <row r="8797" ht="15" customHeight="1" s="104">
      <c r="BA8797" s="201" t="n">
        <v>0</v>
      </c>
    </row>
    <row r="8798" ht="15" customHeight="1" s="104">
      <c r="BA8798" s="201" t="n">
        <v>0</v>
      </c>
    </row>
    <row r="8799" ht="15" customHeight="1" s="104">
      <c r="BA8799" s="201" t="n">
        <v>0</v>
      </c>
    </row>
    <row r="8800" ht="15" customHeight="1" s="104">
      <c r="BA8800" s="201" t="n">
        <v>0</v>
      </c>
    </row>
    <row r="8801" ht="15" customHeight="1" s="104">
      <c r="BA8801" s="201" t="n">
        <v>0</v>
      </c>
    </row>
    <row r="8802" ht="15" customHeight="1" s="104">
      <c r="BA8802" s="201" t="n">
        <v>0</v>
      </c>
    </row>
    <row r="8803" ht="15" customHeight="1" s="104">
      <c r="BA8803" s="201" t="n">
        <v>0</v>
      </c>
    </row>
    <row r="8804" ht="15" customHeight="1" s="104">
      <c r="BA8804" s="201" t="n">
        <v>0</v>
      </c>
    </row>
    <row r="8805" ht="15" customHeight="1" s="104">
      <c r="BA8805" s="201" t="n">
        <v>0</v>
      </c>
    </row>
    <row r="8806" ht="15" customHeight="1" s="104">
      <c r="BA8806" s="201" t="n">
        <v>0</v>
      </c>
    </row>
    <row r="8807" ht="15" customHeight="1" s="104">
      <c r="BA8807" s="201" t="n">
        <v>0</v>
      </c>
    </row>
    <row r="8808" ht="15" customHeight="1" s="104">
      <c r="BA8808" s="201" t="n">
        <v>0</v>
      </c>
    </row>
    <row r="8809" ht="15" customHeight="1" s="104">
      <c r="BA8809" s="201" t="n">
        <v>0</v>
      </c>
    </row>
    <row r="8810" ht="15" customHeight="1" s="104">
      <c r="BA8810" s="201" t="n">
        <v>0</v>
      </c>
    </row>
    <row r="8811" ht="15" customHeight="1" s="104">
      <c r="BA8811" s="201" t="n">
        <v>0</v>
      </c>
    </row>
    <row r="8812" ht="15" customHeight="1" s="104">
      <c r="BA8812" s="201" t="n">
        <v>0</v>
      </c>
    </row>
    <row r="8813" ht="15" customHeight="1" s="104">
      <c r="BA8813" s="201" t="n">
        <v>0</v>
      </c>
    </row>
    <row r="8814" ht="15" customHeight="1" s="104">
      <c r="BA8814" s="201" t="n">
        <v>0</v>
      </c>
    </row>
    <row r="8815" ht="15" customHeight="1" s="104">
      <c r="BA8815" s="201" t="n">
        <v>0</v>
      </c>
    </row>
    <row r="8816" ht="15" customHeight="1" s="104">
      <c r="BA8816" s="201" t="n">
        <v>0</v>
      </c>
    </row>
    <row r="8817" ht="15" customHeight="1" s="104">
      <c r="BA8817" s="201" t="n">
        <v>0</v>
      </c>
    </row>
    <row r="8818" ht="15" customHeight="1" s="104">
      <c r="BA8818" s="201" t="n">
        <v>0</v>
      </c>
    </row>
    <row r="8819" ht="15" customHeight="1" s="104">
      <c r="BA8819" s="201" t="n">
        <v>0</v>
      </c>
    </row>
    <row r="8820" ht="15" customHeight="1" s="104">
      <c r="BA8820" s="201" t="n">
        <v>0</v>
      </c>
    </row>
    <row r="8821" ht="15" customHeight="1" s="104">
      <c r="BA8821" s="201" t="n">
        <v>0</v>
      </c>
    </row>
    <row r="8822" ht="15" customHeight="1" s="104">
      <c r="BA8822" s="201" t="n">
        <v>0</v>
      </c>
    </row>
    <row r="8823" ht="15" customHeight="1" s="104">
      <c r="BA8823" s="201" t="n">
        <v>0</v>
      </c>
    </row>
    <row r="8824" ht="15" customHeight="1" s="104">
      <c r="BA8824" s="201" t="n">
        <v>0</v>
      </c>
    </row>
    <row r="8825" ht="15" customHeight="1" s="104">
      <c r="BA8825" s="201" t="n">
        <v>0</v>
      </c>
    </row>
    <row r="8826" ht="15" customHeight="1" s="104">
      <c r="BA8826" s="201" t="n">
        <v>0</v>
      </c>
    </row>
    <row r="8827" ht="15" customHeight="1" s="104">
      <c r="BA8827" s="201" t="n">
        <v>0</v>
      </c>
    </row>
    <row r="8828" ht="15" customHeight="1" s="104">
      <c r="BA8828" s="201" t="n">
        <v>0</v>
      </c>
    </row>
    <row r="8829" ht="15" customHeight="1" s="104">
      <c r="BA8829" s="201" t="n">
        <v>0</v>
      </c>
    </row>
    <row r="8830" ht="15" customHeight="1" s="104">
      <c r="BA8830" s="201" t="n">
        <v>0</v>
      </c>
    </row>
    <row r="8831" ht="15" customHeight="1" s="104">
      <c r="BA8831" s="201" t="n">
        <v>0</v>
      </c>
    </row>
    <row r="8832" ht="15" customHeight="1" s="104">
      <c r="BA8832" s="201" t="n">
        <v>0</v>
      </c>
    </row>
    <row r="8833" ht="15" customHeight="1" s="104">
      <c r="BA8833" s="201" t="n">
        <v>0</v>
      </c>
    </row>
    <row r="8834" ht="15" customHeight="1" s="104">
      <c r="BA8834" s="201" t="n">
        <v>0</v>
      </c>
    </row>
    <row r="8835" ht="15" customHeight="1" s="104">
      <c r="BA8835" s="201" t="n">
        <v>0</v>
      </c>
    </row>
    <row r="8836" ht="15" customHeight="1" s="104">
      <c r="BA8836" s="201" t="n">
        <v>0</v>
      </c>
    </row>
    <row r="8837" ht="15" customHeight="1" s="104">
      <c r="BA8837" s="201" t="n">
        <v>0</v>
      </c>
    </row>
    <row r="8838" ht="15" customHeight="1" s="104">
      <c r="BA8838" s="201" t="n">
        <v>0</v>
      </c>
    </row>
    <row r="8839" ht="15" customHeight="1" s="104">
      <c r="BA8839" s="201" t="n">
        <v>0</v>
      </c>
    </row>
    <row r="8840" ht="15" customHeight="1" s="104">
      <c r="BA8840" s="201" t="n">
        <v>0</v>
      </c>
    </row>
    <row r="8841" ht="15" customHeight="1" s="104">
      <c r="BA8841" s="201" t="n">
        <v>0</v>
      </c>
    </row>
    <row r="8842" ht="15" customHeight="1" s="104">
      <c r="BA8842" s="201" t="n">
        <v>0</v>
      </c>
    </row>
    <row r="8843" ht="15" customHeight="1" s="104">
      <c r="BA8843" s="201" t="n">
        <v>0</v>
      </c>
    </row>
    <row r="8844" ht="15" customHeight="1" s="104">
      <c r="BA8844" s="201" t="n">
        <v>0</v>
      </c>
    </row>
    <row r="8845" ht="15" customHeight="1" s="104">
      <c r="BA8845" s="201" t="n">
        <v>0</v>
      </c>
    </row>
    <row r="8846" ht="15" customHeight="1" s="104">
      <c r="BA8846" s="201" t="n">
        <v>0</v>
      </c>
    </row>
    <row r="8847" ht="15" customHeight="1" s="104">
      <c r="BA8847" s="201" t="n">
        <v>0</v>
      </c>
    </row>
    <row r="8848" ht="15" customHeight="1" s="104">
      <c r="BA8848" s="201" t="n">
        <v>0</v>
      </c>
    </row>
    <row r="8849" ht="15" customHeight="1" s="104">
      <c r="BA8849" s="201" t="n">
        <v>0</v>
      </c>
    </row>
    <row r="8850" ht="15" customHeight="1" s="104">
      <c r="BA8850" s="201" t="n">
        <v>0</v>
      </c>
    </row>
    <row r="8851" ht="15" customHeight="1" s="104">
      <c r="BA8851" s="201" t="n">
        <v>0</v>
      </c>
    </row>
    <row r="8852" ht="15" customHeight="1" s="104">
      <c r="BA8852" s="201" t="n">
        <v>0</v>
      </c>
    </row>
    <row r="8853" ht="15" customHeight="1" s="104">
      <c r="BA8853" s="201" t="n">
        <v>0</v>
      </c>
    </row>
    <row r="8854" ht="15" customHeight="1" s="104">
      <c r="BA8854" s="201" t="n">
        <v>0</v>
      </c>
    </row>
    <row r="8855" ht="15" customHeight="1" s="104">
      <c r="BA8855" s="201" t="n">
        <v>0</v>
      </c>
    </row>
    <row r="8856" ht="15" customHeight="1" s="104">
      <c r="BA8856" s="201" t="n">
        <v>0</v>
      </c>
    </row>
    <row r="8857" ht="15" customHeight="1" s="104">
      <c r="BA8857" s="201" t="n">
        <v>0</v>
      </c>
    </row>
    <row r="8858" ht="15" customHeight="1" s="104">
      <c r="BA8858" s="201" t="n">
        <v>0</v>
      </c>
    </row>
    <row r="8859" ht="15" customHeight="1" s="104">
      <c r="BA8859" s="201" t="n">
        <v>0</v>
      </c>
    </row>
    <row r="8860" ht="15" customHeight="1" s="104">
      <c r="BA8860" s="201" t="n">
        <v>0</v>
      </c>
    </row>
    <row r="8861" ht="15" customHeight="1" s="104">
      <c r="BA8861" s="201" t="n">
        <v>0</v>
      </c>
    </row>
    <row r="8862" ht="15" customHeight="1" s="104">
      <c r="BA8862" s="201" t="n">
        <v>0</v>
      </c>
    </row>
    <row r="8863" ht="15" customHeight="1" s="104">
      <c r="BA8863" s="201" t="n">
        <v>0</v>
      </c>
    </row>
    <row r="8864" ht="15" customHeight="1" s="104">
      <c r="BA8864" s="201" t="n">
        <v>0</v>
      </c>
    </row>
    <row r="8865" ht="15" customHeight="1" s="104">
      <c r="BA8865" s="201" t="n">
        <v>0</v>
      </c>
    </row>
    <row r="8866" ht="15" customHeight="1" s="104">
      <c r="BA8866" s="201" t="n">
        <v>0</v>
      </c>
    </row>
    <row r="8867" ht="15" customHeight="1" s="104">
      <c r="BA8867" s="201" t="n">
        <v>0</v>
      </c>
    </row>
    <row r="8868" ht="15" customHeight="1" s="104">
      <c r="BA8868" s="201" t="n">
        <v>0</v>
      </c>
    </row>
    <row r="8869" ht="15" customHeight="1" s="104">
      <c r="BA8869" s="201" t="n">
        <v>0</v>
      </c>
    </row>
    <row r="8870" ht="15" customHeight="1" s="104">
      <c r="BA8870" s="201" t="n">
        <v>0</v>
      </c>
    </row>
    <row r="8871" ht="15" customHeight="1" s="104">
      <c r="BA8871" s="201" t="n">
        <v>0</v>
      </c>
    </row>
    <row r="8872" ht="15" customHeight="1" s="104">
      <c r="BA8872" s="201" t="n">
        <v>0</v>
      </c>
    </row>
    <row r="8873" ht="15" customHeight="1" s="104">
      <c r="BA8873" s="201" t="n">
        <v>0</v>
      </c>
    </row>
    <row r="8874" ht="15" customHeight="1" s="104">
      <c r="BA8874" s="201" t="n">
        <v>0</v>
      </c>
    </row>
    <row r="8875" ht="15" customHeight="1" s="104">
      <c r="BA8875" s="201" t="n">
        <v>0</v>
      </c>
    </row>
    <row r="8876" ht="15" customHeight="1" s="104">
      <c r="BA8876" s="201" t="n">
        <v>0</v>
      </c>
    </row>
    <row r="8877" ht="15" customHeight="1" s="104">
      <c r="BA8877" s="201" t="n">
        <v>0</v>
      </c>
    </row>
    <row r="8878" ht="15" customHeight="1" s="104">
      <c r="BA8878" s="201" t="n">
        <v>0</v>
      </c>
    </row>
    <row r="8879" ht="15" customHeight="1" s="104">
      <c r="BA8879" s="201" t="n">
        <v>0</v>
      </c>
    </row>
    <row r="8880" ht="15" customHeight="1" s="104">
      <c r="BA8880" s="201" t="n">
        <v>0</v>
      </c>
    </row>
    <row r="8881" ht="15" customHeight="1" s="104">
      <c r="BA8881" s="201" t="n">
        <v>0</v>
      </c>
    </row>
    <row r="8882" ht="15" customHeight="1" s="104">
      <c r="BA8882" s="201" t="n">
        <v>0</v>
      </c>
    </row>
    <row r="8883" ht="15" customHeight="1" s="104">
      <c r="BA8883" s="201" t="n">
        <v>0</v>
      </c>
    </row>
    <row r="8884" ht="15" customHeight="1" s="104">
      <c r="BA8884" s="201" t="n">
        <v>0</v>
      </c>
    </row>
    <row r="8885" ht="15" customHeight="1" s="104">
      <c r="BA8885" s="201" t="n">
        <v>0</v>
      </c>
    </row>
    <row r="8886" ht="15" customHeight="1" s="104">
      <c r="BA8886" s="201" t="n">
        <v>0</v>
      </c>
    </row>
    <row r="8887" ht="15" customHeight="1" s="104">
      <c r="BA8887" s="201" t="n">
        <v>0</v>
      </c>
    </row>
    <row r="8888" ht="15" customHeight="1" s="104">
      <c r="BA8888" s="201" t="n">
        <v>0</v>
      </c>
    </row>
    <row r="8889" ht="15" customHeight="1" s="104">
      <c r="BA8889" s="201" t="n">
        <v>0</v>
      </c>
    </row>
    <row r="8890" ht="15" customHeight="1" s="104">
      <c r="BA8890" s="201" t="n">
        <v>0</v>
      </c>
    </row>
    <row r="8891" ht="15" customHeight="1" s="104">
      <c r="BA8891" s="201" t="n">
        <v>0</v>
      </c>
    </row>
    <row r="8892" ht="15" customHeight="1" s="104">
      <c r="BA8892" s="201" t="n">
        <v>0</v>
      </c>
    </row>
    <row r="8893" ht="15" customHeight="1" s="104">
      <c r="BA8893" s="201" t="n">
        <v>0</v>
      </c>
    </row>
    <row r="8894" ht="15" customHeight="1" s="104">
      <c r="BA8894" s="201" t="n">
        <v>0</v>
      </c>
    </row>
    <row r="8895" ht="15" customHeight="1" s="104">
      <c r="BA8895" s="201" t="n">
        <v>0</v>
      </c>
    </row>
    <row r="8896" ht="15" customHeight="1" s="104">
      <c r="BA8896" s="201" t="n">
        <v>0</v>
      </c>
    </row>
    <row r="8897" ht="15" customHeight="1" s="104">
      <c r="BA8897" s="201" t="n">
        <v>0</v>
      </c>
    </row>
    <row r="8898" ht="15" customHeight="1" s="104">
      <c r="BA8898" s="201" t="n">
        <v>0</v>
      </c>
    </row>
    <row r="8899" ht="15" customHeight="1" s="104">
      <c r="BA8899" s="201" t="n">
        <v>0</v>
      </c>
    </row>
    <row r="8900" ht="15" customHeight="1" s="104">
      <c r="BA8900" s="201" t="n">
        <v>0</v>
      </c>
    </row>
    <row r="8901" ht="15" customHeight="1" s="104">
      <c r="BA8901" s="201" t="n">
        <v>0</v>
      </c>
    </row>
    <row r="8902" ht="15" customHeight="1" s="104">
      <c r="BA8902" s="201" t="n">
        <v>0</v>
      </c>
    </row>
    <row r="8903" ht="15" customHeight="1" s="104">
      <c r="BA8903" s="201" t="n">
        <v>0</v>
      </c>
    </row>
    <row r="8904" ht="15" customHeight="1" s="104">
      <c r="BA8904" s="201" t="n">
        <v>0</v>
      </c>
    </row>
    <row r="8905" ht="15" customHeight="1" s="104">
      <c r="BA8905" s="201" t="n">
        <v>0</v>
      </c>
    </row>
    <row r="8906" ht="15" customHeight="1" s="104">
      <c r="BA8906" s="201" t="n">
        <v>0</v>
      </c>
    </row>
    <row r="8907" ht="15" customHeight="1" s="104">
      <c r="BA8907" s="201" t="n">
        <v>0</v>
      </c>
    </row>
    <row r="8908" ht="15" customHeight="1" s="104">
      <c r="BA8908" s="201" t="n">
        <v>0</v>
      </c>
    </row>
    <row r="8909" ht="15" customHeight="1" s="104">
      <c r="BA8909" s="201" t="n">
        <v>0</v>
      </c>
    </row>
    <row r="8910" ht="15" customHeight="1" s="104">
      <c r="BA8910" s="201" t="n">
        <v>0</v>
      </c>
    </row>
    <row r="8911" ht="15" customHeight="1" s="104">
      <c r="BA8911" s="201" t="n">
        <v>0</v>
      </c>
    </row>
    <row r="8912" ht="15" customHeight="1" s="104">
      <c r="BA8912" s="201" t="n">
        <v>0</v>
      </c>
    </row>
    <row r="8913" ht="15" customHeight="1" s="104">
      <c r="BA8913" s="201" t="n">
        <v>0</v>
      </c>
    </row>
    <row r="8914" ht="15" customHeight="1" s="104">
      <c r="BA8914" s="201" t="n">
        <v>0</v>
      </c>
    </row>
    <row r="8915" ht="15" customHeight="1" s="104">
      <c r="BA8915" s="201" t="n">
        <v>0</v>
      </c>
    </row>
    <row r="8916" ht="15" customHeight="1" s="104">
      <c r="BA8916" s="201" t="n">
        <v>0</v>
      </c>
    </row>
    <row r="8917" ht="15" customHeight="1" s="104">
      <c r="BA8917" s="201" t="n">
        <v>0</v>
      </c>
    </row>
    <row r="8918" ht="15" customHeight="1" s="104">
      <c r="BA8918" s="201" t="n">
        <v>0</v>
      </c>
    </row>
    <row r="8919" ht="15" customHeight="1" s="104">
      <c r="BA8919" s="201" t="n">
        <v>0</v>
      </c>
    </row>
    <row r="8920" ht="15" customHeight="1" s="104">
      <c r="BA8920" s="201" t="n">
        <v>0</v>
      </c>
    </row>
    <row r="8921" ht="15" customHeight="1" s="104">
      <c r="BA8921" s="201" t="n">
        <v>0</v>
      </c>
    </row>
    <row r="8922" ht="15" customHeight="1" s="104">
      <c r="BA8922" s="201" t="n">
        <v>0</v>
      </c>
    </row>
    <row r="8923" ht="15" customHeight="1" s="104">
      <c r="BA8923" s="201" t="n">
        <v>0</v>
      </c>
    </row>
    <row r="8924" ht="15" customHeight="1" s="104">
      <c r="BA8924" s="201" t="n">
        <v>0</v>
      </c>
    </row>
    <row r="8925" ht="15" customHeight="1" s="104">
      <c r="BA8925" s="201" t="n">
        <v>0</v>
      </c>
    </row>
    <row r="8926" ht="15" customHeight="1" s="104">
      <c r="BA8926" s="201" t="n">
        <v>0</v>
      </c>
    </row>
    <row r="8927" ht="15" customHeight="1" s="104">
      <c r="BA8927" s="201" t="n">
        <v>0</v>
      </c>
    </row>
    <row r="8928" ht="15" customHeight="1" s="104">
      <c r="BA8928" s="201" t="n">
        <v>0</v>
      </c>
    </row>
    <row r="8929" ht="15" customHeight="1" s="104">
      <c r="BA8929" s="201" t="n">
        <v>0</v>
      </c>
    </row>
    <row r="8930" ht="15" customHeight="1" s="104">
      <c r="BA8930" s="201" t="n">
        <v>0</v>
      </c>
    </row>
    <row r="8931" ht="15" customHeight="1" s="104">
      <c r="BA8931" s="201" t="n">
        <v>0</v>
      </c>
    </row>
    <row r="8932" ht="15" customHeight="1" s="104">
      <c r="BA8932" s="201" t="n">
        <v>0</v>
      </c>
    </row>
    <row r="8933" ht="15" customHeight="1" s="104">
      <c r="BA8933" s="201" t="n">
        <v>0</v>
      </c>
    </row>
    <row r="8934" ht="15" customHeight="1" s="104">
      <c r="BA8934" s="201" t="n">
        <v>0</v>
      </c>
    </row>
    <row r="8935" ht="15" customHeight="1" s="104">
      <c r="BA8935" s="201" t="n">
        <v>0</v>
      </c>
    </row>
    <row r="8936" ht="15" customHeight="1" s="104">
      <c r="BA8936" s="201" t="n">
        <v>0</v>
      </c>
    </row>
    <row r="8937" ht="15" customHeight="1" s="104">
      <c r="BA8937" s="201" t="n">
        <v>0</v>
      </c>
    </row>
    <row r="8938" ht="15" customHeight="1" s="104">
      <c r="BA8938" s="201" t="n">
        <v>0</v>
      </c>
    </row>
    <row r="8939" ht="15" customHeight="1" s="104">
      <c r="BA8939" s="201" t="n">
        <v>0</v>
      </c>
    </row>
    <row r="8940" ht="15" customHeight="1" s="104">
      <c r="BA8940" s="201" t="n">
        <v>0</v>
      </c>
    </row>
    <row r="8941" ht="15" customHeight="1" s="104">
      <c r="BA8941" s="201" t="n">
        <v>0</v>
      </c>
    </row>
    <row r="8942" ht="15" customHeight="1" s="104">
      <c r="BA8942" s="201" t="n">
        <v>0</v>
      </c>
    </row>
    <row r="8943" ht="15" customHeight="1" s="104">
      <c r="BA8943" s="201" t="n">
        <v>0</v>
      </c>
    </row>
    <row r="8944" ht="15" customHeight="1" s="104">
      <c r="BA8944" s="201" t="n">
        <v>0</v>
      </c>
    </row>
    <row r="8945" ht="15" customHeight="1" s="104">
      <c r="BA8945" s="201" t="n">
        <v>0</v>
      </c>
    </row>
    <row r="8946" ht="15" customHeight="1" s="104">
      <c r="BA8946" s="201" t="n">
        <v>0</v>
      </c>
    </row>
    <row r="8947" ht="15" customHeight="1" s="104">
      <c r="BA8947" s="201" t="n">
        <v>0</v>
      </c>
    </row>
    <row r="8948" ht="15" customHeight="1" s="104">
      <c r="BA8948" s="201" t="n">
        <v>0</v>
      </c>
    </row>
    <row r="8949" ht="15" customHeight="1" s="104">
      <c r="BA8949" s="201" t="n">
        <v>0</v>
      </c>
    </row>
    <row r="8950" ht="15" customHeight="1" s="104">
      <c r="BA8950" s="201" t="n">
        <v>0</v>
      </c>
    </row>
    <row r="8951" ht="15" customHeight="1" s="104">
      <c r="BA8951" s="201" t="n">
        <v>0</v>
      </c>
    </row>
    <row r="8952" ht="15" customHeight="1" s="104">
      <c r="BA8952" s="201" t="n">
        <v>0</v>
      </c>
    </row>
    <row r="8953" ht="15" customHeight="1" s="104">
      <c r="BA8953" s="201" t="n">
        <v>0</v>
      </c>
    </row>
    <row r="8954" ht="15" customHeight="1" s="104">
      <c r="BA8954" s="201" t="n">
        <v>0</v>
      </c>
    </row>
    <row r="8955" ht="15" customHeight="1" s="104">
      <c r="BA8955" s="201" t="n">
        <v>0</v>
      </c>
    </row>
    <row r="8956" ht="15" customHeight="1" s="104">
      <c r="BA8956" s="201" t="n">
        <v>0</v>
      </c>
    </row>
    <row r="8957" ht="15" customHeight="1" s="104">
      <c r="BA8957" s="201" t="n">
        <v>0</v>
      </c>
    </row>
    <row r="8958" ht="15" customHeight="1" s="104">
      <c r="BA8958" s="201" t="n">
        <v>0</v>
      </c>
    </row>
    <row r="8959" ht="15" customHeight="1" s="104">
      <c r="BA8959" s="201" t="n">
        <v>0</v>
      </c>
    </row>
    <row r="8960" ht="15" customHeight="1" s="104">
      <c r="BA8960" s="201" t="n">
        <v>0</v>
      </c>
    </row>
    <row r="8961" ht="15" customHeight="1" s="104">
      <c r="BA8961" s="201" t="n">
        <v>0</v>
      </c>
    </row>
    <row r="8962" ht="15" customHeight="1" s="104">
      <c r="BA8962" s="201" t="n">
        <v>0</v>
      </c>
    </row>
    <row r="8963" ht="15" customHeight="1" s="104">
      <c r="BA8963" s="201" t="n">
        <v>0</v>
      </c>
    </row>
    <row r="8964" ht="15" customHeight="1" s="104">
      <c r="BA8964" s="201" t="n">
        <v>0</v>
      </c>
    </row>
    <row r="8965" ht="15" customHeight="1" s="104">
      <c r="BA8965" s="201" t="n">
        <v>0</v>
      </c>
    </row>
    <row r="8966" ht="15" customHeight="1" s="104">
      <c r="BA8966" s="201" t="n">
        <v>0</v>
      </c>
    </row>
    <row r="8967" ht="15" customHeight="1" s="104">
      <c r="BA8967" s="201" t="n">
        <v>0</v>
      </c>
    </row>
    <row r="8968" ht="15" customHeight="1" s="104">
      <c r="BA8968" s="201" t="n">
        <v>0</v>
      </c>
    </row>
    <row r="8969" ht="15" customHeight="1" s="104">
      <c r="BA8969" s="201" t="n">
        <v>0</v>
      </c>
    </row>
    <row r="8970" ht="15" customHeight="1" s="104">
      <c r="BA8970" s="201" t="n">
        <v>0</v>
      </c>
    </row>
    <row r="8971" ht="15" customHeight="1" s="104">
      <c r="BA8971" s="201" t="n">
        <v>0</v>
      </c>
    </row>
    <row r="8972" ht="15" customHeight="1" s="104">
      <c r="BA8972" s="201" t="n">
        <v>0</v>
      </c>
    </row>
    <row r="8973" ht="15" customHeight="1" s="104">
      <c r="BA8973" s="201" t="n">
        <v>0</v>
      </c>
    </row>
    <row r="8974" ht="15" customHeight="1" s="104">
      <c r="BA8974" s="201" t="n">
        <v>0</v>
      </c>
    </row>
    <row r="8975" ht="15" customHeight="1" s="104">
      <c r="BA8975" s="201" t="n">
        <v>0</v>
      </c>
    </row>
    <row r="8976" ht="15" customHeight="1" s="104">
      <c r="BA8976" s="201" t="n">
        <v>0</v>
      </c>
    </row>
    <row r="8977" ht="15" customHeight="1" s="104">
      <c r="BA8977" s="201" t="n">
        <v>0</v>
      </c>
    </row>
    <row r="8978" ht="15" customHeight="1" s="104">
      <c r="BA8978" s="201" t="n">
        <v>0</v>
      </c>
    </row>
    <row r="8979" ht="15" customHeight="1" s="104">
      <c r="BA8979" s="201" t="n">
        <v>0</v>
      </c>
    </row>
    <row r="8980" ht="15" customHeight="1" s="104">
      <c r="BA8980" s="201" t="n">
        <v>0</v>
      </c>
    </row>
    <row r="8981" ht="15" customHeight="1" s="104">
      <c r="BA8981" s="201" t="n">
        <v>0</v>
      </c>
    </row>
    <row r="8982" ht="15" customHeight="1" s="104">
      <c r="BA8982" s="201" t="n">
        <v>0</v>
      </c>
    </row>
    <row r="8983" ht="15" customHeight="1" s="104">
      <c r="BA8983" s="201" t="n">
        <v>0</v>
      </c>
    </row>
    <row r="8984" ht="15" customHeight="1" s="104">
      <c r="BA8984" s="201" t="n">
        <v>0</v>
      </c>
    </row>
    <row r="8985" ht="15" customHeight="1" s="104">
      <c r="BA8985" s="201" t="n">
        <v>0</v>
      </c>
    </row>
    <row r="8986" ht="15" customHeight="1" s="104">
      <c r="BA8986" s="201" t="n">
        <v>0</v>
      </c>
    </row>
    <row r="8987" ht="15" customHeight="1" s="104">
      <c r="BA8987" s="201" t="n">
        <v>0</v>
      </c>
    </row>
    <row r="8988" ht="15" customHeight="1" s="104">
      <c r="BA8988" s="201" t="n">
        <v>0</v>
      </c>
    </row>
    <row r="8989" ht="15" customHeight="1" s="104">
      <c r="BA8989" s="201" t="n">
        <v>0</v>
      </c>
    </row>
    <row r="8990" ht="15" customHeight="1" s="104">
      <c r="BA8990" s="201" t="n">
        <v>0</v>
      </c>
    </row>
    <row r="8991" ht="15" customHeight="1" s="104">
      <c r="BA8991" s="201" t="n">
        <v>0</v>
      </c>
    </row>
    <row r="8992" ht="15" customHeight="1" s="104">
      <c r="BA8992" s="201" t="n">
        <v>0</v>
      </c>
    </row>
    <row r="8993" ht="15" customHeight="1" s="104">
      <c r="BA8993" s="201" t="n">
        <v>0</v>
      </c>
    </row>
    <row r="8994" ht="15" customHeight="1" s="104">
      <c r="BA8994" s="201" t="n">
        <v>0</v>
      </c>
    </row>
    <row r="8995" ht="15" customHeight="1" s="104">
      <c r="BA8995" s="201" t="n">
        <v>0</v>
      </c>
    </row>
    <row r="8996" ht="15" customHeight="1" s="104">
      <c r="BA8996" s="201" t="n">
        <v>0</v>
      </c>
    </row>
    <row r="8997" ht="15" customHeight="1" s="104">
      <c r="BA8997" s="201" t="n">
        <v>0</v>
      </c>
    </row>
    <row r="8998" ht="15" customHeight="1" s="104">
      <c r="BA8998" s="201" t="n">
        <v>0</v>
      </c>
    </row>
    <row r="8999" ht="15" customHeight="1" s="104">
      <c r="BA8999" s="201" t="n">
        <v>0</v>
      </c>
    </row>
    <row r="9000" ht="15" customHeight="1" s="104">
      <c r="BA9000" s="201" t="n">
        <v>0</v>
      </c>
    </row>
    <row r="9001" ht="15" customHeight="1" s="104">
      <c r="BA9001" s="201" t="n">
        <v>0</v>
      </c>
    </row>
    <row r="9002" ht="15" customHeight="1" s="104">
      <c r="BA9002" s="201" t="n">
        <v>0</v>
      </c>
    </row>
    <row r="9003" ht="15" customHeight="1" s="104">
      <c r="BA9003" s="201" t="n">
        <v>0</v>
      </c>
    </row>
    <row r="9004" ht="15" customHeight="1" s="104">
      <c r="BA9004" s="201" t="n">
        <v>0</v>
      </c>
    </row>
    <row r="9005" ht="15" customHeight="1" s="104">
      <c r="BA9005" s="201" t="n">
        <v>0</v>
      </c>
    </row>
    <row r="9006" ht="15" customHeight="1" s="104">
      <c r="BA9006" s="201" t="n">
        <v>0</v>
      </c>
    </row>
    <row r="9007" ht="15" customHeight="1" s="104">
      <c r="BA9007" s="201" t="n">
        <v>0</v>
      </c>
    </row>
    <row r="9008" ht="15" customHeight="1" s="104">
      <c r="BA9008" s="201" t="n">
        <v>0</v>
      </c>
    </row>
    <row r="9009" ht="15" customHeight="1" s="104">
      <c r="BA9009" s="201" t="n">
        <v>0</v>
      </c>
    </row>
    <row r="9010" ht="15" customHeight="1" s="104">
      <c r="BA9010" s="201" t="n">
        <v>0</v>
      </c>
    </row>
    <row r="9011" ht="15" customHeight="1" s="104">
      <c r="BA9011" s="201" t="n">
        <v>0</v>
      </c>
    </row>
    <row r="9012" ht="15" customHeight="1" s="104">
      <c r="BA9012" s="201" t="n">
        <v>0</v>
      </c>
    </row>
    <row r="9013" ht="15" customHeight="1" s="104">
      <c r="BA9013" s="201" t="n">
        <v>0</v>
      </c>
    </row>
    <row r="9014" ht="15" customHeight="1" s="104">
      <c r="BA9014" s="201" t="n">
        <v>0</v>
      </c>
    </row>
    <row r="9015" ht="15" customHeight="1" s="104">
      <c r="BA9015" s="201" t="n">
        <v>0</v>
      </c>
    </row>
    <row r="9016" ht="15" customHeight="1" s="104">
      <c r="BA9016" s="201" t="n">
        <v>0</v>
      </c>
    </row>
    <row r="9017" ht="15" customHeight="1" s="104">
      <c r="BA9017" s="201" t="n">
        <v>0</v>
      </c>
    </row>
    <row r="9018" ht="15" customHeight="1" s="104">
      <c r="BA9018" s="201" t="n">
        <v>0</v>
      </c>
    </row>
    <row r="9019" ht="15" customHeight="1" s="104">
      <c r="BA9019" s="201" t="n">
        <v>0</v>
      </c>
    </row>
    <row r="9020" ht="15" customHeight="1" s="104">
      <c r="BA9020" s="201" t="n">
        <v>0</v>
      </c>
    </row>
    <row r="9021" ht="15" customHeight="1" s="104">
      <c r="BA9021" s="201" t="n">
        <v>0</v>
      </c>
    </row>
    <row r="9022" ht="15" customHeight="1" s="104">
      <c r="BA9022" s="201" t="n">
        <v>0</v>
      </c>
    </row>
    <row r="9023" ht="15" customHeight="1" s="104">
      <c r="BA9023" s="201" t="n">
        <v>0</v>
      </c>
    </row>
    <row r="9024" ht="15" customHeight="1" s="104">
      <c r="BA9024" s="201" t="n">
        <v>0</v>
      </c>
    </row>
    <row r="9025" ht="15" customHeight="1" s="104">
      <c r="BA9025" s="201" t="n">
        <v>0</v>
      </c>
    </row>
    <row r="9026" ht="15" customHeight="1" s="104">
      <c r="BA9026" s="201" t="n">
        <v>0</v>
      </c>
    </row>
    <row r="9027" ht="15" customHeight="1" s="104">
      <c r="BA9027" s="201" t="n">
        <v>0</v>
      </c>
    </row>
    <row r="9028" ht="15" customHeight="1" s="104">
      <c r="BA9028" s="201" t="n">
        <v>0</v>
      </c>
    </row>
    <row r="9029" ht="15" customHeight="1" s="104">
      <c r="BA9029" s="201" t="n">
        <v>0</v>
      </c>
    </row>
    <row r="9030" ht="15" customHeight="1" s="104">
      <c r="BA9030" s="201" t="n">
        <v>0</v>
      </c>
    </row>
    <row r="9031" ht="15" customHeight="1" s="104">
      <c r="BA9031" s="201" t="n">
        <v>0</v>
      </c>
    </row>
    <row r="9032" ht="15" customHeight="1" s="104">
      <c r="BA9032" s="201" t="n">
        <v>0</v>
      </c>
    </row>
    <row r="9033" ht="15" customHeight="1" s="104">
      <c r="BA9033" s="201" t="n">
        <v>0</v>
      </c>
    </row>
    <row r="9034" ht="15" customHeight="1" s="104">
      <c r="BA9034" s="201" t="n">
        <v>0</v>
      </c>
    </row>
    <row r="9035" ht="15" customHeight="1" s="104">
      <c r="BA9035" s="201" t="n">
        <v>0</v>
      </c>
    </row>
    <row r="9036" ht="15" customHeight="1" s="104">
      <c r="BA9036" s="201" t="n">
        <v>0</v>
      </c>
    </row>
    <row r="9037" ht="15" customHeight="1" s="104">
      <c r="BA9037" s="201" t="n">
        <v>0</v>
      </c>
    </row>
    <row r="9038" ht="15" customHeight="1" s="104">
      <c r="BA9038" s="201" t="n">
        <v>0</v>
      </c>
    </row>
    <row r="9039" ht="15" customHeight="1" s="104">
      <c r="BA9039" s="201" t="n">
        <v>0</v>
      </c>
    </row>
    <row r="9040" ht="15" customHeight="1" s="104">
      <c r="BA9040" s="201" t="n">
        <v>0</v>
      </c>
    </row>
    <row r="9041" ht="15" customHeight="1" s="104">
      <c r="BA9041" s="201" t="n">
        <v>0</v>
      </c>
    </row>
    <row r="9042" ht="15" customHeight="1" s="104">
      <c r="BA9042" s="201" t="n">
        <v>0</v>
      </c>
    </row>
    <row r="9043" ht="15" customHeight="1" s="104">
      <c r="BA9043" s="201" t="n">
        <v>0</v>
      </c>
    </row>
    <row r="9044" ht="15" customHeight="1" s="104">
      <c r="BA9044" s="201" t="n">
        <v>0</v>
      </c>
    </row>
    <row r="9045" ht="15" customHeight="1" s="104">
      <c r="BA9045" s="201" t="n">
        <v>0</v>
      </c>
    </row>
    <row r="9046" ht="15" customHeight="1" s="104">
      <c r="BA9046" s="201" t="n">
        <v>0</v>
      </c>
    </row>
    <row r="9047" ht="15" customHeight="1" s="104">
      <c r="BA9047" s="201" t="n">
        <v>0</v>
      </c>
    </row>
    <row r="9048" ht="15" customHeight="1" s="104">
      <c r="BA9048" s="201" t="n">
        <v>0</v>
      </c>
    </row>
    <row r="9049" ht="15" customHeight="1" s="104">
      <c r="BA9049" s="201" t="n">
        <v>0</v>
      </c>
    </row>
    <row r="9050" ht="15" customHeight="1" s="104">
      <c r="BA9050" s="201" t="n">
        <v>0</v>
      </c>
    </row>
    <row r="9051" ht="15" customHeight="1" s="104">
      <c r="BA9051" s="201" t="n">
        <v>0</v>
      </c>
    </row>
    <row r="9052" ht="15" customHeight="1" s="104">
      <c r="BA9052" s="201" t="n">
        <v>0</v>
      </c>
    </row>
    <row r="9053" ht="15" customHeight="1" s="104">
      <c r="BA9053" s="201" t="n">
        <v>0</v>
      </c>
    </row>
    <row r="9054" ht="15" customHeight="1" s="104">
      <c r="BA9054" s="201" t="n">
        <v>0</v>
      </c>
    </row>
    <row r="9055" ht="15" customHeight="1" s="104">
      <c r="BA9055" s="201" t="n">
        <v>0</v>
      </c>
    </row>
    <row r="9056" ht="15" customHeight="1" s="104">
      <c r="BA9056" s="201" t="n">
        <v>0</v>
      </c>
    </row>
    <row r="9057" ht="15" customHeight="1" s="104">
      <c r="BA9057" s="201" t="n">
        <v>0</v>
      </c>
    </row>
    <row r="9058" ht="15" customHeight="1" s="104">
      <c r="BA9058" s="201" t="n">
        <v>0</v>
      </c>
    </row>
    <row r="9059" ht="15" customHeight="1" s="104">
      <c r="BA9059" s="201" t="n">
        <v>0</v>
      </c>
    </row>
    <row r="9060" ht="15" customHeight="1" s="104">
      <c r="BA9060" s="201" t="n">
        <v>0</v>
      </c>
    </row>
    <row r="9061" ht="15" customHeight="1" s="104">
      <c r="BA9061" s="201" t="n">
        <v>0</v>
      </c>
    </row>
    <row r="9062" ht="15" customHeight="1" s="104">
      <c r="BA9062" s="201" t="n">
        <v>0</v>
      </c>
    </row>
    <row r="9063" ht="15" customHeight="1" s="104">
      <c r="BA9063" s="201" t="n">
        <v>0</v>
      </c>
    </row>
    <row r="9064" ht="15" customHeight="1" s="104">
      <c r="BA9064" s="201" t="n">
        <v>0</v>
      </c>
    </row>
    <row r="9065" ht="15" customHeight="1" s="104">
      <c r="BA9065" s="201" t="n">
        <v>0</v>
      </c>
    </row>
    <row r="9066" ht="15" customHeight="1" s="104">
      <c r="BA9066" s="201" t="n">
        <v>0</v>
      </c>
    </row>
    <row r="9067" ht="15" customHeight="1" s="104">
      <c r="BA9067" s="201" t="n">
        <v>0</v>
      </c>
    </row>
    <row r="9068" ht="15" customHeight="1" s="104">
      <c r="BA9068" s="201" t="n">
        <v>0</v>
      </c>
    </row>
    <row r="9069" ht="15" customHeight="1" s="104">
      <c r="BA9069" s="201" t="n">
        <v>0</v>
      </c>
    </row>
    <row r="9070" ht="15" customHeight="1" s="104">
      <c r="BA9070" s="201" t="n">
        <v>0</v>
      </c>
    </row>
    <row r="9071" ht="15" customHeight="1" s="104">
      <c r="BA9071" s="201" t="n">
        <v>0</v>
      </c>
    </row>
    <row r="9072" ht="15" customHeight="1" s="104">
      <c r="BA9072" s="201" t="n">
        <v>0</v>
      </c>
    </row>
    <row r="9073" ht="15" customHeight="1" s="104">
      <c r="BA9073" s="201" t="n">
        <v>0</v>
      </c>
    </row>
    <row r="9074" ht="15" customHeight="1" s="104">
      <c r="BA9074" s="201" t="n">
        <v>0</v>
      </c>
    </row>
    <row r="9075" ht="15" customHeight="1" s="104">
      <c r="BA9075" s="201" t="n">
        <v>0</v>
      </c>
    </row>
    <row r="9076" ht="15" customHeight="1" s="104">
      <c r="BA9076" s="201" t="n">
        <v>0</v>
      </c>
    </row>
    <row r="9077" ht="15" customHeight="1" s="104">
      <c r="BA9077" s="201" t="n">
        <v>0</v>
      </c>
    </row>
    <row r="9078" ht="15" customHeight="1" s="104">
      <c r="BA9078" s="201" t="n">
        <v>0</v>
      </c>
    </row>
    <row r="9079" ht="15" customHeight="1" s="104">
      <c r="BA9079" s="201" t="n">
        <v>0</v>
      </c>
    </row>
    <row r="9080" ht="15" customHeight="1" s="104">
      <c r="BA9080" s="201" t="n">
        <v>0</v>
      </c>
    </row>
    <row r="9081" ht="15" customHeight="1" s="104">
      <c r="BA9081" s="201" t="n">
        <v>0</v>
      </c>
    </row>
    <row r="9082" ht="15" customHeight="1" s="104">
      <c r="BA9082" s="201" t="n">
        <v>0</v>
      </c>
    </row>
    <row r="9083" ht="15" customHeight="1" s="104">
      <c r="BA9083" s="201" t="n">
        <v>0</v>
      </c>
    </row>
    <row r="9084" ht="15" customHeight="1" s="104">
      <c r="BA9084" s="201" t="n">
        <v>0</v>
      </c>
    </row>
    <row r="9085" ht="15" customHeight="1" s="104">
      <c r="BA9085" s="201" t="n">
        <v>0</v>
      </c>
    </row>
    <row r="9086" ht="15" customHeight="1" s="104">
      <c r="BA9086" s="201" t="n">
        <v>0</v>
      </c>
    </row>
    <row r="9087" ht="15" customHeight="1" s="104">
      <c r="BA9087" s="201" t="n">
        <v>0</v>
      </c>
    </row>
    <row r="9088" ht="15" customHeight="1" s="104">
      <c r="BA9088" s="201" t="n">
        <v>0</v>
      </c>
    </row>
    <row r="9089" ht="15" customHeight="1" s="104">
      <c r="BA9089" s="201" t="n">
        <v>0</v>
      </c>
    </row>
    <row r="9090" ht="15" customHeight="1" s="104">
      <c r="BA9090" s="201" t="n">
        <v>0</v>
      </c>
    </row>
    <row r="9091" ht="15" customHeight="1" s="104">
      <c r="BA9091" s="201" t="n">
        <v>0</v>
      </c>
    </row>
    <row r="9092" ht="15" customHeight="1" s="104">
      <c r="BA9092" s="201" t="n">
        <v>0</v>
      </c>
    </row>
    <row r="9093" ht="15" customHeight="1" s="104">
      <c r="BA9093" s="201" t="n">
        <v>0</v>
      </c>
    </row>
    <row r="9094" ht="15" customHeight="1" s="104">
      <c r="BA9094" s="201" t="n">
        <v>0</v>
      </c>
    </row>
    <row r="9095" ht="15" customHeight="1" s="104">
      <c r="BA9095" s="201" t="n">
        <v>0</v>
      </c>
    </row>
    <row r="9096" ht="15" customHeight="1" s="104">
      <c r="BA9096" s="201" t="n">
        <v>0</v>
      </c>
    </row>
    <row r="9097" ht="15" customHeight="1" s="104">
      <c r="BA9097" s="201" t="n">
        <v>0</v>
      </c>
    </row>
    <row r="9098" ht="15" customHeight="1" s="104">
      <c r="BA9098" s="201" t="n">
        <v>0</v>
      </c>
    </row>
    <row r="9099" ht="15" customHeight="1" s="104">
      <c r="BA9099" s="201" t="n">
        <v>0</v>
      </c>
    </row>
    <row r="9100" ht="15" customHeight="1" s="104">
      <c r="BA9100" s="201" t="n">
        <v>0</v>
      </c>
    </row>
    <row r="9101" ht="15" customHeight="1" s="104">
      <c r="BA9101" s="201" t="n">
        <v>0</v>
      </c>
    </row>
    <row r="9102" ht="15" customHeight="1" s="104">
      <c r="BA9102" s="201" t="n">
        <v>0</v>
      </c>
    </row>
    <row r="9103" ht="15" customHeight="1" s="104">
      <c r="BA9103" s="201" t="n">
        <v>0</v>
      </c>
    </row>
    <row r="9104" ht="15" customHeight="1" s="104">
      <c r="BA9104" s="201" t="n">
        <v>0</v>
      </c>
    </row>
    <row r="9105" ht="15" customHeight="1" s="104">
      <c r="BA9105" s="201" t="n">
        <v>0</v>
      </c>
    </row>
    <row r="9106" ht="15" customHeight="1" s="104">
      <c r="BA9106" s="201" t="n">
        <v>0</v>
      </c>
    </row>
    <row r="9107" ht="15" customHeight="1" s="104">
      <c r="BA9107" s="201" t="n">
        <v>0</v>
      </c>
    </row>
    <row r="9108" ht="15" customHeight="1" s="104">
      <c r="BA9108" s="201" t="n">
        <v>0</v>
      </c>
    </row>
    <row r="9109" ht="15" customHeight="1" s="104">
      <c r="BA9109" s="201" t="n">
        <v>0</v>
      </c>
    </row>
    <row r="9110" ht="15" customHeight="1" s="104">
      <c r="BA9110" s="201" t="n">
        <v>0</v>
      </c>
    </row>
    <row r="9111" ht="15" customHeight="1" s="104">
      <c r="BA9111" s="201" t="n">
        <v>0</v>
      </c>
    </row>
    <row r="9112" ht="15" customHeight="1" s="104">
      <c r="BA9112" s="201" t="n">
        <v>0</v>
      </c>
    </row>
    <row r="9113" ht="15" customHeight="1" s="104">
      <c r="BA9113" s="201" t="n">
        <v>0</v>
      </c>
    </row>
    <row r="9114" ht="15" customHeight="1" s="104">
      <c r="BA9114" s="201" t="n">
        <v>0</v>
      </c>
    </row>
    <row r="9115" ht="15" customHeight="1" s="104">
      <c r="BA9115" s="201" t="n">
        <v>0</v>
      </c>
    </row>
    <row r="9116" ht="15" customHeight="1" s="104">
      <c r="BA9116" s="201" t="n">
        <v>0</v>
      </c>
    </row>
    <row r="9117" ht="15" customHeight="1" s="104">
      <c r="BA9117" s="201" t="n">
        <v>0</v>
      </c>
    </row>
    <row r="9118" ht="15" customHeight="1" s="104">
      <c r="BA9118" s="201" t="n">
        <v>0</v>
      </c>
    </row>
    <row r="9119" ht="15" customHeight="1" s="104">
      <c r="BA9119" s="201" t="n">
        <v>0</v>
      </c>
    </row>
    <row r="9120" ht="15" customHeight="1" s="104">
      <c r="BA9120" s="201" t="n">
        <v>0</v>
      </c>
    </row>
    <row r="9121" ht="15" customHeight="1" s="104">
      <c r="BA9121" s="201" t="n">
        <v>0</v>
      </c>
    </row>
    <row r="9122" ht="15" customHeight="1" s="104">
      <c r="BA9122" s="201" t="n">
        <v>0</v>
      </c>
    </row>
    <row r="9123" ht="15" customHeight="1" s="104">
      <c r="BA9123" s="201" t="n">
        <v>0</v>
      </c>
    </row>
    <row r="9124" ht="15" customHeight="1" s="104">
      <c r="BA9124" s="201" t="n">
        <v>0</v>
      </c>
    </row>
    <row r="9125" ht="15" customHeight="1" s="104">
      <c r="BA9125" s="201" t="n">
        <v>0</v>
      </c>
    </row>
    <row r="9126" ht="15" customHeight="1" s="104">
      <c r="BA9126" s="201" t="n">
        <v>0</v>
      </c>
    </row>
    <row r="9127" ht="15" customHeight="1" s="104">
      <c r="BA9127" s="201" t="n">
        <v>0</v>
      </c>
    </row>
    <row r="9128" ht="15" customHeight="1" s="104">
      <c r="BA9128" s="201" t="n">
        <v>0</v>
      </c>
    </row>
    <row r="9129" ht="15" customHeight="1" s="104">
      <c r="BA9129" s="201" t="n">
        <v>0</v>
      </c>
    </row>
    <row r="9130" ht="15" customHeight="1" s="104">
      <c r="BA9130" s="201" t="n">
        <v>0</v>
      </c>
    </row>
    <row r="9131" ht="15" customHeight="1" s="104">
      <c r="BA9131" s="201" t="n">
        <v>0</v>
      </c>
    </row>
    <row r="9132" ht="15" customHeight="1" s="104">
      <c r="BA9132" s="201" t="n">
        <v>0</v>
      </c>
    </row>
    <row r="9133" ht="15" customHeight="1" s="104">
      <c r="BA9133" s="201" t="n">
        <v>0</v>
      </c>
    </row>
    <row r="9134" ht="15" customHeight="1" s="104">
      <c r="BA9134" s="201" t="n">
        <v>0</v>
      </c>
    </row>
    <row r="9135" ht="15" customHeight="1" s="104">
      <c r="BA9135" s="201" t="n">
        <v>0</v>
      </c>
    </row>
    <row r="9136" ht="15" customHeight="1" s="104">
      <c r="BA9136" s="201" t="n">
        <v>0</v>
      </c>
    </row>
    <row r="9137" ht="15" customHeight="1" s="104">
      <c r="BA9137" s="201" t="n">
        <v>0</v>
      </c>
    </row>
    <row r="9138" ht="15" customHeight="1" s="104">
      <c r="BA9138" s="201" t="n">
        <v>0</v>
      </c>
    </row>
    <row r="9139" ht="15" customHeight="1" s="104">
      <c r="BA9139" s="201" t="n">
        <v>0</v>
      </c>
    </row>
    <row r="9140" ht="15" customHeight="1" s="104">
      <c r="BA9140" s="201" t="n">
        <v>0</v>
      </c>
    </row>
    <row r="9141" ht="15" customHeight="1" s="104">
      <c r="BA9141" s="201" t="n">
        <v>0</v>
      </c>
    </row>
    <row r="9142" ht="15" customHeight="1" s="104">
      <c r="BA9142" s="201" t="n">
        <v>0</v>
      </c>
    </row>
    <row r="9143" ht="15" customHeight="1" s="104">
      <c r="BA9143" s="201" t="n">
        <v>0</v>
      </c>
    </row>
    <row r="9144" ht="15" customHeight="1" s="104">
      <c r="BA9144" s="201" t="n">
        <v>0</v>
      </c>
    </row>
    <row r="9145" ht="15" customHeight="1" s="104">
      <c r="BA9145" s="201" t="n">
        <v>0</v>
      </c>
    </row>
    <row r="9146" ht="15" customHeight="1" s="104">
      <c r="BA9146" s="201" t="n">
        <v>0</v>
      </c>
    </row>
    <row r="9147" ht="15" customHeight="1" s="104">
      <c r="BA9147" s="201" t="n">
        <v>0</v>
      </c>
    </row>
    <row r="9148" ht="15" customHeight="1" s="104">
      <c r="BA9148" s="201" t="n">
        <v>0</v>
      </c>
    </row>
    <row r="9149" ht="15" customHeight="1" s="104">
      <c r="BA9149" s="201" t="n">
        <v>0</v>
      </c>
    </row>
    <row r="9150" ht="15" customHeight="1" s="104">
      <c r="BA9150" s="201" t="n">
        <v>0</v>
      </c>
    </row>
    <row r="9151" ht="15" customHeight="1" s="104">
      <c r="BA9151" s="201" t="n">
        <v>0</v>
      </c>
    </row>
    <row r="9152" ht="15" customHeight="1" s="104">
      <c r="BA9152" s="201" t="n">
        <v>0</v>
      </c>
    </row>
    <row r="9153" ht="15" customHeight="1" s="104">
      <c r="BA9153" s="201" t="n">
        <v>0</v>
      </c>
    </row>
    <row r="9154" ht="15" customHeight="1" s="104">
      <c r="BA9154" s="201" t="n">
        <v>0</v>
      </c>
    </row>
    <row r="9155" ht="15" customHeight="1" s="104">
      <c r="BA9155" s="201" t="n">
        <v>0</v>
      </c>
    </row>
    <row r="9156" ht="15" customHeight="1" s="104">
      <c r="BA9156" s="201" t="n">
        <v>0</v>
      </c>
    </row>
    <row r="9157" ht="15" customHeight="1" s="104">
      <c r="BA9157" s="201" t="n">
        <v>0</v>
      </c>
    </row>
    <row r="9158" ht="15" customHeight="1" s="104">
      <c r="BA9158" s="201" t="n">
        <v>0</v>
      </c>
    </row>
    <row r="9159" ht="15" customHeight="1" s="104">
      <c r="BA9159" s="201" t="n">
        <v>0</v>
      </c>
    </row>
    <row r="9160" ht="15" customHeight="1" s="104">
      <c r="BA9160" s="201" t="n">
        <v>0</v>
      </c>
    </row>
    <row r="9161" ht="15" customHeight="1" s="104">
      <c r="BA9161" s="201" t="n">
        <v>0</v>
      </c>
    </row>
    <row r="9162" ht="15" customHeight="1" s="104">
      <c r="BA9162" s="201" t="n">
        <v>0</v>
      </c>
    </row>
    <row r="9163" ht="15" customHeight="1" s="104">
      <c r="BA9163" s="201" t="n">
        <v>0</v>
      </c>
    </row>
    <row r="9164" ht="15" customHeight="1" s="104">
      <c r="BA9164" s="201" t="n">
        <v>0</v>
      </c>
    </row>
    <row r="9165" ht="15" customHeight="1" s="104">
      <c r="BA9165" s="201" t="n">
        <v>0</v>
      </c>
    </row>
    <row r="9166" ht="15" customHeight="1" s="104">
      <c r="BA9166" s="201" t="n">
        <v>0</v>
      </c>
    </row>
    <row r="9167" ht="15" customHeight="1" s="104">
      <c r="BA9167" s="201" t="n">
        <v>0</v>
      </c>
    </row>
    <row r="9168" ht="15" customHeight="1" s="104">
      <c r="BA9168" s="201" t="n">
        <v>0</v>
      </c>
    </row>
    <row r="9169" ht="15" customHeight="1" s="104">
      <c r="BA9169" s="201" t="n">
        <v>0</v>
      </c>
    </row>
    <row r="9170" ht="15" customHeight="1" s="104">
      <c r="BA9170" s="201" t="n">
        <v>0</v>
      </c>
    </row>
    <row r="9171" ht="15" customHeight="1" s="104">
      <c r="BA9171" s="201" t="n">
        <v>0</v>
      </c>
    </row>
    <row r="9172" ht="15" customHeight="1" s="104">
      <c r="BA9172" s="201" t="n">
        <v>0</v>
      </c>
    </row>
    <row r="9173" ht="15" customHeight="1" s="104">
      <c r="BA9173" s="201" t="n">
        <v>0</v>
      </c>
    </row>
    <row r="9174" ht="15" customHeight="1" s="104">
      <c r="BA9174" s="201" t="n">
        <v>0</v>
      </c>
    </row>
    <row r="9175" ht="15" customHeight="1" s="104">
      <c r="BA9175" s="201" t="n">
        <v>0</v>
      </c>
    </row>
    <row r="9176" ht="15" customHeight="1" s="104">
      <c r="BA9176" s="201" t="n">
        <v>0</v>
      </c>
    </row>
    <row r="9177" ht="15" customHeight="1" s="104">
      <c r="BA9177" s="201" t="n">
        <v>0</v>
      </c>
    </row>
    <row r="9178" ht="15" customHeight="1" s="104">
      <c r="BA9178" s="201" t="n">
        <v>0</v>
      </c>
    </row>
    <row r="9179" ht="15" customHeight="1" s="104">
      <c r="BA9179" s="201" t="n">
        <v>0</v>
      </c>
    </row>
    <row r="9180" ht="15" customHeight="1" s="104">
      <c r="BA9180" s="201" t="n">
        <v>0</v>
      </c>
    </row>
    <row r="9181" ht="15" customHeight="1" s="104">
      <c r="BA9181" s="201" t="n">
        <v>0</v>
      </c>
    </row>
    <row r="9182" ht="15" customHeight="1" s="104">
      <c r="BA9182" s="201" t="n">
        <v>0</v>
      </c>
    </row>
    <row r="9183" ht="15" customHeight="1" s="104">
      <c r="BA9183" s="201" t="n">
        <v>0</v>
      </c>
    </row>
    <row r="9184" ht="15" customHeight="1" s="104">
      <c r="BA9184" s="201" t="n">
        <v>0</v>
      </c>
    </row>
    <row r="9185" ht="15" customHeight="1" s="104">
      <c r="BA9185" s="201" t="n">
        <v>0</v>
      </c>
    </row>
    <row r="9186" ht="15" customHeight="1" s="104">
      <c r="BA9186" s="201" t="n">
        <v>0</v>
      </c>
    </row>
    <row r="9187" ht="15" customHeight="1" s="104">
      <c r="BA9187" s="201" t="n">
        <v>0</v>
      </c>
    </row>
    <row r="9188" ht="15" customHeight="1" s="104">
      <c r="BA9188" s="201" t="n">
        <v>0</v>
      </c>
    </row>
    <row r="9189" ht="15" customHeight="1" s="104">
      <c r="BA9189" s="201" t="n">
        <v>0</v>
      </c>
    </row>
    <row r="9190" ht="15" customHeight="1" s="104">
      <c r="BA9190" s="201" t="n">
        <v>0</v>
      </c>
    </row>
    <row r="9191" ht="15" customHeight="1" s="104">
      <c r="BA9191" s="201" t="n">
        <v>0</v>
      </c>
    </row>
    <row r="9192" ht="15" customHeight="1" s="104">
      <c r="BA9192" s="201" t="n">
        <v>0</v>
      </c>
    </row>
    <row r="9193" ht="15" customHeight="1" s="104">
      <c r="BA9193" s="201" t="n">
        <v>0</v>
      </c>
    </row>
    <row r="9194" ht="15" customHeight="1" s="104">
      <c r="BA9194" s="201" t="n">
        <v>0</v>
      </c>
    </row>
    <row r="9195" ht="15" customHeight="1" s="104">
      <c r="BA9195" s="201" t="n">
        <v>0</v>
      </c>
    </row>
    <row r="9196" ht="15" customHeight="1" s="104">
      <c r="BA9196" s="201" t="n">
        <v>0</v>
      </c>
    </row>
    <row r="9197" ht="15" customHeight="1" s="104">
      <c r="BA9197" s="201" t="n">
        <v>0</v>
      </c>
    </row>
    <row r="9198" ht="15" customHeight="1" s="104">
      <c r="BA9198" s="201" t="n">
        <v>0</v>
      </c>
    </row>
    <row r="9199" ht="15" customHeight="1" s="104">
      <c r="BA9199" s="201" t="n">
        <v>0</v>
      </c>
    </row>
    <row r="9200" ht="15" customHeight="1" s="104">
      <c r="BA9200" s="201" t="n">
        <v>0</v>
      </c>
    </row>
    <row r="9201" ht="15" customHeight="1" s="104">
      <c r="BA9201" s="201" t="n">
        <v>0</v>
      </c>
    </row>
    <row r="9202" ht="15" customHeight="1" s="104">
      <c r="BA9202" s="201" t="n">
        <v>0</v>
      </c>
    </row>
    <row r="9203" ht="15" customHeight="1" s="104">
      <c r="BA9203" s="201" t="n">
        <v>0</v>
      </c>
    </row>
    <row r="9204" ht="15" customHeight="1" s="104">
      <c r="BA9204" s="201" t="n">
        <v>0</v>
      </c>
    </row>
    <row r="9205" ht="15" customHeight="1" s="104">
      <c r="BA9205" s="201" t="n">
        <v>0</v>
      </c>
    </row>
    <row r="9206" ht="15" customHeight="1" s="104">
      <c r="BA9206" s="201" t="n">
        <v>0</v>
      </c>
    </row>
    <row r="9207" ht="15" customHeight="1" s="104">
      <c r="BA9207" s="201" t="n">
        <v>0</v>
      </c>
    </row>
    <row r="9208" ht="15" customHeight="1" s="104">
      <c r="BA9208" s="201" t="n">
        <v>0</v>
      </c>
    </row>
    <row r="9209" ht="15" customHeight="1" s="104">
      <c r="BA9209" s="201" t="n">
        <v>0</v>
      </c>
    </row>
    <row r="9210" ht="15" customHeight="1" s="104">
      <c r="BA9210" s="201" t="n">
        <v>0</v>
      </c>
    </row>
    <row r="9211" ht="15" customHeight="1" s="104">
      <c r="BA9211" s="201" t="n">
        <v>0</v>
      </c>
    </row>
    <row r="9212" ht="15" customHeight="1" s="104">
      <c r="BA9212" s="201" t="n">
        <v>0</v>
      </c>
    </row>
    <row r="9213" ht="15" customHeight="1" s="104">
      <c r="BA9213" s="201" t="n">
        <v>0</v>
      </c>
    </row>
    <row r="9214" ht="15" customHeight="1" s="104">
      <c r="BA9214" s="201" t="n">
        <v>0</v>
      </c>
    </row>
    <row r="9215" ht="15" customHeight="1" s="104">
      <c r="BA9215" s="201" t="n">
        <v>0</v>
      </c>
    </row>
    <row r="9216" ht="15" customHeight="1" s="104">
      <c r="BA9216" s="201" t="n">
        <v>0</v>
      </c>
    </row>
    <row r="9217" ht="15" customHeight="1" s="104">
      <c r="BA9217" s="201" t="n">
        <v>0</v>
      </c>
    </row>
    <row r="9218" ht="15" customHeight="1" s="104">
      <c r="BA9218" s="201" t="n">
        <v>0</v>
      </c>
    </row>
    <row r="9219" ht="15" customHeight="1" s="104">
      <c r="BA9219" s="201" t="n">
        <v>0</v>
      </c>
    </row>
    <row r="9220" ht="15" customHeight="1" s="104">
      <c r="BA9220" s="201" t="n">
        <v>0</v>
      </c>
    </row>
    <row r="9221" ht="15" customHeight="1" s="104">
      <c r="BA9221" s="201" t="n">
        <v>0</v>
      </c>
    </row>
    <row r="9222" ht="15" customHeight="1" s="104">
      <c r="BA9222" s="201" t="n">
        <v>0</v>
      </c>
    </row>
    <row r="9223" ht="15" customHeight="1" s="104">
      <c r="BA9223" s="201" t="n">
        <v>0</v>
      </c>
    </row>
    <row r="9224" ht="15" customHeight="1" s="104">
      <c r="BA9224" s="201" t="n">
        <v>0</v>
      </c>
    </row>
    <row r="9225" ht="15" customHeight="1" s="104">
      <c r="BA9225" s="201" t="n">
        <v>0</v>
      </c>
    </row>
    <row r="9226" ht="15" customHeight="1" s="104">
      <c r="BA9226" s="201" t="n">
        <v>0</v>
      </c>
    </row>
    <row r="9227" ht="15" customHeight="1" s="104">
      <c r="BA9227" s="201" t="n">
        <v>0</v>
      </c>
    </row>
    <row r="9228" ht="15" customHeight="1" s="104">
      <c r="BA9228" s="201" t="n">
        <v>0</v>
      </c>
    </row>
    <row r="9229" ht="15" customHeight="1" s="104">
      <c r="BA9229" s="201" t="n">
        <v>0</v>
      </c>
    </row>
    <row r="9230" ht="15" customHeight="1" s="104">
      <c r="BA9230" s="201" t="n">
        <v>0</v>
      </c>
    </row>
    <row r="9231" ht="15" customHeight="1" s="104">
      <c r="BA9231" s="201" t="n">
        <v>0</v>
      </c>
    </row>
    <row r="9232" ht="15" customHeight="1" s="104">
      <c r="BA9232" s="201" t="n">
        <v>0</v>
      </c>
    </row>
    <row r="9233" ht="15" customHeight="1" s="104">
      <c r="BA9233" s="201" t="n">
        <v>0</v>
      </c>
    </row>
    <row r="9234" ht="15" customHeight="1" s="104">
      <c r="BA9234" s="201" t="n">
        <v>0</v>
      </c>
    </row>
    <row r="9235" ht="15" customHeight="1" s="104">
      <c r="BA9235" s="201" t="n">
        <v>0</v>
      </c>
    </row>
    <row r="9236" ht="15" customHeight="1" s="104">
      <c r="BA9236" s="201" t="n">
        <v>0</v>
      </c>
    </row>
    <row r="9237" ht="15" customHeight="1" s="104">
      <c r="BA9237" s="201" t="n">
        <v>0</v>
      </c>
    </row>
    <row r="9238" ht="15" customHeight="1" s="104">
      <c r="BA9238" s="201" t="n">
        <v>0</v>
      </c>
    </row>
    <row r="9239" ht="15" customHeight="1" s="104">
      <c r="BA9239" s="201" t="n">
        <v>0</v>
      </c>
    </row>
    <row r="9240" ht="15" customHeight="1" s="104">
      <c r="BA9240" s="201" t="n">
        <v>0</v>
      </c>
    </row>
    <row r="9241" ht="15" customHeight="1" s="104">
      <c r="BA9241" s="201" t="n">
        <v>0</v>
      </c>
    </row>
    <row r="9242" ht="15" customHeight="1" s="104">
      <c r="BA9242" s="201" t="n">
        <v>0</v>
      </c>
    </row>
    <row r="9243" ht="15" customHeight="1" s="104">
      <c r="BA9243" s="201" t="n">
        <v>0</v>
      </c>
    </row>
    <row r="9244" ht="15" customHeight="1" s="104">
      <c r="BA9244" s="201" t="n">
        <v>0</v>
      </c>
    </row>
    <row r="9245" ht="15" customHeight="1" s="104">
      <c r="BA9245" s="201" t="n">
        <v>0</v>
      </c>
    </row>
    <row r="9246" ht="15" customHeight="1" s="104">
      <c r="BA9246" s="201" t="n">
        <v>0</v>
      </c>
    </row>
    <row r="9247" ht="15" customHeight="1" s="104">
      <c r="BA9247" s="201" t="n">
        <v>0</v>
      </c>
    </row>
    <row r="9248" ht="15" customHeight="1" s="104">
      <c r="BA9248" s="201" t="n">
        <v>0</v>
      </c>
    </row>
    <row r="9249" ht="15" customHeight="1" s="104">
      <c r="BA9249" s="201" t="n">
        <v>0</v>
      </c>
    </row>
    <row r="9250" ht="15" customHeight="1" s="104">
      <c r="BA9250" s="201" t="n">
        <v>0</v>
      </c>
    </row>
    <row r="9251" ht="15" customHeight="1" s="104">
      <c r="BA9251" s="201" t="n">
        <v>0</v>
      </c>
    </row>
    <row r="9252" ht="15" customHeight="1" s="104">
      <c r="BA9252" s="201" t="n">
        <v>0</v>
      </c>
    </row>
    <row r="9253" ht="15" customHeight="1" s="104">
      <c r="BA9253" s="201" t="n">
        <v>0</v>
      </c>
    </row>
    <row r="9254" ht="15" customHeight="1" s="104">
      <c r="BA9254" s="201" t="n">
        <v>0</v>
      </c>
    </row>
    <row r="9255" ht="15" customHeight="1" s="104">
      <c r="BA9255" s="201" t="n">
        <v>0</v>
      </c>
    </row>
    <row r="9256" ht="15" customHeight="1" s="104">
      <c r="BA9256" s="201" t="n">
        <v>0</v>
      </c>
    </row>
    <row r="9257" ht="15" customHeight="1" s="104">
      <c r="BA9257" s="201" t="n">
        <v>0</v>
      </c>
    </row>
    <row r="9258" ht="15" customHeight="1" s="104">
      <c r="BA9258" s="201" t="n">
        <v>0</v>
      </c>
    </row>
    <row r="9259" ht="15" customHeight="1" s="104">
      <c r="BA9259" s="201" t="n">
        <v>0</v>
      </c>
    </row>
    <row r="9260" ht="15" customHeight="1" s="104">
      <c r="BA9260" s="201" t="n">
        <v>0</v>
      </c>
    </row>
    <row r="9261" ht="15" customHeight="1" s="104">
      <c r="BA9261" s="201" t="n">
        <v>0</v>
      </c>
    </row>
    <row r="9262" ht="15" customHeight="1" s="104">
      <c r="BA9262" s="201" t="n">
        <v>0</v>
      </c>
    </row>
    <row r="9263" ht="15" customHeight="1" s="104">
      <c r="BA9263" s="201" t="n">
        <v>0</v>
      </c>
    </row>
    <row r="9264" ht="15" customHeight="1" s="104">
      <c r="BA9264" s="201" t="n">
        <v>0</v>
      </c>
    </row>
    <row r="9265" ht="15" customHeight="1" s="104">
      <c r="BA9265" s="201" t="n">
        <v>0</v>
      </c>
    </row>
    <row r="9266" ht="15" customHeight="1" s="104">
      <c r="BA9266" s="201" t="n">
        <v>0</v>
      </c>
    </row>
    <row r="9267" ht="15" customHeight="1" s="104">
      <c r="BA9267" s="201" t="n">
        <v>0</v>
      </c>
    </row>
    <row r="9268" ht="15" customHeight="1" s="104">
      <c r="BA9268" s="201" t="n">
        <v>0</v>
      </c>
    </row>
    <row r="9269" ht="15" customHeight="1" s="104">
      <c r="BA9269" s="201" t="n">
        <v>0</v>
      </c>
    </row>
    <row r="9270" ht="15" customHeight="1" s="104">
      <c r="BA9270" s="201" t="n">
        <v>0</v>
      </c>
    </row>
    <row r="9271" ht="15" customHeight="1" s="104">
      <c r="BA9271" s="201" t="n">
        <v>0</v>
      </c>
    </row>
    <row r="9272" ht="15" customHeight="1" s="104">
      <c r="BA9272" s="201" t="n">
        <v>0</v>
      </c>
    </row>
    <row r="9273" ht="15" customHeight="1" s="104">
      <c r="BA9273" s="201" t="n">
        <v>0</v>
      </c>
    </row>
    <row r="9274" ht="15" customHeight="1" s="104">
      <c r="BA9274" s="201" t="n">
        <v>0</v>
      </c>
    </row>
    <row r="9275" ht="15" customHeight="1" s="104">
      <c r="BA9275" s="201" t="n">
        <v>0</v>
      </c>
    </row>
    <row r="9276" ht="15" customHeight="1" s="104">
      <c r="BA9276" s="201" t="n">
        <v>0</v>
      </c>
    </row>
    <row r="9277" ht="15" customHeight="1" s="104">
      <c r="BA9277" s="201" t="n">
        <v>0</v>
      </c>
    </row>
    <row r="9278" ht="15" customHeight="1" s="104">
      <c r="BA9278" s="201" t="n">
        <v>0</v>
      </c>
    </row>
    <row r="9279" ht="15" customHeight="1" s="104">
      <c r="BA9279" s="201" t="n">
        <v>0</v>
      </c>
    </row>
    <row r="9280" ht="15" customHeight="1" s="104">
      <c r="BA9280" s="201" t="n">
        <v>0</v>
      </c>
    </row>
    <row r="9281" ht="15" customHeight="1" s="104">
      <c r="BA9281" s="201" t="n">
        <v>0</v>
      </c>
    </row>
    <row r="9282" ht="15" customHeight="1" s="104">
      <c r="BA9282" s="201" t="n">
        <v>0</v>
      </c>
    </row>
    <row r="9283" ht="15" customHeight="1" s="104">
      <c r="BA9283" s="201" t="n">
        <v>0</v>
      </c>
    </row>
    <row r="9284" ht="15" customHeight="1" s="104">
      <c r="BA9284" s="201" t="n">
        <v>0</v>
      </c>
    </row>
    <row r="9285" ht="15" customHeight="1" s="104">
      <c r="BA9285" s="201" t="n">
        <v>0</v>
      </c>
    </row>
    <row r="9286" ht="15" customHeight="1" s="104">
      <c r="BA9286" s="201" t="n">
        <v>0</v>
      </c>
    </row>
    <row r="9287" ht="15" customHeight="1" s="104">
      <c r="BA9287" s="201" t="n">
        <v>0</v>
      </c>
    </row>
    <row r="9288" ht="15" customHeight="1" s="104">
      <c r="BA9288" s="201" t="n">
        <v>0</v>
      </c>
    </row>
    <row r="9289" ht="15" customHeight="1" s="104">
      <c r="BA9289" s="201" t="n">
        <v>0</v>
      </c>
    </row>
    <row r="9290" ht="15" customHeight="1" s="104">
      <c r="BA9290" s="201" t="n">
        <v>0</v>
      </c>
    </row>
    <row r="9291" ht="15" customHeight="1" s="104">
      <c r="BA9291" s="201" t="n">
        <v>0</v>
      </c>
    </row>
    <row r="9292" ht="15" customHeight="1" s="104">
      <c r="BA9292" s="201" t="n">
        <v>0</v>
      </c>
    </row>
    <row r="9293" ht="15" customHeight="1" s="104">
      <c r="BA9293" s="201" t="n">
        <v>0</v>
      </c>
    </row>
    <row r="9294" ht="15" customHeight="1" s="104">
      <c r="BA9294" s="201" t="n">
        <v>0</v>
      </c>
    </row>
    <row r="9295" ht="15" customHeight="1" s="104">
      <c r="BA9295" s="201" t="n">
        <v>0</v>
      </c>
    </row>
    <row r="9296" ht="15" customHeight="1" s="104">
      <c r="BA9296" s="201" t="n">
        <v>0</v>
      </c>
    </row>
    <row r="9297" ht="15" customHeight="1" s="104">
      <c r="BA9297" s="201" t="n">
        <v>0</v>
      </c>
    </row>
    <row r="9298" ht="15" customHeight="1" s="104">
      <c r="BA9298" s="201" t="n">
        <v>0</v>
      </c>
    </row>
    <row r="9299" ht="15" customHeight="1" s="104">
      <c r="BA9299" s="201" t="n">
        <v>0</v>
      </c>
    </row>
    <row r="9300" ht="15" customHeight="1" s="104">
      <c r="BA9300" s="201" t="n">
        <v>0</v>
      </c>
    </row>
    <row r="9301" ht="15" customHeight="1" s="104">
      <c r="BA9301" s="201" t="n">
        <v>0</v>
      </c>
    </row>
    <row r="9302" ht="15" customHeight="1" s="104">
      <c r="BA9302" s="201" t="n">
        <v>0</v>
      </c>
    </row>
    <row r="9303" ht="15" customHeight="1" s="104">
      <c r="BA9303" s="201" t="n">
        <v>0</v>
      </c>
    </row>
    <row r="9304" ht="15" customHeight="1" s="104">
      <c r="BA9304" s="201" t="n">
        <v>0</v>
      </c>
    </row>
    <row r="9305" ht="15" customHeight="1" s="104">
      <c r="BA9305" s="201" t="n">
        <v>0</v>
      </c>
    </row>
    <row r="9306" ht="15" customHeight="1" s="104">
      <c r="BA9306" s="201" t="n">
        <v>0</v>
      </c>
    </row>
    <row r="9307" ht="15" customHeight="1" s="104">
      <c r="BA9307" s="201" t="n">
        <v>0</v>
      </c>
    </row>
    <row r="9308" ht="15" customHeight="1" s="104">
      <c r="BA9308" s="201" t="n">
        <v>0</v>
      </c>
    </row>
    <row r="9309" ht="15" customHeight="1" s="104">
      <c r="BA9309" s="201" t="n">
        <v>0</v>
      </c>
    </row>
    <row r="9310" ht="15" customHeight="1" s="104">
      <c r="BA9310" s="201" t="n">
        <v>0</v>
      </c>
    </row>
    <row r="9311" ht="15" customHeight="1" s="104">
      <c r="BA9311" s="201" t="n">
        <v>0</v>
      </c>
    </row>
    <row r="9312" ht="15" customHeight="1" s="104">
      <c r="BA9312" s="201" t="n">
        <v>0</v>
      </c>
    </row>
    <row r="9313" ht="15" customHeight="1" s="104">
      <c r="BA9313" s="201" t="n">
        <v>0</v>
      </c>
    </row>
    <row r="9314" ht="15" customHeight="1" s="104">
      <c r="BA9314" s="201" t="n">
        <v>0</v>
      </c>
    </row>
    <row r="9315" ht="15" customHeight="1" s="104">
      <c r="BA9315" s="201" t="n">
        <v>0</v>
      </c>
    </row>
    <row r="9316" ht="15" customHeight="1" s="104">
      <c r="BA9316" s="201" t="n">
        <v>0</v>
      </c>
    </row>
    <row r="9317" ht="15" customHeight="1" s="104">
      <c r="BA9317" s="201" t="n">
        <v>0</v>
      </c>
    </row>
    <row r="9318" ht="15" customHeight="1" s="104">
      <c r="BA9318" s="201" t="n">
        <v>0</v>
      </c>
    </row>
    <row r="9319" ht="15" customHeight="1" s="104">
      <c r="BA9319" s="201" t="n">
        <v>0</v>
      </c>
    </row>
    <row r="9320" ht="15" customHeight="1" s="104">
      <c r="BA9320" s="201" t="n">
        <v>0</v>
      </c>
    </row>
    <row r="9321" ht="15" customHeight="1" s="104">
      <c r="BA9321" s="201" t="n">
        <v>0</v>
      </c>
    </row>
    <row r="9322" ht="15" customHeight="1" s="104">
      <c r="BA9322" s="201" t="n">
        <v>0</v>
      </c>
    </row>
    <row r="9323" ht="15" customHeight="1" s="104">
      <c r="BA9323" s="201" t="n">
        <v>0</v>
      </c>
    </row>
    <row r="9324" ht="15" customHeight="1" s="104">
      <c r="BA9324" s="201" t="n">
        <v>0</v>
      </c>
    </row>
    <row r="9325" ht="15" customHeight="1" s="104">
      <c r="BA9325" s="201" t="n">
        <v>0</v>
      </c>
    </row>
    <row r="9326" ht="15" customHeight="1" s="104">
      <c r="BA9326" s="201" t="n">
        <v>0</v>
      </c>
    </row>
    <row r="9327" ht="15" customHeight="1" s="104">
      <c r="BA9327" s="201" t="n">
        <v>0</v>
      </c>
    </row>
    <row r="9328" ht="15" customHeight="1" s="104">
      <c r="BA9328" s="201" t="n">
        <v>0</v>
      </c>
    </row>
    <row r="9329" ht="15" customHeight="1" s="104">
      <c r="BA9329" s="201" t="n">
        <v>0</v>
      </c>
    </row>
    <row r="9330" ht="15" customHeight="1" s="104">
      <c r="BA9330" s="201" t="n">
        <v>0</v>
      </c>
    </row>
    <row r="9331" ht="15" customHeight="1" s="104">
      <c r="BA9331" s="201" t="n">
        <v>0</v>
      </c>
    </row>
    <row r="9332" ht="15" customHeight="1" s="104">
      <c r="BA9332" s="201" t="n">
        <v>0</v>
      </c>
    </row>
    <row r="9333" ht="15" customHeight="1" s="104">
      <c r="BA9333" s="201" t="n">
        <v>0</v>
      </c>
    </row>
    <row r="9334" ht="15" customHeight="1" s="104">
      <c r="BA9334" s="201" t="n">
        <v>0</v>
      </c>
    </row>
    <row r="9335" ht="15" customHeight="1" s="104">
      <c r="BA9335" s="201" t="n">
        <v>0</v>
      </c>
    </row>
    <row r="9336" ht="15" customHeight="1" s="104">
      <c r="BA9336" s="201" t="n">
        <v>0</v>
      </c>
    </row>
    <row r="9337" ht="15" customHeight="1" s="104">
      <c r="BA9337" s="201" t="n">
        <v>0</v>
      </c>
    </row>
    <row r="9338" ht="15" customHeight="1" s="104">
      <c r="BA9338" s="201" t="n">
        <v>0</v>
      </c>
    </row>
    <row r="9339" ht="15" customHeight="1" s="104">
      <c r="BA9339" s="201" t="n">
        <v>0</v>
      </c>
    </row>
    <row r="9340" ht="15" customHeight="1" s="104">
      <c r="BA9340" s="201" t="n">
        <v>0</v>
      </c>
    </row>
    <row r="9341" ht="15" customHeight="1" s="104">
      <c r="BA9341" s="201" t="n">
        <v>0</v>
      </c>
    </row>
    <row r="9342" ht="15" customHeight="1" s="104">
      <c r="BA9342" s="201" t="n">
        <v>0</v>
      </c>
    </row>
    <row r="9343" ht="15" customHeight="1" s="104">
      <c r="BA9343" s="201" t="n">
        <v>0</v>
      </c>
    </row>
    <row r="9344" ht="15" customHeight="1" s="104">
      <c r="BA9344" s="201" t="n">
        <v>0</v>
      </c>
    </row>
    <row r="9345" ht="15" customHeight="1" s="104">
      <c r="BA9345" s="201" t="n">
        <v>0</v>
      </c>
    </row>
    <row r="9346" ht="15" customHeight="1" s="104">
      <c r="BA9346" s="201" t="n">
        <v>0</v>
      </c>
    </row>
    <row r="9347" ht="15" customHeight="1" s="104">
      <c r="BA9347" s="201" t="n">
        <v>0</v>
      </c>
    </row>
    <row r="9348" ht="15" customHeight="1" s="104">
      <c r="BA9348" s="201" t="n">
        <v>0</v>
      </c>
    </row>
    <row r="9349" ht="15" customHeight="1" s="104">
      <c r="BA9349" s="201" t="n">
        <v>0</v>
      </c>
    </row>
    <row r="9350" ht="15" customHeight="1" s="104">
      <c r="BA9350" s="201" t="n">
        <v>0</v>
      </c>
    </row>
    <row r="9351" ht="15" customHeight="1" s="104">
      <c r="BA9351" s="201" t="n">
        <v>0</v>
      </c>
    </row>
    <row r="9352" ht="15" customHeight="1" s="104">
      <c r="BA9352" s="201" t="n">
        <v>0</v>
      </c>
    </row>
    <row r="9353" ht="15" customHeight="1" s="104">
      <c r="BA9353" s="201" t="n">
        <v>0</v>
      </c>
    </row>
    <row r="9354" ht="15" customHeight="1" s="104">
      <c r="BA9354" s="201" t="n">
        <v>0</v>
      </c>
    </row>
    <row r="9355" ht="15" customHeight="1" s="104">
      <c r="BA9355" s="201" t="n">
        <v>0</v>
      </c>
    </row>
    <row r="9356" ht="15" customHeight="1" s="104">
      <c r="BA9356" s="201" t="n">
        <v>0</v>
      </c>
    </row>
    <row r="9357" ht="15" customHeight="1" s="104">
      <c r="BA9357" s="201" t="n">
        <v>0</v>
      </c>
    </row>
    <row r="9358" ht="15" customHeight="1" s="104">
      <c r="BA9358" s="201" t="n">
        <v>0</v>
      </c>
    </row>
    <row r="9359" ht="15" customHeight="1" s="104">
      <c r="BA9359" s="201" t="n">
        <v>0</v>
      </c>
    </row>
    <row r="9360" ht="15" customHeight="1" s="104">
      <c r="BA9360" s="201" t="n">
        <v>0</v>
      </c>
    </row>
    <row r="9361" ht="15" customHeight="1" s="104">
      <c r="BA9361" s="201" t="n">
        <v>0</v>
      </c>
    </row>
    <row r="9362" ht="15" customHeight="1" s="104">
      <c r="BA9362" s="201" t="n">
        <v>0</v>
      </c>
    </row>
    <row r="9363" ht="15" customHeight="1" s="104">
      <c r="BA9363" s="201" t="n">
        <v>0</v>
      </c>
    </row>
    <row r="9364" ht="15" customHeight="1" s="104">
      <c r="BA9364" s="201" t="n">
        <v>0</v>
      </c>
    </row>
    <row r="9365" ht="15" customHeight="1" s="104">
      <c r="BA9365" s="201" t="n">
        <v>0</v>
      </c>
    </row>
    <row r="9366" ht="15" customHeight="1" s="104">
      <c r="BA9366" s="201" t="n">
        <v>0</v>
      </c>
    </row>
    <row r="9367" ht="15" customHeight="1" s="104">
      <c r="BA9367" s="201" t="n">
        <v>0</v>
      </c>
    </row>
    <row r="9368" ht="15" customHeight="1" s="104">
      <c r="BA9368" s="201" t="n">
        <v>0</v>
      </c>
    </row>
    <row r="9369" ht="15" customHeight="1" s="104">
      <c r="BA9369" s="201" t="n">
        <v>0</v>
      </c>
    </row>
    <row r="9370" ht="15" customHeight="1" s="104">
      <c r="BA9370" s="201" t="n">
        <v>0</v>
      </c>
    </row>
    <row r="9371" ht="15" customHeight="1" s="104">
      <c r="BA9371" s="201" t="n">
        <v>0</v>
      </c>
    </row>
    <row r="9372" ht="15" customHeight="1" s="104">
      <c r="BA9372" s="201" t="n">
        <v>0</v>
      </c>
    </row>
    <row r="9373" ht="15" customHeight="1" s="104">
      <c r="BA9373" s="201" t="n">
        <v>0</v>
      </c>
    </row>
    <row r="9374" ht="15" customHeight="1" s="104">
      <c r="BA9374" s="201" t="n">
        <v>0</v>
      </c>
    </row>
    <row r="9375" ht="15" customHeight="1" s="104">
      <c r="BA9375" s="201" t="n">
        <v>0</v>
      </c>
    </row>
    <row r="9376" ht="15" customHeight="1" s="104">
      <c r="BA9376" s="201" t="n">
        <v>0</v>
      </c>
    </row>
    <row r="9377" ht="15" customHeight="1" s="104">
      <c r="BA9377" s="201" t="n">
        <v>0</v>
      </c>
    </row>
    <row r="9378" ht="15" customHeight="1" s="104">
      <c r="BA9378" s="201" t="n">
        <v>0</v>
      </c>
    </row>
    <row r="9379" ht="15" customHeight="1" s="104">
      <c r="BA9379" s="201" t="n">
        <v>0</v>
      </c>
    </row>
    <row r="9380" ht="15" customHeight="1" s="104">
      <c r="BA9380" s="201" t="n">
        <v>0</v>
      </c>
    </row>
    <row r="9381" ht="15" customHeight="1" s="104">
      <c r="BA9381" s="201" t="n">
        <v>0</v>
      </c>
    </row>
    <row r="9382" ht="15" customHeight="1" s="104">
      <c r="BA9382" s="201" t="n">
        <v>0</v>
      </c>
    </row>
    <row r="9383" ht="15" customHeight="1" s="104">
      <c r="BA9383" s="201" t="n">
        <v>0</v>
      </c>
    </row>
    <row r="9384" ht="15" customHeight="1" s="104">
      <c r="BA9384" s="201" t="n">
        <v>0</v>
      </c>
    </row>
    <row r="9385" ht="15" customHeight="1" s="104">
      <c r="BA9385" s="201" t="n">
        <v>0</v>
      </c>
    </row>
    <row r="9386" ht="15" customHeight="1" s="104">
      <c r="BA9386" s="201" t="n">
        <v>0</v>
      </c>
    </row>
    <row r="9387" ht="15" customHeight="1" s="104">
      <c r="BA9387" s="201" t="n">
        <v>0</v>
      </c>
    </row>
    <row r="9388" ht="15" customHeight="1" s="104">
      <c r="BA9388" s="201" t="n">
        <v>0</v>
      </c>
    </row>
    <row r="9389" ht="15" customHeight="1" s="104">
      <c r="BA9389" s="201" t="n">
        <v>0</v>
      </c>
    </row>
    <row r="9390" ht="15" customHeight="1" s="104">
      <c r="BA9390" s="201" t="n">
        <v>0</v>
      </c>
    </row>
    <row r="9391" ht="15" customHeight="1" s="104">
      <c r="BA9391" s="201" t="n">
        <v>0</v>
      </c>
    </row>
    <row r="9392" ht="15" customHeight="1" s="104">
      <c r="BA9392" s="201" t="n">
        <v>0</v>
      </c>
    </row>
    <row r="9393" ht="15" customHeight="1" s="104">
      <c r="BA9393" s="201" t="n">
        <v>0</v>
      </c>
    </row>
    <row r="9394" ht="15" customHeight="1" s="104">
      <c r="BA9394" s="201" t="n">
        <v>0</v>
      </c>
    </row>
    <row r="9395" ht="15" customHeight="1" s="104">
      <c r="BA9395" s="201" t="n">
        <v>0</v>
      </c>
    </row>
    <row r="9396" ht="15" customHeight="1" s="104">
      <c r="BA9396" s="201" t="n">
        <v>0</v>
      </c>
    </row>
    <row r="9397" ht="15" customHeight="1" s="104">
      <c r="BA9397" s="201" t="n">
        <v>0</v>
      </c>
    </row>
    <row r="9398" ht="15" customHeight="1" s="104">
      <c r="BA9398" s="201" t="n">
        <v>0</v>
      </c>
    </row>
    <row r="9399" ht="15" customHeight="1" s="104">
      <c r="BA9399" s="201" t="n">
        <v>0</v>
      </c>
    </row>
    <row r="9400" ht="15" customHeight="1" s="104">
      <c r="BA9400" s="201" t="n">
        <v>0</v>
      </c>
    </row>
    <row r="9401" ht="15" customHeight="1" s="104">
      <c r="BA9401" s="201" t="n">
        <v>0</v>
      </c>
    </row>
    <row r="9402" ht="15" customHeight="1" s="104">
      <c r="BA9402" s="201" t="n">
        <v>0</v>
      </c>
    </row>
    <row r="9403" ht="15" customHeight="1" s="104">
      <c r="BA9403" s="201" t="n">
        <v>0</v>
      </c>
    </row>
    <row r="9404" ht="15" customHeight="1" s="104">
      <c r="BA9404" s="201" t="n">
        <v>0</v>
      </c>
    </row>
    <row r="9405" ht="15" customHeight="1" s="104">
      <c r="BA9405" s="201" t="n">
        <v>0</v>
      </c>
    </row>
    <row r="9406" ht="15" customHeight="1" s="104">
      <c r="BA9406" s="201" t="n">
        <v>0</v>
      </c>
    </row>
    <row r="9407" ht="15" customHeight="1" s="104">
      <c r="BA9407" s="201" t="n">
        <v>0</v>
      </c>
    </row>
    <row r="9408" ht="15" customHeight="1" s="104">
      <c r="BA9408" s="201" t="n">
        <v>0</v>
      </c>
    </row>
    <row r="9409" ht="15" customHeight="1" s="104">
      <c r="BA9409" s="201" t="n">
        <v>0</v>
      </c>
    </row>
    <row r="9410" ht="15" customHeight="1" s="104">
      <c r="BA9410" s="201" t="n">
        <v>0</v>
      </c>
    </row>
    <row r="9411" ht="15" customHeight="1" s="104">
      <c r="BA9411" s="201" t="n">
        <v>0</v>
      </c>
    </row>
    <row r="9412" ht="15" customHeight="1" s="104">
      <c r="BA9412" s="201" t="n">
        <v>0</v>
      </c>
    </row>
    <row r="9413" ht="15" customHeight="1" s="104">
      <c r="BA9413" s="201" t="n">
        <v>0</v>
      </c>
    </row>
    <row r="9414" ht="15" customHeight="1" s="104">
      <c r="BA9414" s="201" t="n">
        <v>0</v>
      </c>
    </row>
    <row r="9415" ht="15" customHeight="1" s="104">
      <c r="BA9415" s="201" t="n">
        <v>0</v>
      </c>
    </row>
    <row r="9416" ht="15" customHeight="1" s="104">
      <c r="BA9416" s="201" t="n">
        <v>0</v>
      </c>
    </row>
    <row r="9417" ht="15" customHeight="1" s="104">
      <c r="BA9417" s="201" t="n">
        <v>0</v>
      </c>
    </row>
    <row r="9418" ht="15" customHeight="1" s="104">
      <c r="BA9418" s="201" t="n">
        <v>0</v>
      </c>
    </row>
    <row r="9419" ht="15" customHeight="1" s="104">
      <c r="BA9419" s="201" t="n">
        <v>0</v>
      </c>
    </row>
    <row r="9420" ht="15" customHeight="1" s="104">
      <c r="BA9420" s="201" t="n">
        <v>0</v>
      </c>
    </row>
    <row r="9421" ht="15" customHeight="1" s="104">
      <c r="BA9421" s="201" t="n">
        <v>0</v>
      </c>
    </row>
    <row r="9422" ht="15" customHeight="1" s="104">
      <c r="BA9422" s="201" t="n">
        <v>0</v>
      </c>
    </row>
    <row r="9423" ht="15" customHeight="1" s="104">
      <c r="BA9423" s="201" t="n">
        <v>0</v>
      </c>
    </row>
    <row r="9424" ht="15" customHeight="1" s="104">
      <c r="BA9424" s="201" t="n">
        <v>0</v>
      </c>
    </row>
    <row r="9425" ht="15" customHeight="1" s="104">
      <c r="BA9425" s="201" t="n">
        <v>0</v>
      </c>
    </row>
    <row r="9426" ht="15" customHeight="1" s="104">
      <c r="BA9426" s="201" t="n">
        <v>0</v>
      </c>
    </row>
    <row r="9427" ht="15" customHeight="1" s="104">
      <c r="BA9427" s="201" t="n">
        <v>0</v>
      </c>
    </row>
    <row r="9428" ht="15" customHeight="1" s="104">
      <c r="BA9428" s="201" t="n">
        <v>0</v>
      </c>
    </row>
    <row r="9429" ht="15" customHeight="1" s="104">
      <c r="BA9429" s="201" t="n">
        <v>0</v>
      </c>
    </row>
    <row r="9430" ht="15" customHeight="1" s="104">
      <c r="BA9430" s="201" t="n">
        <v>0</v>
      </c>
    </row>
    <row r="9431" ht="15" customHeight="1" s="104">
      <c r="BA9431" s="201" t="n">
        <v>0</v>
      </c>
    </row>
    <row r="9432" ht="15" customHeight="1" s="104">
      <c r="BA9432" s="201" t="n">
        <v>0</v>
      </c>
    </row>
    <row r="9433" ht="15" customHeight="1" s="104">
      <c r="BA9433" s="201" t="n">
        <v>0</v>
      </c>
    </row>
    <row r="9434" ht="15" customHeight="1" s="104">
      <c r="BA9434" s="201" t="n">
        <v>0</v>
      </c>
    </row>
    <row r="9435" ht="15" customHeight="1" s="104">
      <c r="BA9435" s="201" t="n">
        <v>0</v>
      </c>
    </row>
    <row r="9436" ht="15" customHeight="1" s="104">
      <c r="BA9436" s="201" t="n">
        <v>0</v>
      </c>
    </row>
    <row r="9437" ht="15" customHeight="1" s="104">
      <c r="BA9437" s="201" t="n">
        <v>0</v>
      </c>
    </row>
    <row r="9438" ht="15" customHeight="1" s="104">
      <c r="BA9438" s="201" t="n">
        <v>0</v>
      </c>
    </row>
    <row r="9439" ht="15" customHeight="1" s="104">
      <c r="BA9439" s="201" t="n">
        <v>0</v>
      </c>
    </row>
    <row r="9440" ht="15" customHeight="1" s="104">
      <c r="BA9440" s="201" t="n">
        <v>0</v>
      </c>
    </row>
    <row r="9441" ht="15" customHeight="1" s="104">
      <c r="BA9441" s="201" t="n">
        <v>0</v>
      </c>
    </row>
    <row r="9442" ht="15" customHeight="1" s="104">
      <c r="BA9442" s="201" t="n">
        <v>0</v>
      </c>
    </row>
    <row r="9443" ht="15" customHeight="1" s="104">
      <c r="BA9443" s="201" t="n">
        <v>0</v>
      </c>
    </row>
    <row r="9444" ht="15" customHeight="1" s="104">
      <c r="BA9444" s="201" t="n">
        <v>0</v>
      </c>
    </row>
    <row r="9445" ht="15" customHeight="1" s="104">
      <c r="BA9445" s="201" t="n">
        <v>0</v>
      </c>
    </row>
    <row r="9446" ht="15" customHeight="1" s="104">
      <c r="BA9446" s="201" t="n">
        <v>0</v>
      </c>
    </row>
    <row r="9447" ht="15" customHeight="1" s="104">
      <c r="BA9447" s="201" t="n">
        <v>0</v>
      </c>
    </row>
    <row r="9448" ht="15" customHeight="1" s="104">
      <c r="BA9448" s="201" t="n">
        <v>0</v>
      </c>
    </row>
    <row r="9449" ht="15" customHeight="1" s="104">
      <c r="BA9449" s="201" t="n">
        <v>0</v>
      </c>
    </row>
    <row r="9450" ht="15" customHeight="1" s="104">
      <c r="BA9450" s="201" t="n">
        <v>0</v>
      </c>
    </row>
    <row r="9451" ht="15" customHeight="1" s="104">
      <c r="BA9451" s="201" t="n">
        <v>0</v>
      </c>
    </row>
    <row r="9452" ht="15" customHeight="1" s="104">
      <c r="BA9452" s="201" t="n">
        <v>0</v>
      </c>
    </row>
    <row r="9453" ht="15" customHeight="1" s="104">
      <c r="BA9453" s="201" t="n">
        <v>0</v>
      </c>
    </row>
    <row r="9454" ht="15" customHeight="1" s="104">
      <c r="BA9454" s="201" t="n">
        <v>0</v>
      </c>
    </row>
    <row r="9455" ht="15" customHeight="1" s="104">
      <c r="BA9455" s="201" t="n">
        <v>0</v>
      </c>
    </row>
    <row r="9456" ht="15" customHeight="1" s="104">
      <c r="BA9456" s="201" t="n">
        <v>0</v>
      </c>
    </row>
    <row r="9457" ht="15" customHeight="1" s="104">
      <c r="BA9457" s="201" t="n">
        <v>0</v>
      </c>
    </row>
    <row r="9458" ht="15" customHeight="1" s="104">
      <c r="BA9458" s="201" t="n">
        <v>0</v>
      </c>
    </row>
    <row r="9459" ht="15" customHeight="1" s="104">
      <c r="BA9459" s="201" t="n">
        <v>0</v>
      </c>
    </row>
    <row r="9460" ht="15" customHeight="1" s="104">
      <c r="BA9460" s="201" t="n">
        <v>0</v>
      </c>
    </row>
    <row r="9461" ht="15" customHeight="1" s="104">
      <c r="BA9461" s="201" t="n">
        <v>0</v>
      </c>
    </row>
    <row r="9462" ht="15" customHeight="1" s="104">
      <c r="BA9462" s="201" t="n">
        <v>0</v>
      </c>
    </row>
    <row r="9463" ht="15" customHeight="1" s="104">
      <c r="BA9463" s="201" t="n">
        <v>0</v>
      </c>
    </row>
    <row r="9464" ht="15" customHeight="1" s="104">
      <c r="BA9464" s="201" t="n">
        <v>0</v>
      </c>
    </row>
    <row r="9465" ht="15" customHeight="1" s="104">
      <c r="BA9465" s="201" t="n">
        <v>0</v>
      </c>
    </row>
    <row r="9466" ht="15" customHeight="1" s="104">
      <c r="BA9466" s="201" t="n">
        <v>0</v>
      </c>
    </row>
    <row r="9467" ht="15" customHeight="1" s="104">
      <c r="BA9467" s="201" t="n">
        <v>0</v>
      </c>
    </row>
    <row r="9468" ht="15" customHeight="1" s="104">
      <c r="BA9468" s="201" t="n">
        <v>0</v>
      </c>
    </row>
    <row r="9469" ht="15" customHeight="1" s="104">
      <c r="BA9469" s="201" t="n">
        <v>0</v>
      </c>
    </row>
    <row r="9470" ht="15" customHeight="1" s="104">
      <c r="BA9470" s="201" t="n">
        <v>0</v>
      </c>
    </row>
    <row r="9471" ht="15" customHeight="1" s="104">
      <c r="BA9471" s="201" t="n">
        <v>0</v>
      </c>
    </row>
    <row r="9472" ht="15" customHeight="1" s="104">
      <c r="BA9472" s="201" t="n">
        <v>0</v>
      </c>
    </row>
    <row r="9473" ht="15" customHeight="1" s="104">
      <c r="BA9473" s="201" t="n">
        <v>0</v>
      </c>
    </row>
    <row r="9474" ht="15" customHeight="1" s="104">
      <c r="BA9474" s="201" t="n">
        <v>0</v>
      </c>
    </row>
    <row r="9475" ht="15" customHeight="1" s="104">
      <c r="BA9475" s="201" t="n">
        <v>0</v>
      </c>
    </row>
    <row r="9476" ht="15" customHeight="1" s="104">
      <c r="BA9476" s="201" t="n">
        <v>0</v>
      </c>
    </row>
    <row r="9477" ht="15" customHeight="1" s="104">
      <c r="BA9477" s="201" t="n">
        <v>0</v>
      </c>
    </row>
    <row r="9478" ht="15" customHeight="1" s="104">
      <c r="BA9478" s="201" t="n">
        <v>0</v>
      </c>
    </row>
    <row r="9479" ht="15" customHeight="1" s="104">
      <c r="BA9479" s="201" t="n">
        <v>0</v>
      </c>
    </row>
    <row r="9480" ht="15" customHeight="1" s="104">
      <c r="BA9480" s="201" t="n">
        <v>0</v>
      </c>
    </row>
    <row r="9481" ht="15" customHeight="1" s="104">
      <c r="BA9481" s="201" t="n">
        <v>0</v>
      </c>
    </row>
    <row r="9482" ht="15" customHeight="1" s="104">
      <c r="BA9482" s="201" t="n">
        <v>0</v>
      </c>
    </row>
    <row r="9483" ht="15" customHeight="1" s="104">
      <c r="BA9483" s="201" t="n">
        <v>0</v>
      </c>
    </row>
    <row r="9484" ht="15" customHeight="1" s="104">
      <c r="BA9484" s="201" t="n">
        <v>0</v>
      </c>
    </row>
    <row r="9485" ht="15" customHeight="1" s="104">
      <c r="BA9485" s="201" t="n">
        <v>0</v>
      </c>
    </row>
    <row r="9486" ht="15" customHeight="1" s="104">
      <c r="BA9486" s="201" t="n">
        <v>0</v>
      </c>
    </row>
    <row r="9487" ht="15" customHeight="1" s="104">
      <c r="BA9487" s="201" t="n">
        <v>0</v>
      </c>
    </row>
    <row r="9488" ht="15" customHeight="1" s="104">
      <c r="BA9488" s="201" t="n">
        <v>0</v>
      </c>
    </row>
    <row r="9489" ht="15" customHeight="1" s="104">
      <c r="BA9489" s="201" t="n">
        <v>0</v>
      </c>
    </row>
    <row r="9490" ht="15" customHeight="1" s="104">
      <c r="BA9490" s="201" t="n">
        <v>0</v>
      </c>
    </row>
    <row r="9491" ht="15" customHeight="1" s="104">
      <c r="BA9491" s="201" t="n">
        <v>0</v>
      </c>
    </row>
    <row r="9492" ht="15" customHeight="1" s="104">
      <c r="BA9492" s="201" t="n">
        <v>0</v>
      </c>
    </row>
    <row r="9493" ht="15" customHeight="1" s="104">
      <c r="BA9493" s="201" t="n">
        <v>0</v>
      </c>
    </row>
    <row r="9494" ht="15" customHeight="1" s="104">
      <c r="BA9494" s="201" t="n">
        <v>0</v>
      </c>
    </row>
    <row r="9495" ht="15" customHeight="1" s="104">
      <c r="BA9495" s="201" t="n">
        <v>0</v>
      </c>
    </row>
    <row r="9496" ht="15" customHeight="1" s="104">
      <c r="BA9496" s="201" t="n">
        <v>0</v>
      </c>
    </row>
    <row r="9497" ht="15" customHeight="1" s="104">
      <c r="BA9497" s="201" t="n">
        <v>0</v>
      </c>
    </row>
    <row r="9498" ht="15" customHeight="1" s="104">
      <c r="BA9498" s="201" t="n">
        <v>0</v>
      </c>
    </row>
    <row r="9499" ht="15" customHeight="1" s="104">
      <c r="BA9499" s="201" t="n">
        <v>0</v>
      </c>
    </row>
    <row r="9500" ht="15" customHeight="1" s="104">
      <c r="BA9500" s="201" t="n">
        <v>0</v>
      </c>
    </row>
    <row r="9501" ht="15" customHeight="1" s="104">
      <c r="BA9501" s="201" t="n">
        <v>0</v>
      </c>
    </row>
    <row r="9502" ht="15" customHeight="1" s="104">
      <c r="BA9502" s="201" t="n">
        <v>0</v>
      </c>
    </row>
    <row r="9503" ht="15" customHeight="1" s="104">
      <c r="BA9503" s="201" t="n">
        <v>0</v>
      </c>
    </row>
    <row r="9504" ht="15" customHeight="1" s="104">
      <c r="BA9504" s="201" t="n">
        <v>0</v>
      </c>
    </row>
    <row r="9505" ht="15" customHeight="1" s="104">
      <c r="BA9505" s="201" t="n">
        <v>0</v>
      </c>
    </row>
    <row r="9506" ht="15" customHeight="1" s="104">
      <c r="BA9506" s="201" t="n">
        <v>0</v>
      </c>
    </row>
    <row r="9507" ht="15" customHeight="1" s="104">
      <c r="BA9507" s="201" t="n">
        <v>0</v>
      </c>
    </row>
    <row r="9508" ht="15" customHeight="1" s="104">
      <c r="BA9508" s="201" t="n">
        <v>0</v>
      </c>
    </row>
    <row r="9509" ht="15" customHeight="1" s="104">
      <c r="BA9509" s="201" t="n">
        <v>0</v>
      </c>
    </row>
    <row r="9510" ht="15" customHeight="1" s="104">
      <c r="BA9510" s="201" t="n">
        <v>0</v>
      </c>
    </row>
    <row r="9511" ht="15" customHeight="1" s="104">
      <c r="BA9511" s="201" t="n">
        <v>0</v>
      </c>
    </row>
    <row r="9512" ht="15" customHeight="1" s="104">
      <c r="BA9512" s="201" t="n">
        <v>0</v>
      </c>
    </row>
    <row r="9513" ht="15" customHeight="1" s="104">
      <c r="BA9513" s="201" t="n">
        <v>0</v>
      </c>
    </row>
    <row r="9514" ht="15" customHeight="1" s="104">
      <c r="BA9514" s="201" t="n">
        <v>0</v>
      </c>
    </row>
    <row r="9515" ht="15" customHeight="1" s="104">
      <c r="BA9515" s="201" t="n">
        <v>0</v>
      </c>
    </row>
    <row r="9516" ht="15" customHeight="1" s="104">
      <c r="BA9516" s="201" t="n">
        <v>0</v>
      </c>
    </row>
    <row r="9517" ht="15" customHeight="1" s="104">
      <c r="BA9517" s="201" t="n">
        <v>0</v>
      </c>
    </row>
    <row r="9518" ht="15" customHeight="1" s="104">
      <c r="BA9518" s="201" t="n">
        <v>0</v>
      </c>
    </row>
    <row r="9519" ht="15" customHeight="1" s="104">
      <c r="BA9519" s="201" t="n">
        <v>0</v>
      </c>
    </row>
    <row r="9520" ht="15" customHeight="1" s="104">
      <c r="BA9520" s="201" t="n">
        <v>0</v>
      </c>
    </row>
    <row r="9521" ht="15" customHeight="1" s="104">
      <c r="BA9521" s="201" t="n">
        <v>0</v>
      </c>
    </row>
    <row r="9522" ht="15" customHeight="1" s="104">
      <c r="BA9522" s="201" t="n">
        <v>0</v>
      </c>
    </row>
    <row r="9523" ht="15" customHeight="1" s="104">
      <c r="BA9523" s="201" t="n">
        <v>0</v>
      </c>
    </row>
    <row r="9524" ht="15" customHeight="1" s="104">
      <c r="BA9524" s="201" t="n">
        <v>0</v>
      </c>
    </row>
    <row r="9525" ht="15" customHeight="1" s="104">
      <c r="BA9525" s="201" t="n">
        <v>0</v>
      </c>
    </row>
    <row r="9526" ht="15" customHeight="1" s="104">
      <c r="BA9526" s="201" t="n">
        <v>0</v>
      </c>
    </row>
    <row r="9527" ht="15" customHeight="1" s="104">
      <c r="BA9527" s="201" t="n">
        <v>0</v>
      </c>
    </row>
    <row r="9528" ht="15" customHeight="1" s="104">
      <c r="BA9528" s="201" t="n">
        <v>0</v>
      </c>
    </row>
    <row r="9529" ht="15" customHeight="1" s="104">
      <c r="BA9529" s="201" t="n">
        <v>0</v>
      </c>
    </row>
    <row r="9530" ht="15" customHeight="1" s="104">
      <c r="BA9530" s="201" t="n">
        <v>0</v>
      </c>
    </row>
    <row r="9531" ht="15" customHeight="1" s="104">
      <c r="BA9531" s="201" t="n">
        <v>0</v>
      </c>
    </row>
    <row r="9532" ht="15" customHeight="1" s="104">
      <c r="BA9532" s="201" t="n">
        <v>0</v>
      </c>
    </row>
    <row r="9533" ht="15" customHeight="1" s="104">
      <c r="BA9533" s="201" t="n">
        <v>0</v>
      </c>
    </row>
    <row r="9534" ht="15" customHeight="1" s="104">
      <c r="BA9534" s="201" t="n">
        <v>0</v>
      </c>
    </row>
    <row r="9535" ht="15" customHeight="1" s="104">
      <c r="BA9535" s="201" t="n">
        <v>0</v>
      </c>
    </row>
    <row r="9536" ht="15" customHeight="1" s="104">
      <c r="BA9536" s="201" t="n">
        <v>0</v>
      </c>
    </row>
    <row r="9537" ht="15" customHeight="1" s="104">
      <c r="BA9537" s="201" t="n">
        <v>0</v>
      </c>
    </row>
    <row r="9538" ht="15" customHeight="1" s="104">
      <c r="BA9538" s="201" t="n">
        <v>0</v>
      </c>
    </row>
    <row r="9539" ht="15" customHeight="1" s="104">
      <c r="BA9539" s="201" t="n">
        <v>0</v>
      </c>
    </row>
    <row r="9540" ht="15" customHeight="1" s="104">
      <c r="BA9540" s="201" t="n">
        <v>0</v>
      </c>
    </row>
    <row r="9541" ht="15" customHeight="1" s="104">
      <c r="BA9541" s="201" t="n">
        <v>0</v>
      </c>
    </row>
    <row r="9542" ht="15" customHeight="1" s="104">
      <c r="BA9542" s="201" t="n">
        <v>0</v>
      </c>
    </row>
    <row r="9543" ht="15" customHeight="1" s="104">
      <c r="BA9543" s="201" t="n">
        <v>0</v>
      </c>
    </row>
    <row r="9544" ht="15" customHeight="1" s="104">
      <c r="BA9544" s="201" t="n">
        <v>0</v>
      </c>
    </row>
    <row r="9545" ht="15" customHeight="1" s="104">
      <c r="BA9545" s="201" t="n">
        <v>0</v>
      </c>
    </row>
    <row r="9546" ht="15" customHeight="1" s="104">
      <c r="BA9546" s="201" t="n">
        <v>0</v>
      </c>
    </row>
    <row r="9547" ht="15" customHeight="1" s="104">
      <c r="BA9547" s="201" t="n">
        <v>0</v>
      </c>
    </row>
    <row r="9548" ht="15" customHeight="1" s="104">
      <c r="BA9548" s="201" t="n">
        <v>0</v>
      </c>
    </row>
    <row r="9549" ht="15" customHeight="1" s="104">
      <c r="BA9549" s="201" t="n">
        <v>0</v>
      </c>
    </row>
    <row r="9550" ht="15" customHeight="1" s="104">
      <c r="BA9550" s="201" t="n">
        <v>0</v>
      </c>
    </row>
    <row r="9551" ht="15" customHeight="1" s="104">
      <c r="BA9551" s="201" t="n">
        <v>0</v>
      </c>
    </row>
    <row r="9552" ht="15" customHeight="1" s="104">
      <c r="BA9552" s="201" t="n">
        <v>0</v>
      </c>
    </row>
    <row r="9553" ht="15" customHeight="1" s="104">
      <c r="BA9553" s="201" t="n">
        <v>0</v>
      </c>
    </row>
    <row r="9554" ht="15" customHeight="1" s="104">
      <c r="BA9554" s="201" t="n">
        <v>0</v>
      </c>
    </row>
    <row r="9555" ht="15" customHeight="1" s="104">
      <c r="BA9555" s="201" t="n">
        <v>0</v>
      </c>
    </row>
    <row r="9556" ht="15" customHeight="1" s="104">
      <c r="BA9556" s="201" t="n">
        <v>0</v>
      </c>
    </row>
    <row r="9557" ht="15" customHeight="1" s="104">
      <c r="BA9557" s="201" t="n">
        <v>0</v>
      </c>
    </row>
    <row r="9558" ht="15" customHeight="1" s="104">
      <c r="BA9558" s="201" t="n">
        <v>0</v>
      </c>
    </row>
    <row r="9559" ht="15" customHeight="1" s="104">
      <c r="BA9559" s="201" t="n">
        <v>0</v>
      </c>
    </row>
    <row r="9560" ht="15" customHeight="1" s="104">
      <c r="BA9560" s="201" t="n">
        <v>0</v>
      </c>
    </row>
    <row r="9561" ht="15" customHeight="1" s="104">
      <c r="BA9561" s="201" t="n">
        <v>0</v>
      </c>
    </row>
    <row r="9562" ht="15" customHeight="1" s="104">
      <c r="BA9562" s="201" t="n">
        <v>0</v>
      </c>
    </row>
    <row r="9563" ht="15" customHeight="1" s="104">
      <c r="BA9563" s="201" t="n">
        <v>0</v>
      </c>
    </row>
    <row r="9564" ht="15" customHeight="1" s="104">
      <c r="BA9564" s="201" t="n">
        <v>0</v>
      </c>
    </row>
    <row r="9565" ht="15" customHeight="1" s="104">
      <c r="BA9565" s="201" t="n">
        <v>0</v>
      </c>
    </row>
    <row r="9566" ht="15" customHeight="1" s="104">
      <c r="BA9566" s="201" t="n">
        <v>0</v>
      </c>
    </row>
    <row r="9567" ht="15" customHeight="1" s="104">
      <c r="BA9567" s="201" t="n">
        <v>0</v>
      </c>
    </row>
    <row r="9568" ht="15" customHeight="1" s="104">
      <c r="BA9568" s="201" t="n">
        <v>0</v>
      </c>
    </row>
    <row r="9569" ht="15" customHeight="1" s="104">
      <c r="BA9569" s="201" t="n">
        <v>0</v>
      </c>
    </row>
    <row r="9570" ht="15" customHeight="1" s="104">
      <c r="BA9570" s="201" t="n">
        <v>0</v>
      </c>
    </row>
    <row r="9571" ht="15" customHeight="1" s="104">
      <c r="BA9571" s="201" t="n">
        <v>0</v>
      </c>
    </row>
    <row r="9572" ht="15" customHeight="1" s="104">
      <c r="BA9572" s="201" t="n">
        <v>0</v>
      </c>
    </row>
    <row r="9573" ht="15" customHeight="1" s="104">
      <c r="BA9573" s="201" t="n">
        <v>0</v>
      </c>
    </row>
    <row r="9574" ht="15" customHeight="1" s="104">
      <c r="BA9574" s="201" t="n">
        <v>0</v>
      </c>
    </row>
    <row r="9575" ht="15" customHeight="1" s="104">
      <c r="BA9575" s="201" t="n">
        <v>0</v>
      </c>
    </row>
    <row r="9576" ht="15" customHeight="1" s="104">
      <c r="BA9576" s="201" t="n">
        <v>0</v>
      </c>
    </row>
    <row r="9577" ht="15" customHeight="1" s="104">
      <c r="BA9577" s="201" t="n">
        <v>0</v>
      </c>
    </row>
    <row r="9578" ht="15" customHeight="1" s="104">
      <c r="BA9578" s="201" t="n">
        <v>0</v>
      </c>
    </row>
    <row r="9579" ht="15" customHeight="1" s="104">
      <c r="BA9579" s="201" t="n">
        <v>0</v>
      </c>
    </row>
    <row r="9580" ht="15" customHeight="1" s="104">
      <c r="BA9580" s="201" t="n">
        <v>0</v>
      </c>
    </row>
    <row r="9581" ht="15" customHeight="1" s="104">
      <c r="BA9581" s="201" t="n">
        <v>0</v>
      </c>
    </row>
    <row r="9582" ht="15" customHeight="1" s="104">
      <c r="BA9582" s="201" t="n">
        <v>0</v>
      </c>
    </row>
    <row r="9583" ht="15" customHeight="1" s="104">
      <c r="BA9583" s="201" t="n">
        <v>0</v>
      </c>
    </row>
    <row r="9584" ht="15" customHeight="1" s="104">
      <c r="BA9584" s="201" t="n">
        <v>0</v>
      </c>
    </row>
    <row r="9585" ht="15" customHeight="1" s="104">
      <c r="BA9585" s="201" t="n">
        <v>0</v>
      </c>
    </row>
    <row r="9586" ht="15" customHeight="1" s="104">
      <c r="BA9586" s="201" t="n">
        <v>0</v>
      </c>
    </row>
    <row r="9587" ht="15" customHeight="1" s="104">
      <c r="BA9587" s="201" t="n">
        <v>0</v>
      </c>
    </row>
    <row r="9588" ht="15" customHeight="1" s="104">
      <c r="BA9588" s="201" t="n">
        <v>0</v>
      </c>
    </row>
    <row r="9589" ht="15" customHeight="1" s="104">
      <c r="BA9589" s="201" t="n">
        <v>0</v>
      </c>
    </row>
    <row r="9590" ht="15" customHeight="1" s="104">
      <c r="BA9590" s="201" t="n">
        <v>0</v>
      </c>
    </row>
    <row r="9591" ht="15" customHeight="1" s="104">
      <c r="BA9591" s="201" t="n">
        <v>0</v>
      </c>
    </row>
    <row r="9592" ht="15" customHeight="1" s="104">
      <c r="BA9592" s="201" t="n">
        <v>0</v>
      </c>
    </row>
    <row r="9593" ht="15" customHeight="1" s="104">
      <c r="BA9593" s="201" t="n">
        <v>0</v>
      </c>
    </row>
    <row r="9594" ht="15" customHeight="1" s="104">
      <c r="BA9594" s="201" t="n">
        <v>0</v>
      </c>
    </row>
    <row r="9595" ht="15" customHeight="1" s="104">
      <c r="BA9595" s="201" t="n">
        <v>0</v>
      </c>
    </row>
    <row r="9596" ht="15" customHeight="1" s="104">
      <c r="BA9596" s="201" t="n">
        <v>0</v>
      </c>
    </row>
    <row r="9597" ht="15" customHeight="1" s="104">
      <c r="BA9597" s="201" t="n">
        <v>0</v>
      </c>
    </row>
    <row r="9598" ht="15" customHeight="1" s="104">
      <c r="BA9598" s="201" t="n">
        <v>0</v>
      </c>
    </row>
    <row r="9599" ht="15" customHeight="1" s="104">
      <c r="BA9599" s="201" t="n">
        <v>0</v>
      </c>
    </row>
    <row r="9600" ht="15" customHeight="1" s="104">
      <c r="BA9600" s="201" t="n">
        <v>0</v>
      </c>
    </row>
    <row r="9601" ht="15" customHeight="1" s="104">
      <c r="BA9601" s="201" t="n">
        <v>0</v>
      </c>
    </row>
    <row r="9602" ht="15" customHeight="1" s="104">
      <c r="BA9602" s="201" t="n">
        <v>0</v>
      </c>
    </row>
    <row r="9603" ht="15" customHeight="1" s="104">
      <c r="BA9603" s="201" t="n">
        <v>0</v>
      </c>
    </row>
    <row r="9604" ht="15" customHeight="1" s="104">
      <c r="BA9604" s="201" t="n">
        <v>0</v>
      </c>
    </row>
    <row r="9605" ht="15" customHeight="1" s="104">
      <c r="BA9605" s="201" t="n">
        <v>0</v>
      </c>
    </row>
    <row r="9606" ht="15" customHeight="1" s="104">
      <c r="BA9606" s="201" t="n">
        <v>0</v>
      </c>
    </row>
    <row r="9607" ht="15" customHeight="1" s="104">
      <c r="BA9607" s="201" t="n">
        <v>0</v>
      </c>
    </row>
    <row r="9608" ht="15" customHeight="1" s="104">
      <c r="BA9608" s="201" t="n">
        <v>0</v>
      </c>
    </row>
    <row r="9609" ht="15" customHeight="1" s="104">
      <c r="BA9609" s="201" t="n">
        <v>0</v>
      </c>
    </row>
    <row r="9610" ht="15" customHeight="1" s="104">
      <c r="BA9610" s="201" t="n">
        <v>0</v>
      </c>
    </row>
    <row r="9611" ht="15" customHeight="1" s="104">
      <c r="BA9611" s="201" t="n">
        <v>0</v>
      </c>
    </row>
    <row r="9612" ht="15" customHeight="1" s="104">
      <c r="BA9612" s="201" t="n">
        <v>0</v>
      </c>
    </row>
    <row r="9613" ht="15" customHeight="1" s="104">
      <c r="BA9613" s="201" t="n">
        <v>0</v>
      </c>
    </row>
    <row r="9614" ht="15" customHeight="1" s="104">
      <c r="BA9614" s="201" t="n">
        <v>0</v>
      </c>
    </row>
    <row r="9615" ht="15" customHeight="1" s="104">
      <c r="BA9615" s="201" t="n">
        <v>0</v>
      </c>
    </row>
    <row r="9616" ht="15" customHeight="1" s="104">
      <c r="BA9616" s="201" t="n">
        <v>0</v>
      </c>
    </row>
    <row r="9617" ht="15" customHeight="1" s="104">
      <c r="BA9617" s="201" t="n">
        <v>0</v>
      </c>
    </row>
    <row r="9618" ht="15" customHeight="1" s="104">
      <c r="BA9618" s="201" t="n">
        <v>0</v>
      </c>
    </row>
    <row r="9619" ht="15" customHeight="1" s="104">
      <c r="BA9619" s="201" t="n">
        <v>0</v>
      </c>
    </row>
    <row r="9620" ht="15" customHeight="1" s="104">
      <c r="BA9620" s="201" t="n">
        <v>0</v>
      </c>
    </row>
    <row r="9621" ht="15" customHeight="1" s="104">
      <c r="BA9621" s="201" t="n">
        <v>0</v>
      </c>
    </row>
    <row r="9622" ht="15" customHeight="1" s="104">
      <c r="BA9622" s="201" t="n">
        <v>0</v>
      </c>
    </row>
    <row r="9623" ht="15" customHeight="1" s="104">
      <c r="BA9623" s="201" t="n">
        <v>0</v>
      </c>
    </row>
    <row r="9624" ht="15" customHeight="1" s="104">
      <c r="BA9624" s="201" t="n">
        <v>0</v>
      </c>
    </row>
    <row r="9625" ht="15" customHeight="1" s="104">
      <c r="BA9625" s="201" t="n">
        <v>0</v>
      </c>
    </row>
    <row r="9626" ht="15" customHeight="1" s="104">
      <c r="BA9626" s="201" t="n">
        <v>0</v>
      </c>
    </row>
    <row r="9627" ht="15" customHeight="1" s="104">
      <c r="BA9627" s="201" t="n">
        <v>0</v>
      </c>
    </row>
    <row r="9628" ht="15" customHeight="1" s="104">
      <c r="BA9628" s="201" t="n">
        <v>0</v>
      </c>
    </row>
    <row r="9629" ht="15" customHeight="1" s="104">
      <c r="BA9629" s="201" t="n">
        <v>0</v>
      </c>
    </row>
    <row r="9630" ht="15" customHeight="1" s="104">
      <c r="BA9630" s="201" t="n">
        <v>0</v>
      </c>
    </row>
    <row r="9631" ht="15" customHeight="1" s="104">
      <c r="BA9631" s="201" t="n">
        <v>0</v>
      </c>
    </row>
    <row r="9632" ht="15" customHeight="1" s="104">
      <c r="BA9632" s="201" t="n">
        <v>0</v>
      </c>
    </row>
    <row r="9633" ht="15" customHeight="1" s="104">
      <c r="BA9633" s="201" t="n">
        <v>0</v>
      </c>
    </row>
    <row r="9634" ht="15" customHeight="1" s="104">
      <c r="BA9634" s="201" t="n">
        <v>0</v>
      </c>
    </row>
    <row r="9635" ht="15" customHeight="1" s="104">
      <c r="BA9635" s="201" t="n">
        <v>0</v>
      </c>
    </row>
    <row r="9636" ht="15" customHeight="1" s="104">
      <c r="BA9636" s="201" t="n">
        <v>0</v>
      </c>
    </row>
    <row r="9637" ht="15" customHeight="1" s="104">
      <c r="BA9637" s="201" t="n">
        <v>0</v>
      </c>
    </row>
    <row r="9638" ht="15" customHeight="1" s="104">
      <c r="BA9638" s="201" t="n">
        <v>0</v>
      </c>
    </row>
    <row r="9639" ht="15" customHeight="1" s="104">
      <c r="BA9639" s="201" t="n">
        <v>0</v>
      </c>
    </row>
    <row r="9640" ht="15" customHeight="1" s="104">
      <c r="BA9640" s="201" t="n">
        <v>0</v>
      </c>
    </row>
    <row r="9641" ht="15" customHeight="1" s="104">
      <c r="BA9641" s="201" t="n">
        <v>0</v>
      </c>
    </row>
    <row r="9642" ht="15" customHeight="1" s="104">
      <c r="BA9642" s="201" t="n">
        <v>0</v>
      </c>
    </row>
    <row r="9643" ht="15" customHeight="1" s="104">
      <c r="BA9643" s="201" t="n">
        <v>0</v>
      </c>
    </row>
    <row r="9644" ht="15" customHeight="1" s="104">
      <c r="BA9644" s="201" t="n">
        <v>0</v>
      </c>
    </row>
    <row r="9645" ht="15" customHeight="1" s="104">
      <c r="BA9645" s="201" t="n">
        <v>0</v>
      </c>
    </row>
    <row r="9646" ht="15" customHeight="1" s="104">
      <c r="BA9646" s="201" t="n">
        <v>0</v>
      </c>
    </row>
    <row r="9647" ht="15" customHeight="1" s="104">
      <c r="BA9647" s="201" t="n">
        <v>0</v>
      </c>
    </row>
    <row r="9648" ht="15" customHeight="1" s="104">
      <c r="BA9648" s="201" t="n">
        <v>0</v>
      </c>
    </row>
    <row r="9649" ht="15" customHeight="1" s="104">
      <c r="BA9649" s="201" t="n">
        <v>0</v>
      </c>
    </row>
    <row r="9650" ht="15" customHeight="1" s="104">
      <c r="BA9650" s="201" t="n">
        <v>0</v>
      </c>
    </row>
    <row r="9651" ht="15" customHeight="1" s="104">
      <c r="BA9651" s="201" t="n">
        <v>0</v>
      </c>
    </row>
    <row r="9652" ht="15" customHeight="1" s="104">
      <c r="BA9652" s="201" t="n">
        <v>0</v>
      </c>
    </row>
    <row r="9653" ht="15" customHeight="1" s="104">
      <c r="BA9653" s="201" t="n">
        <v>0</v>
      </c>
    </row>
    <row r="9654" ht="15" customHeight="1" s="104">
      <c r="BA9654" s="201" t="n">
        <v>0</v>
      </c>
    </row>
    <row r="9655" ht="15" customHeight="1" s="104">
      <c r="BA9655" s="201" t="n">
        <v>0</v>
      </c>
    </row>
    <row r="9656" ht="15" customHeight="1" s="104">
      <c r="BA9656" s="201" t="n">
        <v>0</v>
      </c>
    </row>
    <row r="9657" ht="15" customHeight="1" s="104">
      <c r="BA9657" s="201" t="n">
        <v>0</v>
      </c>
    </row>
    <row r="9658" ht="15" customHeight="1" s="104">
      <c r="BA9658" s="201" t="n">
        <v>0</v>
      </c>
    </row>
    <row r="9659" ht="15" customHeight="1" s="104">
      <c r="BA9659" s="201" t="n">
        <v>0</v>
      </c>
    </row>
    <row r="9660" ht="15" customHeight="1" s="104">
      <c r="BA9660" s="201" t="n">
        <v>0</v>
      </c>
    </row>
    <row r="9661" ht="15" customHeight="1" s="104">
      <c r="BA9661" s="201" t="n">
        <v>0</v>
      </c>
    </row>
    <row r="9662" ht="15" customHeight="1" s="104">
      <c r="BA9662" s="201" t="n">
        <v>0</v>
      </c>
    </row>
    <row r="9663" ht="15" customHeight="1" s="104">
      <c r="BA9663" s="201" t="n">
        <v>0</v>
      </c>
    </row>
    <row r="9664" ht="15" customHeight="1" s="104">
      <c r="BA9664" s="201" t="n">
        <v>0</v>
      </c>
    </row>
    <row r="9665" ht="15" customHeight="1" s="104">
      <c r="BA9665" s="201" t="n">
        <v>0</v>
      </c>
    </row>
    <row r="9666" ht="15" customHeight="1" s="104">
      <c r="BA9666" s="201" t="n">
        <v>0</v>
      </c>
    </row>
    <row r="9667" ht="15" customHeight="1" s="104">
      <c r="BA9667" s="201" t="n">
        <v>0</v>
      </c>
    </row>
    <row r="9668" ht="15" customHeight="1" s="104">
      <c r="BA9668" s="201" t="n">
        <v>0</v>
      </c>
    </row>
    <row r="9669" ht="15" customHeight="1" s="104">
      <c r="BA9669" s="201" t="n">
        <v>0</v>
      </c>
    </row>
    <row r="9670" ht="15" customHeight="1" s="104">
      <c r="BA9670" s="201" t="n">
        <v>0</v>
      </c>
    </row>
    <row r="9671" ht="15" customHeight="1" s="104">
      <c r="BA9671" s="201" t="n">
        <v>0</v>
      </c>
    </row>
    <row r="9672" ht="15" customHeight="1" s="104">
      <c r="BA9672" s="201" t="n">
        <v>0</v>
      </c>
    </row>
    <row r="9673" ht="15" customHeight="1" s="104">
      <c r="BA9673" s="201" t="n">
        <v>0</v>
      </c>
    </row>
    <row r="9674" ht="15" customHeight="1" s="104">
      <c r="BA9674" s="201" t="n">
        <v>0</v>
      </c>
    </row>
    <row r="9675" ht="15" customHeight="1" s="104">
      <c r="BA9675" s="201" t="n">
        <v>0</v>
      </c>
    </row>
    <row r="9676" ht="15" customHeight="1" s="104">
      <c r="BA9676" s="201" t="n">
        <v>0</v>
      </c>
    </row>
    <row r="9677" ht="15" customHeight="1" s="104">
      <c r="BA9677" s="201" t="n">
        <v>0</v>
      </c>
    </row>
    <row r="9678" ht="15" customHeight="1" s="104">
      <c r="BA9678" s="201" t="n">
        <v>0</v>
      </c>
    </row>
    <row r="9679" ht="15" customHeight="1" s="104">
      <c r="BA9679" s="201" t="n">
        <v>0</v>
      </c>
    </row>
    <row r="9680" ht="15" customHeight="1" s="104">
      <c r="BA9680" s="201" t="n">
        <v>0</v>
      </c>
    </row>
    <row r="9681" ht="15" customHeight="1" s="104">
      <c r="BA9681" s="201" t="n">
        <v>0</v>
      </c>
    </row>
    <row r="9682" ht="15" customHeight="1" s="104">
      <c r="BA9682" s="201" t="n">
        <v>0</v>
      </c>
    </row>
    <row r="9683" ht="15" customHeight="1" s="104">
      <c r="BA9683" s="201" t="n">
        <v>0</v>
      </c>
    </row>
    <row r="9684" ht="15" customHeight="1" s="104">
      <c r="BA9684" s="201" t="n">
        <v>0</v>
      </c>
    </row>
    <row r="9685" ht="15" customHeight="1" s="104">
      <c r="BA9685" s="201" t="n">
        <v>0</v>
      </c>
    </row>
    <row r="9686" ht="15" customHeight="1" s="104">
      <c r="BA9686" s="201" t="n">
        <v>0</v>
      </c>
    </row>
    <row r="9687" ht="15" customHeight="1" s="104">
      <c r="BA9687" s="201" t="n">
        <v>0</v>
      </c>
    </row>
    <row r="9688" ht="15" customHeight="1" s="104">
      <c r="BA9688" s="201" t="n">
        <v>0</v>
      </c>
    </row>
    <row r="9689" ht="15" customHeight="1" s="104">
      <c r="BA9689" s="201" t="n">
        <v>0</v>
      </c>
    </row>
    <row r="9690" ht="15" customHeight="1" s="104">
      <c r="BA9690" s="201" t="n">
        <v>0</v>
      </c>
    </row>
    <row r="9691" ht="15" customHeight="1" s="104">
      <c r="BA9691" s="201" t="n">
        <v>0</v>
      </c>
    </row>
    <row r="9692" ht="15" customHeight="1" s="104">
      <c r="BA9692" s="201" t="n">
        <v>0</v>
      </c>
    </row>
    <row r="9693" ht="15" customHeight="1" s="104">
      <c r="BA9693" s="201" t="n">
        <v>0</v>
      </c>
    </row>
    <row r="9694" ht="15" customHeight="1" s="104">
      <c r="BA9694" s="201" t="n">
        <v>0</v>
      </c>
    </row>
    <row r="9695" ht="15" customHeight="1" s="104">
      <c r="BA9695" s="201" t="n">
        <v>0</v>
      </c>
    </row>
    <row r="9696" ht="15" customHeight="1" s="104">
      <c r="BA9696" s="201" t="n">
        <v>0</v>
      </c>
    </row>
    <row r="9697" ht="15" customHeight="1" s="104">
      <c r="BA9697" s="201" t="n">
        <v>0</v>
      </c>
    </row>
    <row r="9698" ht="15" customHeight="1" s="104">
      <c r="BA9698" s="201" t="n">
        <v>0</v>
      </c>
    </row>
    <row r="9699" ht="15" customHeight="1" s="104">
      <c r="BA9699" s="201" t="n">
        <v>0</v>
      </c>
    </row>
    <row r="9700" ht="15" customHeight="1" s="104">
      <c r="BA9700" s="201" t="n">
        <v>0</v>
      </c>
    </row>
    <row r="9701" ht="15" customHeight="1" s="104">
      <c r="BA9701" s="201" t="n">
        <v>0</v>
      </c>
    </row>
    <row r="9702" ht="15" customHeight="1" s="104">
      <c r="BA9702" s="201" t="n">
        <v>0</v>
      </c>
    </row>
    <row r="9703" ht="15" customHeight="1" s="104">
      <c r="BA9703" s="201" t="n">
        <v>0</v>
      </c>
    </row>
    <row r="9704" ht="15" customHeight="1" s="104">
      <c r="BA9704" s="201" t="n">
        <v>0</v>
      </c>
    </row>
    <row r="9705" ht="15" customHeight="1" s="104">
      <c r="BA9705" s="201" t="n">
        <v>0</v>
      </c>
    </row>
    <row r="9706" ht="15" customHeight="1" s="104">
      <c r="BA9706" s="201" t="n">
        <v>0</v>
      </c>
    </row>
    <row r="9707" ht="15" customHeight="1" s="104">
      <c r="BA9707" s="201" t="n">
        <v>0</v>
      </c>
    </row>
    <row r="9708" ht="15" customHeight="1" s="104">
      <c r="BA9708" s="201" t="n">
        <v>0</v>
      </c>
    </row>
    <row r="9709" ht="15" customHeight="1" s="104">
      <c r="BA9709" s="201" t="n">
        <v>0</v>
      </c>
    </row>
    <row r="9710" ht="15" customHeight="1" s="104">
      <c r="BA9710" s="201" t="n">
        <v>0</v>
      </c>
    </row>
    <row r="9711" ht="15" customHeight="1" s="104">
      <c r="BA9711" s="201" t="n">
        <v>0</v>
      </c>
    </row>
    <row r="9712" ht="15" customHeight="1" s="104">
      <c r="BA9712" s="201" t="n">
        <v>0</v>
      </c>
    </row>
    <row r="9713" ht="15" customHeight="1" s="104">
      <c r="BA9713" s="201" t="n">
        <v>0</v>
      </c>
    </row>
    <row r="9714" ht="15" customHeight="1" s="104">
      <c r="BA9714" s="201" t="n">
        <v>0</v>
      </c>
    </row>
    <row r="9715" ht="15" customHeight="1" s="104">
      <c r="BA9715" s="201" t="n">
        <v>0</v>
      </c>
    </row>
    <row r="9716" ht="15" customHeight="1" s="104">
      <c r="BA9716" s="201" t="n">
        <v>0</v>
      </c>
    </row>
    <row r="9717" ht="15" customHeight="1" s="104">
      <c r="BA9717" s="201" t="n">
        <v>0</v>
      </c>
    </row>
    <row r="9718" ht="15" customHeight="1" s="104">
      <c r="BA9718" s="201" t="n">
        <v>0</v>
      </c>
    </row>
    <row r="9719" ht="15" customHeight="1" s="104">
      <c r="BA9719" s="201" t="n">
        <v>0</v>
      </c>
    </row>
    <row r="9720" ht="15" customHeight="1" s="104">
      <c r="BA9720" s="201" t="n">
        <v>0</v>
      </c>
    </row>
    <row r="9721" ht="15" customHeight="1" s="104">
      <c r="BA9721" s="201" t="n">
        <v>0</v>
      </c>
    </row>
    <row r="9722" ht="15" customHeight="1" s="104">
      <c r="BA9722" s="201" t="n">
        <v>0</v>
      </c>
    </row>
    <row r="9723" ht="15" customHeight="1" s="104">
      <c r="BA9723" s="201" t="n">
        <v>0</v>
      </c>
    </row>
    <row r="9724" ht="15" customHeight="1" s="104">
      <c r="BA9724" s="201" t="n">
        <v>0</v>
      </c>
    </row>
    <row r="9725" ht="15" customHeight="1" s="104">
      <c r="BA9725" s="201" t="n">
        <v>0</v>
      </c>
    </row>
    <row r="9726" ht="15" customHeight="1" s="104">
      <c r="BA9726" s="201" t="n">
        <v>0</v>
      </c>
    </row>
    <row r="9727" ht="15" customHeight="1" s="104">
      <c r="BA9727" s="201" t="n">
        <v>0</v>
      </c>
    </row>
    <row r="9728" ht="15" customHeight="1" s="104">
      <c r="BA9728" s="201" t="n">
        <v>0</v>
      </c>
    </row>
    <row r="9729" ht="15" customHeight="1" s="104">
      <c r="BA9729" s="201" t="n">
        <v>0</v>
      </c>
    </row>
    <row r="9730" ht="15" customHeight="1" s="104">
      <c r="BA9730" s="201" t="n">
        <v>0</v>
      </c>
    </row>
    <row r="9731" ht="15" customHeight="1" s="104">
      <c r="BA9731" s="201" t="n">
        <v>0</v>
      </c>
    </row>
    <row r="9732" ht="15" customHeight="1" s="104">
      <c r="BA9732" s="201" t="n">
        <v>0</v>
      </c>
    </row>
    <row r="9733" ht="15" customHeight="1" s="104">
      <c r="BA9733" s="201" t="n">
        <v>0</v>
      </c>
    </row>
    <row r="9734" ht="15" customHeight="1" s="104">
      <c r="BA9734" s="201" t="n">
        <v>0</v>
      </c>
    </row>
    <row r="9735" ht="15" customHeight="1" s="104">
      <c r="BA9735" s="201" t="n">
        <v>0</v>
      </c>
    </row>
    <row r="9736" ht="15" customHeight="1" s="104">
      <c r="BA9736" s="201" t="n">
        <v>0</v>
      </c>
    </row>
    <row r="9737" ht="15" customHeight="1" s="104">
      <c r="BA9737" s="201" t="n">
        <v>0</v>
      </c>
    </row>
    <row r="9738" ht="15" customHeight="1" s="104">
      <c r="BA9738" s="201" t="n">
        <v>0</v>
      </c>
    </row>
    <row r="9739" ht="15" customHeight="1" s="104">
      <c r="BA9739" s="201" t="n">
        <v>0</v>
      </c>
    </row>
    <row r="9740" ht="15" customHeight="1" s="104">
      <c r="BA9740" s="201" t="n">
        <v>0</v>
      </c>
    </row>
    <row r="9741" ht="15" customHeight="1" s="104">
      <c r="BA9741" s="201" t="n">
        <v>0</v>
      </c>
    </row>
    <row r="9742" ht="15" customHeight="1" s="104">
      <c r="BA9742" s="201" t="n">
        <v>0</v>
      </c>
    </row>
    <row r="9743" ht="15" customHeight="1" s="104">
      <c r="BA9743" s="201" t="n">
        <v>0</v>
      </c>
    </row>
    <row r="9744" ht="15" customHeight="1" s="104">
      <c r="BA9744" s="201" t="n">
        <v>0</v>
      </c>
    </row>
    <row r="9745" ht="15" customHeight="1" s="104">
      <c r="BA9745" s="201" t="n">
        <v>0</v>
      </c>
    </row>
    <row r="9746" ht="15" customHeight="1" s="104">
      <c r="BA9746" s="201" t="n">
        <v>0</v>
      </c>
    </row>
    <row r="9747" ht="15" customHeight="1" s="104">
      <c r="BA9747" s="201" t="n">
        <v>0</v>
      </c>
    </row>
    <row r="9748" ht="15" customHeight="1" s="104">
      <c r="BA9748" s="201" t="n">
        <v>0</v>
      </c>
    </row>
    <row r="9749" ht="15" customHeight="1" s="104">
      <c r="BA9749" s="201" t="n">
        <v>0</v>
      </c>
    </row>
    <row r="9750" ht="15" customHeight="1" s="104">
      <c r="BA9750" s="201" t="n">
        <v>0</v>
      </c>
    </row>
    <row r="9751" ht="15" customHeight="1" s="104">
      <c r="BA9751" s="201" t="n">
        <v>0</v>
      </c>
    </row>
    <row r="9752" ht="15" customHeight="1" s="104">
      <c r="BA9752" s="201" t="n">
        <v>0</v>
      </c>
    </row>
    <row r="9753" ht="15" customHeight="1" s="104">
      <c r="BA9753" s="201" t="n">
        <v>0</v>
      </c>
    </row>
    <row r="9754" ht="15" customHeight="1" s="104">
      <c r="BA9754" s="201" t="n">
        <v>0</v>
      </c>
    </row>
    <row r="9755" ht="15" customHeight="1" s="104">
      <c r="BA9755" s="201" t="n">
        <v>0</v>
      </c>
    </row>
    <row r="9756" ht="15" customHeight="1" s="104">
      <c r="BA9756" s="201" t="n">
        <v>0</v>
      </c>
    </row>
    <row r="9757" ht="15" customHeight="1" s="104">
      <c r="BA9757" s="201" t="n">
        <v>0</v>
      </c>
    </row>
    <row r="9758" ht="15" customHeight="1" s="104">
      <c r="BA9758" s="201" t="n">
        <v>0</v>
      </c>
    </row>
    <row r="9759" ht="15" customHeight="1" s="104">
      <c r="BA9759" s="201" t="n">
        <v>0</v>
      </c>
    </row>
    <row r="9760" ht="15" customHeight="1" s="104">
      <c r="BA9760" s="201" t="n">
        <v>0</v>
      </c>
    </row>
    <row r="9761" ht="15" customHeight="1" s="104">
      <c r="BA9761" s="201" t="n">
        <v>0</v>
      </c>
    </row>
    <row r="9762" ht="15" customHeight="1" s="104">
      <c r="BA9762" s="201" t="n">
        <v>0</v>
      </c>
    </row>
    <row r="9763" ht="15" customHeight="1" s="104">
      <c r="BA9763" s="201" t="n">
        <v>0</v>
      </c>
    </row>
    <row r="9764" ht="15" customHeight="1" s="104">
      <c r="BA9764" s="201" t="n">
        <v>0</v>
      </c>
    </row>
    <row r="9765" ht="15" customHeight="1" s="104">
      <c r="BA9765" s="201" t="n">
        <v>0</v>
      </c>
    </row>
    <row r="9766" ht="15" customHeight="1" s="104">
      <c r="BA9766" s="201" t="n">
        <v>0</v>
      </c>
    </row>
    <row r="9767" ht="15" customHeight="1" s="104">
      <c r="BA9767" s="201" t="n">
        <v>0</v>
      </c>
    </row>
    <row r="9768" ht="15" customHeight="1" s="104">
      <c r="BA9768" s="201" t="n">
        <v>0</v>
      </c>
    </row>
    <row r="9769" ht="15" customHeight="1" s="104">
      <c r="BA9769" s="201" t="n">
        <v>0</v>
      </c>
    </row>
    <row r="9770" ht="15" customHeight="1" s="104">
      <c r="BA9770" s="201" t="n">
        <v>0</v>
      </c>
    </row>
    <row r="9771" ht="15" customHeight="1" s="104">
      <c r="BA9771" s="201" t="n">
        <v>0</v>
      </c>
    </row>
    <row r="9772" ht="15" customHeight="1" s="104">
      <c r="BA9772" s="201" t="n">
        <v>0</v>
      </c>
    </row>
    <row r="9773" ht="15" customHeight="1" s="104">
      <c r="BA9773" s="201" t="n">
        <v>0</v>
      </c>
    </row>
    <row r="9774" ht="15" customHeight="1" s="104">
      <c r="BA9774" s="201" t="n">
        <v>0</v>
      </c>
    </row>
    <row r="9775" ht="15" customHeight="1" s="104">
      <c r="BA9775" s="201" t="n">
        <v>0</v>
      </c>
    </row>
    <row r="9776" ht="15" customHeight="1" s="104">
      <c r="BA9776" s="201" t="n">
        <v>0</v>
      </c>
    </row>
    <row r="9777" ht="15" customHeight="1" s="104">
      <c r="BA9777" s="201" t="n">
        <v>0</v>
      </c>
    </row>
    <row r="9778" ht="15" customHeight="1" s="104">
      <c r="BA9778" s="201" t="n">
        <v>0</v>
      </c>
    </row>
    <row r="9779" ht="15" customHeight="1" s="104">
      <c r="BA9779" s="201" t="n">
        <v>0</v>
      </c>
    </row>
    <row r="9780" ht="15" customHeight="1" s="104">
      <c r="BA9780" s="201" t="n">
        <v>0</v>
      </c>
    </row>
    <row r="9781" ht="15" customHeight="1" s="104">
      <c r="BA9781" s="201" t="n">
        <v>0</v>
      </c>
    </row>
    <row r="9782" ht="15" customHeight="1" s="104">
      <c r="BA9782" s="201" t="n">
        <v>0</v>
      </c>
    </row>
    <row r="9783" ht="15" customHeight="1" s="104">
      <c r="BA9783" s="201" t="n">
        <v>0</v>
      </c>
    </row>
    <row r="9784" ht="15" customHeight="1" s="104">
      <c r="BA9784" s="201" t="n">
        <v>0</v>
      </c>
    </row>
    <row r="9785" ht="15" customHeight="1" s="104">
      <c r="BA9785" s="201" t="n">
        <v>0</v>
      </c>
    </row>
    <row r="9786" ht="15" customHeight="1" s="104">
      <c r="BA9786" s="201" t="n">
        <v>0</v>
      </c>
    </row>
    <row r="9787" ht="15" customHeight="1" s="104">
      <c r="BA9787" s="201" t="n">
        <v>0</v>
      </c>
    </row>
    <row r="9788" ht="15" customHeight="1" s="104">
      <c r="BA9788" s="201" t="n">
        <v>0</v>
      </c>
    </row>
    <row r="9789" ht="15" customHeight="1" s="104">
      <c r="BA9789" s="201" t="n">
        <v>0</v>
      </c>
    </row>
    <row r="9790" ht="15" customHeight="1" s="104">
      <c r="BA9790" s="201" t="n">
        <v>0</v>
      </c>
    </row>
    <row r="9791" ht="15" customHeight="1" s="104">
      <c r="BA9791" s="201" t="n">
        <v>0</v>
      </c>
    </row>
    <row r="9792" ht="15" customHeight="1" s="104">
      <c r="BA9792" s="201" t="n">
        <v>0</v>
      </c>
    </row>
    <row r="9793" ht="15" customHeight="1" s="104">
      <c r="BA9793" s="201" t="n">
        <v>0</v>
      </c>
    </row>
    <row r="9794" ht="15" customHeight="1" s="104">
      <c r="BA9794" s="201" t="n">
        <v>0</v>
      </c>
    </row>
    <row r="9795" ht="15" customHeight="1" s="104">
      <c r="BA9795" s="201" t="n">
        <v>0</v>
      </c>
    </row>
    <row r="9796" ht="15" customHeight="1" s="104">
      <c r="BA9796" s="201" t="n">
        <v>0</v>
      </c>
    </row>
    <row r="9797" ht="15" customHeight="1" s="104">
      <c r="BA9797" s="201" t="n">
        <v>0</v>
      </c>
    </row>
    <row r="9798" ht="15" customHeight="1" s="104">
      <c r="BA9798" s="201" t="n">
        <v>0</v>
      </c>
    </row>
    <row r="9799" ht="15" customHeight="1" s="104">
      <c r="BA9799" s="201" t="n">
        <v>0</v>
      </c>
    </row>
    <row r="9800" ht="15" customHeight="1" s="104">
      <c r="BA9800" s="201" t="n">
        <v>0</v>
      </c>
    </row>
    <row r="9801" ht="15" customHeight="1" s="104">
      <c r="BA9801" s="201" t="n">
        <v>0</v>
      </c>
    </row>
    <row r="9802" ht="15" customHeight="1" s="104">
      <c r="BA9802" s="201" t="n">
        <v>0</v>
      </c>
    </row>
    <row r="9803" ht="15" customHeight="1" s="104">
      <c r="BA9803" s="201" t="n">
        <v>0</v>
      </c>
    </row>
    <row r="9804" ht="15" customHeight="1" s="104">
      <c r="BA9804" s="201" t="n">
        <v>0</v>
      </c>
    </row>
    <row r="9805" ht="15" customHeight="1" s="104">
      <c r="BA9805" s="201" t="n">
        <v>0</v>
      </c>
    </row>
    <row r="9806" ht="15" customHeight="1" s="104">
      <c r="BA9806" s="201" t="n">
        <v>0</v>
      </c>
    </row>
    <row r="9807" ht="15" customHeight="1" s="104">
      <c r="BA9807" s="201" t="n">
        <v>0</v>
      </c>
    </row>
    <row r="9808" ht="15" customHeight="1" s="104">
      <c r="BA9808" s="201" t="n">
        <v>0</v>
      </c>
    </row>
    <row r="9809" ht="15" customHeight="1" s="104">
      <c r="BA9809" s="201" t="n">
        <v>0</v>
      </c>
    </row>
    <row r="9810" ht="15" customHeight="1" s="104">
      <c r="BA9810" s="201" t="n">
        <v>0</v>
      </c>
    </row>
    <row r="9811" ht="15" customHeight="1" s="104">
      <c r="BA9811" s="201" t="n">
        <v>0</v>
      </c>
    </row>
    <row r="9812" ht="15" customHeight="1" s="104">
      <c r="BA9812" s="201" t="n">
        <v>0</v>
      </c>
    </row>
    <row r="9813" ht="15" customHeight="1" s="104">
      <c r="BA9813" s="201" t="n">
        <v>0</v>
      </c>
    </row>
    <row r="9814" ht="15" customHeight="1" s="104">
      <c r="BA9814" s="201" t="n">
        <v>0</v>
      </c>
    </row>
    <row r="9815" ht="15" customHeight="1" s="104">
      <c r="BA9815" s="201" t="n">
        <v>0</v>
      </c>
    </row>
    <row r="9816" ht="15" customHeight="1" s="104">
      <c r="BA9816" s="201" t="n">
        <v>0</v>
      </c>
    </row>
    <row r="9817" ht="15" customHeight="1" s="104">
      <c r="BA9817" s="201" t="n">
        <v>0</v>
      </c>
    </row>
    <row r="9818" ht="15" customHeight="1" s="104">
      <c r="BA9818" s="201" t="n">
        <v>0</v>
      </c>
    </row>
    <row r="9819" ht="15" customHeight="1" s="104">
      <c r="BA9819" s="201" t="n">
        <v>0</v>
      </c>
    </row>
    <row r="9820" ht="15" customHeight="1" s="104">
      <c r="BA9820" s="201" t="n">
        <v>0</v>
      </c>
    </row>
    <row r="9821" ht="15" customHeight="1" s="104">
      <c r="BA9821" s="201" t="n">
        <v>0</v>
      </c>
    </row>
    <row r="9822" ht="15" customHeight="1" s="104">
      <c r="BA9822" s="201" t="n">
        <v>0</v>
      </c>
    </row>
    <row r="9823" ht="15" customHeight="1" s="104">
      <c r="BA9823" s="201" t="n">
        <v>0</v>
      </c>
    </row>
    <row r="9824" ht="15" customHeight="1" s="104">
      <c r="BA9824" s="201" t="n">
        <v>0</v>
      </c>
    </row>
    <row r="9825" ht="15" customHeight="1" s="104">
      <c r="BA9825" s="201" t="n">
        <v>0</v>
      </c>
    </row>
    <row r="9826" ht="15" customHeight="1" s="104">
      <c r="BA9826" s="201" t="n">
        <v>0</v>
      </c>
    </row>
    <row r="9827" ht="15" customHeight="1" s="104">
      <c r="BA9827" s="201" t="n">
        <v>0</v>
      </c>
    </row>
    <row r="9828" ht="15" customHeight="1" s="104">
      <c r="BA9828" s="201" t="n">
        <v>0</v>
      </c>
    </row>
    <row r="9829" ht="15" customHeight="1" s="104">
      <c r="BA9829" s="201" t="n">
        <v>0</v>
      </c>
    </row>
    <row r="9830" ht="15" customHeight="1" s="104">
      <c r="BA9830" s="201" t="n">
        <v>0</v>
      </c>
    </row>
    <row r="9831" ht="15" customHeight="1" s="104">
      <c r="BA9831" s="201" t="n">
        <v>0</v>
      </c>
    </row>
    <row r="9832" ht="15" customHeight="1" s="104">
      <c r="BA9832" s="201" t="n">
        <v>0</v>
      </c>
    </row>
    <row r="9833" ht="15" customHeight="1" s="104">
      <c r="BA9833" s="201" t="n">
        <v>0</v>
      </c>
    </row>
    <row r="9834" ht="15" customHeight="1" s="104">
      <c r="BA9834" s="201" t="n">
        <v>0</v>
      </c>
    </row>
    <row r="9835" ht="15" customHeight="1" s="104">
      <c r="BA9835" s="201" t="n">
        <v>0</v>
      </c>
    </row>
    <row r="9836" ht="15" customHeight="1" s="104">
      <c r="BA9836" s="201" t="n">
        <v>0</v>
      </c>
    </row>
    <row r="9837" ht="15" customHeight="1" s="104">
      <c r="BA9837" s="201" t="n">
        <v>0</v>
      </c>
    </row>
    <row r="9838" ht="15" customHeight="1" s="104">
      <c r="BA9838" s="201" t="n">
        <v>0</v>
      </c>
    </row>
    <row r="9839" ht="15" customHeight="1" s="104">
      <c r="BA9839" s="201" t="n">
        <v>0</v>
      </c>
    </row>
    <row r="9840" ht="15" customHeight="1" s="104">
      <c r="BA9840" s="201" t="n">
        <v>0</v>
      </c>
    </row>
    <row r="9841" ht="15" customHeight="1" s="104">
      <c r="BA9841" s="201" t="n">
        <v>0</v>
      </c>
    </row>
    <row r="9842" ht="15" customHeight="1" s="104">
      <c r="BA9842" s="201" t="n">
        <v>0</v>
      </c>
    </row>
    <row r="9843" ht="15" customHeight="1" s="104">
      <c r="BA9843" s="201" t="n">
        <v>0</v>
      </c>
    </row>
    <row r="9844" ht="15" customHeight="1" s="104">
      <c r="BA9844" s="201" t="n">
        <v>0</v>
      </c>
    </row>
    <row r="9845" ht="15" customHeight="1" s="104">
      <c r="BA9845" s="201" t="n">
        <v>0</v>
      </c>
    </row>
    <row r="9846" ht="15" customHeight="1" s="104">
      <c r="BA9846" s="201" t="n">
        <v>0</v>
      </c>
    </row>
    <row r="9847" ht="15" customHeight="1" s="104">
      <c r="BA9847" s="201" t="n">
        <v>0</v>
      </c>
    </row>
    <row r="9848" ht="15" customHeight="1" s="104">
      <c r="BA9848" s="201" t="n">
        <v>0</v>
      </c>
    </row>
    <row r="9849" ht="15" customHeight="1" s="104">
      <c r="BA9849" s="201" t="n">
        <v>0</v>
      </c>
    </row>
    <row r="9850" ht="15" customHeight="1" s="104">
      <c r="BA9850" s="201" t="n">
        <v>0</v>
      </c>
    </row>
    <row r="9851" ht="15" customHeight="1" s="104">
      <c r="BA9851" s="201" t="n">
        <v>0</v>
      </c>
    </row>
    <row r="9852" ht="15" customHeight="1" s="104">
      <c r="BA9852" s="201" t="n">
        <v>0</v>
      </c>
    </row>
    <row r="9853" ht="15" customHeight="1" s="104">
      <c r="BA9853" s="201" t="n">
        <v>0</v>
      </c>
    </row>
    <row r="9854" ht="15" customHeight="1" s="104">
      <c r="BA9854" s="201" t="n">
        <v>0</v>
      </c>
    </row>
    <row r="9855" ht="15" customHeight="1" s="104">
      <c r="BA9855" s="201" t="n">
        <v>0</v>
      </c>
    </row>
    <row r="9856" ht="15" customHeight="1" s="104">
      <c r="BA9856" s="201" t="n">
        <v>0</v>
      </c>
    </row>
    <row r="9857" ht="15" customHeight="1" s="104">
      <c r="BA9857" s="201" t="n">
        <v>0</v>
      </c>
    </row>
    <row r="9858" ht="15" customHeight="1" s="104">
      <c r="BA9858" s="201" t="n">
        <v>0</v>
      </c>
    </row>
    <row r="9859" ht="15" customHeight="1" s="104">
      <c r="BA9859" s="201" t="n">
        <v>0</v>
      </c>
    </row>
    <row r="9860" ht="15" customHeight="1" s="104">
      <c r="BA9860" s="201" t="n">
        <v>0</v>
      </c>
    </row>
    <row r="9861" ht="15" customHeight="1" s="104">
      <c r="BA9861" s="201" t="n">
        <v>0</v>
      </c>
    </row>
    <row r="9862" ht="15" customHeight="1" s="104">
      <c r="BA9862" s="201" t="n">
        <v>0</v>
      </c>
    </row>
    <row r="9863" ht="15" customHeight="1" s="104">
      <c r="BA9863" s="201" t="n">
        <v>0</v>
      </c>
    </row>
    <row r="9864" ht="15" customHeight="1" s="104">
      <c r="BA9864" s="201" t="n">
        <v>0</v>
      </c>
    </row>
    <row r="9865" ht="15" customHeight="1" s="104">
      <c r="BA9865" s="201" t="n">
        <v>0</v>
      </c>
    </row>
    <row r="9866" ht="15" customHeight="1" s="104">
      <c r="BA9866" s="201" t="n">
        <v>0</v>
      </c>
    </row>
    <row r="9867" ht="15" customHeight="1" s="104">
      <c r="BA9867" s="201" t="n">
        <v>0</v>
      </c>
    </row>
    <row r="9868" ht="15" customHeight="1" s="104">
      <c r="BA9868" s="201" t="n">
        <v>0</v>
      </c>
    </row>
    <row r="9869" ht="15" customHeight="1" s="104">
      <c r="BA9869" s="201" t="n">
        <v>0</v>
      </c>
    </row>
    <row r="9870" ht="15" customHeight="1" s="104">
      <c r="BA9870" s="201" t="n">
        <v>0</v>
      </c>
    </row>
    <row r="9871" ht="15" customHeight="1" s="104">
      <c r="BA9871" s="201" t="n">
        <v>0</v>
      </c>
    </row>
    <row r="9872" ht="15" customHeight="1" s="104">
      <c r="BA9872" s="201" t="n">
        <v>0</v>
      </c>
    </row>
    <row r="9873" ht="15" customHeight="1" s="104">
      <c r="BA9873" s="201" t="n">
        <v>0</v>
      </c>
    </row>
    <row r="9874" ht="15" customHeight="1" s="104">
      <c r="BA9874" s="201" t="n">
        <v>0</v>
      </c>
    </row>
    <row r="9875" ht="15" customHeight="1" s="104">
      <c r="BA9875" s="201" t="n">
        <v>0</v>
      </c>
    </row>
    <row r="9876" ht="15" customHeight="1" s="104">
      <c r="BA9876" s="201" t="n">
        <v>0</v>
      </c>
    </row>
    <row r="9877" ht="15" customHeight="1" s="104">
      <c r="BA9877" s="201" t="n">
        <v>0</v>
      </c>
    </row>
    <row r="9878" ht="15" customHeight="1" s="104">
      <c r="BA9878" s="201" t="n">
        <v>0</v>
      </c>
    </row>
    <row r="9879" ht="15" customHeight="1" s="104">
      <c r="BA9879" s="201" t="n">
        <v>0</v>
      </c>
    </row>
    <row r="9880" ht="15" customHeight="1" s="104">
      <c r="BA9880" s="201" t="n">
        <v>0</v>
      </c>
    </row>
    <row r="9881" ht="15" customHeight="1" s="104">
      <c r="BA9881" s="201" t="n">
        <v>0</v>
      </c>
    </row>
    <row r="9882" ht="15" customHeight="1" s="104">
      <c r="BA9882" s="201" t="n">
        <v>0</v>
      </c>
    </row>
    <row r="9883" ht="15" customHeight="1" s="104">
      <c r="BA9883" s="201" t="n">
        <v>0</v>
      </c>
    </row>
    <row r="9884" ht="15" customHeight="1" s="104">
      <c r="BA9884" s="201" t="n">
        <v>0</v>
      </c>
    </row>
    <row r="9885" ht="15" customHeight="1" s="104">
      <c r="BA9885" s="201" t="n">
        <v>0</v>
      </c>
    </row>
    <row r="9886" ht="15" customHeight="1" s="104">
      <c r="BA9886" s="201" t="n">
        <v>0</v>
      </c>
    </row>
    <row r="9887" ht="15" customHeight="1" s="104">
      <c r="BA9887" s="201" t="n">
        <v>0</v>
      </c>
    </row>
    <row r="9888" ht="15" customHeight="1" s="104">
      <c r="BA9888" s="201" t="n">
        <v>0</v>
      </c>
    </row>
    <row r="9889" ht="15" customHeight="1" s="104">
      <c r="BA9889" s="201" t="n">
        <v>0</v>
      </c>
    </row>
    <row r="9890" ht="15" customHeight="1" s="104">
      <c r="BA9890" s="201" t="n">
        <v>0</v>
      </c>
    </row>
    <row r="9891" ht="15" customHeight="1" s="104">
      <c r="BA9891" s="201" t="n">
        <v>0</v>
      </c>
    </row>
    <row r="9892" ht="15" customHeight="1" s="104">
      <c r="BA9892" s="201" t="n">
        <v>0</v>
      </c>
    </row>
    <row r="9893" ht="15" customHeight="1" s="104">
      <c r="BA9893" s="201" t="n">
        <v>0</v>
      </c>
    </row>
    <row r="9894" ht="15" customHeight="1" s="104">
      <c r="BA9894" s="201" t="n">
        <v>0</v>
      </c>
    </row>
    <row r="9895" ht="15" customHeight="1" s="104">
      <c r="BA9895" s="201" t="n">
        <v>0</v>
      </c>
    </row>
    <row r="9896" ht="15" customHeight="1" s="104">
      <c r="BA9896" s="201" t="n">
        <v>0</v>
      </c>
    </row>
    <row r="9897" ht="15" customHeight="1" s="104">
      <c r="BA9897" s="201" t="n">
        <v>0</v>
      </c>
    </row>
    <row r="9898" ht="15" customHeight="1" s="104">
      <c r="BA9898" s="201" t="n">
        <v>0</v>
      </c>
    </row>
    <row r="9899" ht="15" customHeight="1" s="104">
      <c r="BA9899" s="201" t="n">
        <v>0</v>
      </c>
    </row>
    <row r="9900" ht="15" customHeight="1" s="104">
      <c r="BA9900" s="201" t="n">
        <v>0</v>
      </c>
    </row>
    <row r="9901" ht="15" customHeight="1" s="104">
      <c r="BA9901" s="201" t="n">
        <v>0</v>
      </c>
    </row>
    <row r="9902" ht="15" customHeight="1" s="104">
      <c r="BA9902" s="201" t="n">
        <v>0</v>
      </c>
    </row>
    <row r="9903" ht="15" customHeight="1" s="104">
      <c r="BA9903" s="201" t="n">
        <v>0</v>
      </c>
    </row>
    <row r="9904" ht="15" customHeight="1" s="104">
      <c r="BA9904" s="201" t="n">
        <v>0</v>
      </c>
    </row>
    <row r="9905" ht="15" customHeight="1" s="104">
      <c r="BA9905" s="201" t="n">
        <v>0</v>
      </c>
    </row>
    <row r="9906" ht="15" customHeight="1" s="104">
      <c r="BA9906" s="201" t="n">
        <v>0</v>
      </c>
    </row>
    <row r="9907" ht="15" customHeight="1" s="104">
      <c r="BA9907" s="201" t="n">
        <v>0</v>
      </c>
    </row>
    <row r="9908" ht="15" customHeight="1" s="104">
      <c r="BA9908" s="201" t="n">
        <v>0</v>
      </c>
    </row>
    <row r="9909" ht="15" customHeight="1" s="104">
      <c r="BA9909" s="201" t="n">
        <v>0</v>
      </c>
    </row>
    <row r="9910" ht="15" customHeight="1" s="104">
      <c r="BA9910" s="201" t="n">
        <v>0</v>
      </c>
    </row>
    <row r="9911" ht="15" customHeight="1" s="104">
      <c r="BA9911" s="201" t="n">
        <v>0</v>
      </c>
    </row>
    <row r="9912" ht="15" customHeight="1" s="104">
      <c r="BA9912" s="201" t="n">
        <v>0</v>
      </c>
    </row>
    <row r="9913" ht="15" customHeight="1" s="104">
      <c r="BA9913" s="201" t="n">
        <v>0</v>
      </c>
    </row>
    <row r="9914" ht="15" customHeight="1" s="104">
      <c r="BA9914" s="201" t="n">
        <v>0</v>
      </c>
    </row>
    <row r="9915" ht="15" customHeight="1" s="104">
      <c r="BA9915" s="201" t="n">
        <v>0</v>
      </c>
    </row>
    <row r="9916" ht="15" customHeight="1" s="104">
      <c r="BA9916" s="201" t="n">
        <v>0</v>
      </c>
    </row>
    <row r="9917" ht="15" customHeight="1" s="104">
      <c r="BA9917" s="201" t="n">
        <v>0</v>
      </c>
    </row>
    <row r="9918" ht="15" customHeight="1" s="104">
      <c r="BA9918" s="201" t="n">
        <v>0</v>
      </c>
    </row>
    <row r="9919" ht="15" customHeight="1" s="104">
      <c r="BA9919" s="201" t="n">
        <v>0</v>
      </c>
    </row>
    <row r="9920" ht="15" customHeight="1" s="104">
      <c r="BA9920" s="201" t="n">
        <v>0</v>
      </c>
    </row>
    <row r="9921" ht="15" customHeight="1" s="104">
      <c r="BA9921" s="201" t="n">
        <v>0</v>
      </c>
    </row>
    <row r="9922" ht="15" customHeight="1" s="104">
      <c r="BA9922" s="201" t="n">
        <v>0</v>
      </c>
    </row>
    <row r="9923" ht="15" customHeight="1" s="104">
      <c r="BA9923" s="201" t="n">
        <v>0</v>
      </c>
    </row>
    <row r="9924" ht="15" customHeight="1" s="104">
      <c r="BA9924" s="201" t="n">
        <v>0</v>
      </c>
    </row>
    <row r="9925" ht="15" customHeight="1" s="104">
      <c r="BA9925" s="201" t="n">
        <v>0</v>
      </c>
    </row>
    <row r="9926" ht="15" customHeight="1" s="104">
      <c r="BA9926" s="201" t="n">
        <v>0</v>
      </c>
    </row>
    <row r="9927" ht="15" customHeight="1" s="104">
      <c r="BA9927" s="201" t="n">
        <v>0</v>
      </c>
    </row>
    <row r="9928" ht="15" customHeight="1" s="104">
      <c r="BA9928" s="201" t="n">
        <v>0</v>
      </c>
    </row>
    <row r="9929" ht="15" customHeight="1" s="104">
      <c r="BA9929" s="201" t="n">
        <v>0</v>
      </c>
    </row>
    <row r="9930" ht="15" customHeight="1" s="104">
      <c r="BA9930" s="201" t="n">
        <v>0</v>
      </c>
    </row>
    <row r="9931" ht="15" customHeight="1" s="104">
      <c r="BA9931" s="201" t="n">
        <v>0</v>
      </c>
    </row>
    <row r="9932" ht="15" customHeight="1" s="104">
      <c r="BA9932" s="201" t="n">
        <v>0</v>
      </c>
    </row>
    <row r="9933" ht="15" customHeight="1" s="104">
      <c r="BA9933" s="201" t="n">
        <v>0</v>
      </c>
    </row>
    <row r="9934" ht="15" customHeight="1" s="104">
      <c r="BA9934" s="201" t="n">
        <v>0</v>
      </c>
    </row>
    <row r="9935" ht="15" customHeight="1" s="104">
      <c r="BA9935" s="201" t="n">
        <v>0</v>
      </c>
    </row>
    <row r="9936" ht="15" customHeight="1" s="104">
      <c r="BA9936" s="201" t="n">
        <v>0</v>
      </c>
    </row>
    <row r="9937" ht="15" customHeight="1" s="104">
      <c r="BA9937" s="201" t="n">
        <v>0</v>
      </c>
    </row>
    <row r="9938" ht="15" customHeight="1" s="104">
      <c r="BA9938" s="201" t="n">
        <v>0</v>
      </c>
    </row>
    <row r="9939" ht="15" customHeight="1" s="104">
      <c r="BA9939" s="201" t="n">
        <v>0</v>
      </c>
    </row>
    <row r="9940" ht="15" customHeight="1" s="104">
      <c r="BA9940" s="201" t="n">
        <v>0</v>
      </c>
    </row>
    <row r="9941" ht="15" customHeight="1" s="104">
      <c r="BA9941" s="201" t="n">
        <v>0</v>
      </c>
    </row>
    <row r="9942" ht="15" customHeight="1" s="104">
      <c r="BA9942" s="201" t="n">
        <v>0</v>
      </c>
    </row>
    <row r="9943" ht="15" customHeight="1" s="104">
      <c r="BA9943" s="201" t="n">
        <v>0</v>
      </c>
    </row>
    <row r="9944" ht="15" customHeight="1" s="104">
      <c r="BA9944" s="201" t="n">
        <v>0</v>
      </c>
    </row>
    <row r="9945" ht="15" customHeight="1" s="104">
      <c r="BA9945" s="201" t="n">
        <v>0</v>
      </c>
    </row>
    <row r="9946" ht="15" customHeight="1" s="104">
      <c r="BA9946" s="201" t="n">
        <v>0</v>
      </c>
    </row>
    <row r="9947" ht="15" customHeight="1" s="104">
      <c r="BA9947" s="201" t="n">
        <v>0</v>
      </c>
    </row>
    <row r="9948" ht="15" customHeight="1" s="104">
      <c r="BA9948" s="201" t="n">
        <v>0</v>
      </c>
    </row>
    <row r="9949" ht="15" customHeight="1" s="104">
      <c r="BA9949" s="201" t="n">
        <v>0</v>
      </c>
    </row>
    <row r="9950" ht="15" customHeight="1" s="104">
      <c r="BA9950" s="201" t="n">
        <v>0</v>
      </c>
    </row>
    <row r="9951" ht="15" customHeight="1" s="104">
      <c r="BA9951" s="201" t="n">
        <v>0</v>
      </c>
    </row>
    <row r="9952" ht="15" customHeight="1" s="104">
      <c r="BA9952" s="201" t="n">
        <v>0</v>
      </c>
    </row>
    <row r="9953" ht="15" customHeight="1" s="104">
      <c r="BA9953" s="201" t="n">
        <v>0</v>
      </c>
    </row>
    <row r="9954" ht="15" customHeight="1" s="104">
      <c r="BA9954" s="201" t="n">
        <v>0</v>
      </c>
    </row>
    <row r="9955" ht="15" customHeight="1" s="104">
      <c r="BA9955" s="201" t="n">
        <v>0</v>
      </c>
    </row>
    <row r="9956" ht="15" customHeight="1" s="104">
      <c r="BA9956" s="201" t="n">
        <v>0</v>
      </c>
    </row>
    <row r="9957" ht="15" customHeight="1" s="104">
      <c r="BA9957" s="201" t="n">
        <v>0</v>
      </c>
    </row>
    <row r="9958" ht="15" customHeight="1" s="104">
      <c r="BA9958" s="201" t="n">
        <v>0</v>
      </c>
    </row>
    <row r="9959" ht="15" customHeight="1" s="104">
      <c r="BA9959" s="201" t="n">
        <v>0</v>
      </c>
    </row>
    <row r="9960" ht="15" customHeight="1" s="104">
      <c r="BA9960" s="201" t="n">
        <v>0</v>
      </c>
    </row>
    <row r="9961" ht="15" customHeight="1" s="104">
      <c r="BA9961" s="201" t="n">
        <v>0</v>
      </c>
    </row>
    <row r="9962" ht="15" customHeight="1" s="104">
      <c r="BA9962" s="201" t="n">
        <v>0</v>
      </c>
    </row>
    <row r="9963" ht="15" customHeight="1" s="104">
      <c r="BA9963" s="201" t="n">
        <v>0</v>
      </c>
    </row>
    <row r="9964" ht="15" customHeight="1" s="104">
      <c r="BA9964" s="201" t="n">
        <v>0</v>
      </c>
    </row>
    <row r="9965" ht="15" customHeight="1" s="104">
      <c r="BA9965" s="201" t="n">
        <v>0</v>
      </c>
    </row>
    <row r="9966" ht="15" customHeight="1" s="104">
      <c r="BA9966" s="201" t="n">
        <v>0</v>
      </c>
    </row>
    <row r="9967" ht="15" customHeight="1" s="104">
      <c r="BA9967" s="201" t="n">
        <v>0</v>
      </c>
    </row>
  </sheetData>
  <mergeCells count="8">
    <mergeCell ref="A1:H1"/>
    <mergeCell ref="AD4:AP4"/>
    <mergeCell ref="A4:D4"/>
    <mergeCell ref="A2:H2"/>
    <mergeCell ref="E4:Q4"/>
    <mergeCell ref="R4:AC4"/>
    <mergeCell ref="AZ4:BE4"/>
    <mergeCell ref="AQ4:AY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4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103" min="1" max="2"/>
    <col width="18" customWidth="1" style="103" min="3" max="3"/>
    <col width="24" customWidth="1" style="103" min="4" max="4"/>
    <col width="15" customWidth="1" style="103" min="5" max="13"/>
  </cols>
  <sheetData>
    <row r="1" ht="27.75" customHeight="1" s="104">
      <c r="A1" s="182" t="inlineStr">
        <is>
          <t>MAIN CATEGORY EXPENSES · RAW</t>
        </is>
      </c>
    </row>
    <row r="2" ht="15" customHeight="1" s="104">
      <c r="A2" s="107" t="inlineStr">
        <is>
          <t>Soft-blue cells = where you type new data</t>
        </is>
      </c>
    </row>
    <row r="3" ht="3.75" customHeight="1" s="104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5" ht="30" customHeight="1" s="104">
      <c r="A5" s="203" t="inlineStr">
        <is>
          <t>DATE</t>
        </is>
      </c>
      <c r="B5" s="203" t="inlineStr">
        <is>
          <t xml:space="preserve"> </t>
        </is>
      </c>
      <c r="C5" s="203" t="inlineStr">
        <is>
          <t>PRODUCT / SERVICE</t>
        </is>
      </c>
      <c r="D5" s="203" t="inlineStr">
        <is>
          <t>MAIN CATEGORY</t>
        </is>
      </c>
      <c r="E5" s="203" t="inlineStr">
        <is>
          <t>AMOUNT (USD)</t>
        </is>
      </c>
      <c r="F5" s="203" t="inlineStr">
        <is>
          <t>PERCENTAGE</t>
        </is>
      </c>
      <c r="G5" s="203" t="inlineStr">
        <is>
          <t>new formula</t>
        </is>
      </c>
      <c r="H5" s="203" t="inlineStr">
        <is>
          <t>MAIN CATEGORY EXPENSES (UDS)</t>
        </is>
      </c>
      <c r="I5" s="203" t="inlineStr">
        <is>
          <t>Data From:</t>
        </is>
      </c>
      <c r="J5" s="203" t="inlineStr">
        <is>
          <t>DATE COVERAGE</t>
        </is>
      </c>
      <c r="K5" s="203" t="inlineStr">
        <is>
          <t>M</t>
        </is>
      </c>
      <c r="L5" s="203" t="inlineStr">
        <is>
          <t>Y</t>
        </is>
      </c>
      <c r="M5" s="203" t="inlineStr">
        <is>
          <t>Y2</t>
        </is>
      </c>
    </row>
    <row r="6" ht="15" customHeight="1" s="104">
      <c r="A6" s="194" t="n">
        <v>45688</v>
      </c>
      <c r="B6" s="195" t="inlineStr">
        <is>
          <t>Amazon US</t>
        </is>
      </c>
      <c r="D6" s="195" t="inlineStr">
        <is>
          <t>Promo</t>
        </is>
      </c>
      <c r="E6" s="196" t="n">
        <v>-667.38</v>
      </c>
      <c r="F6" s="204" t="n">
        <v>-0.007458664028</v>
      </c>
      <c r="G6" s="204" t="n">
        <v>-0.007458664028</v>
      </c>
      <c r="H6" s="196" t="n">
        <v>-667.38</v>
      </c>
      <c r="J6" s="200" t="inlineStr">
        <is>
          <t>JAN 1 - JAN 31, 2025</t>
        </is>
      </c>
      <c r="K6" s="200" t="inlineStr">
        <is>
          <t>Jan</t>
        </is>
      </c>
      <c r="L6" s="199" t="n">
        <v>2025</v>
      </c>
      <c r="M6" s="199" t="n">
        <v>2025</v>
      </c>
    </row>
    <row r="7" ht="15" customHeight="1" s="104">
      <c r="A7" s="194" t="n">
        <v>45688</v>
      </c>
      <c r="B7" s="195" t="inlineStr">
        <is>
          <t>Amazon US</t>
        </is>
      </c>
      <c r="D7" s="195" t="inlineStr">
        <is>
          <t>Advertising cost</t>
        </is>
      </c>
      <c r="E7" s="196" t="n">
        <v>-8666.290000000001</v>
      </c>
      <c r="F7" s="204" t="n">
        <v>-0.09685478359999999</v>
      </c>
      <c r="G7" s="204" t="n">
        <v>-0.09685478359999999</v>
      </c>
      <c r="H7" s="196" t="n">
        <v>-8666.290000000001</v>
      </c>
      <c r="J7" s="200" t="inlineStr">
        <is>
          <t>JAN 1 - JAN 31, 2025</t>
        </is>
      </c>
      <c r="K7" s="200" t="inlineStr">
        <is>
          <t>Jan</t>
        </is>
      </c>
      <c r="L7" s="199" t="n">
        <v>2025</v>
      </c>
      <c r="M7" s="199" t="n">
        <v>2025</v>
      </c>
    </row>
    <row r="8" ht="15" customHeight="1" s="104">
      <c r="A8" s="194" t="n">
        <v>45688</v>
      </c>
      <c r="B8" s="195" t="inlineStr">
        <is>
          <t>Amazon US</t>
        </is>
      </c>
      <c r="D8" s="195" t="inlineStr">
        <is>
          <t>Refund cost</t>
        </is>
      </c>
      <c r="E8" s="196" t="n">
        <v>-7554.55</v>
      </c>
      <c r="F8" s="204" t="n">
        <v>-0.08442993545999999</v>
      </c>
      <c r="G8" s="204" t="n">
        <v>-0.08442993545999999</v>
      </c>
      <c r="H8" s="196" t="n">
        <v>-7554.55</v>
      </c>
      <c r="J8" s="200" t="inlineStr">
        <is>
          <t>JAN 1 - JAN 31, 2025</t>
        </is>
      </c>
      <c r="K8" s="200" t="inlineStr">
        <is>
          <t>Jan</t>
        </is>
      </c>
      <c r="L8" s="199" t="n">
        <v>2025</v>
      </c>
      <c r="M8" s="199" t="n">
        <v>2025</v>
      </c>
    </row>
    <row r="9" ht="15" customHeight="1" s="104">
      <c r="A9" s="194" t="n">
        <v>45688</v>
      </c>
      <c r="B9" s="195" t="inlineStr">
        <is>
          <t>Amazon US</t>
        </is>
      </c>
      <c r="D9" s="195" t="inlineStr">
        <is>
          <t>Amazon fees</t>
        </is>
      </c>
      <c r="E9" s="196" t="n">
        <v>-34261.86</v>
      </c>
      <c r="F9" s="204" t="n">
        <v>-0.3829118384</v>
      </c>
      <c r="G9" s="204" t="n">
        <v>-0.3829118384</v>
      </c>
      <c r="H9" s="196" t="n">
        <v>-34261.86</v>
      </c>
      <c r="J9" s="200" t="inlineStr">
        <is>
          <t>JAN 1 - JAN 31, 2025</t>
        </is>
      </c>
      <c r="K9" s="200" t="inlineStr">
        <is>
          <t>Jan</t>
        </is>
      </c>
      <c r="L9" s="199" t="n">
        <v>2025</v>
      </c>
      <c r="M9" s="199" t="n">
        <v>2025</v>
      </c>
    </row>
    <row r="10" ht="15" customHeight="1" s="104">
      <c r="A10" s="194" t="n">
        <v>45688</v>
      </c>
      <c r="B10" s="195" t="inlineStr">
        <is>
          <t>Amazon US</t>
        </is>
      </c>
      <c r="D10" s="195" t="inlineStr">
        <is>
          <t>Cost of goods</t>
        </is>
      </c>
      <c r="E10" s="196" t="n">
        <v>-25150.41</v>
      </c>
      <c r="F10" s="204" t="n">
        <v>-0.2810819299</v>
      </c>
      <c r="G10" s="204" t="n">
        <v>-0.2810819299</v>
      </c>
      <c r="H10" s="196" t="n">
        <v>-25150.41</v>
      </c>
      <c r="J10" s="200" t="inlineStr">
        <is>
          <t>JAN 1 - JAN 31, 2025</t>
        </is>
      </c>
      <c r="K10" s="200" t="inlineStr">
        <is>
          <t>Jan</t>
        </is>
      </c>
      <c r="L10" s="199" t="n">
        <v>2025</v>
      </c>
      <c r="M10" s="199" t="n">
        <v>2025</v>
      </c>
    </row>
    <row r="11" ht="15" customHeight="1" s="104">
      <c r="A11" s="194" t="n">
        <v>45688</v>
      </c>
      <c r="B11" s="195" t="inlineStr">
        <is>
          <t>Amazon CA</t>
        </is>
      </c>
      <c r="D11" s="195" t="inlineStr">
        <is>
          <t>Promo</t>
        </is>
      </c>
      <c r="E11" s="198" t="n">
        <v>0</v>
      </c>
      <c r="F11" s="201" t="n">
        <v>0</v>
      </c>
      <c r="G11" s="201" t="n">
        <v>0</v>
      </c>
      <c r="H11" s="198" t="n">
        <v>0</v>
      </c>
      <c r="J11" s="200" t="inlineStr">
        <is>
          <t>JAN 1 - JAN 31, 2025</t>
        </is>
      </c>
      <c r="K11" s="200" t="inlineStr">
        <is>
          <t>Jan</t>
        </is>
      </c>
      <c r="L11" s="199" t="n">
        <v>2025</v>
      </c>
      <c r="M11" s="199" t="n">
        <v>2025</v>
      </c>
    </row>
    <row r="12" ht="15" customHeight="1" s="104">
      <c r="A12" s="194" t="n">
        <v>45688</v>
      </c>
      <c r="B12" s="195" t="inlineStr">
        <is>
          <t>Amazon CA</t>
        </is>
      </c>
      <c r="D12" s="195" t="inlineStr">
        <is>
          <t>Advertising cost</t>
        </is>
      </c>
      <c r="E12" s="196" t="n">
        <v>-111.34</v>
      </c>
      <c r="F12" s="204" t="n">
        <v>-0.05998049853</v>
      </c>
      <c r="G12" s="204" t="n">
        <v>-0.05998049853</v>
      </c>
      <c r="H12" s="196" t="n">
        <v>-111.34</v>
      </c>
      <c r="J12" s="200" t="inlineStr">
        <is>
          <t>JAN 1 - JAN 31, 2025</t>
        </is>
      </c>
      <c r="K12" s="200" t="inlineStr">
        <is>
          <t>Jan</t>
        </is>
      </c>
      <c r="L12" s="199" t="n">
        <v>2025</v>
      </c>
      <c r="M12" s="199" t="n">
        <v>2025</v>
      </c>
    </row>
    <row r="13" ht="15" customHeight="1" s="104">
      <c r="A13" s="194" t="n">
        <v>45688</v>
      </c>
      <c r="B13" s="195" t="inlineStr">
        <is>
          <t>Amazon CA</t>
        </is>
      </c>
      <c r="D13" s="195" t="inlineStr">
        <is>
          <t>Refund cost</t>
        </is>
      </c>
      <c r="E13" s="196" t="n">
        <v>-294.35</v>
      </c>
      <c r="F13" s="204" t="n">
        <v>-0.1585706821</v>
      </c>
      <c r="G13" s="204" t="n">
        <v>-0.1585706821</v>
      </c>
      <c r="H13" s="196" t="n">
        <v>-294.35</v>
      </c>
      <c r="J13" s="200" t="inlineStr">
        <is>
          <t>JAN 1 - JAN 31, 2025</t>
        </is>
      </c>
      <c r="K13" s="200" t="inlineStr">
        <is>
          <t>Jan</t>
        </is>
      </c>
      <c r="L13" s="199" t="n">
        <v>2025</v>
      </c>
      <c r="M13" s="199" t="n">
        <v>2025</v>
      </c>
    </row>
    <row r="14" ht="15" customHeight="1" s="104">
      <c r="A14" s="194" t="n">
        <v>45688</v>
      </c>
      <c r="B14" s="195" t="inlineStr">
        <is>
          <t>Amazon CA</t>
        </is>
      </c>
      <c r="D14" s="195" t="inlineStr">
        <is>
          <t>Amazon fees</t>
        </is>
      </c>
      <c r="E14" s="196" t="n">
        <v>-927.99</v>
      </c>
      <c r="F14" s="204" t="n">
        <v>-0.4999218864</v>
      </c>
      <c r="G14" s="204" t="n">
        <v>-0.4999218864</v>
      </c>
      <c r="H14" s="196" t="n">
        <v>-927.99</v>
      </c>
      <c r="J14" s="200" t="inlineStr">
        <is>
          <t>JAN 1 - JAN 31, 2025</t>
        </is>
      </c>
      <c r="K14" s="200" t="inlineStr">
        <is>
          <t>Jan</t>
        </is>
      </c>
      <c r="L14" s="199" t="n">
        <v>2025</v>
      </c>
      <c r="M14" s="199" t="n">
        <v>2025</v>
      </c>
    </row>
    <row r="15" ht="15" customHeight="1" s="104">
      <c r="A15" s="194" t="n">
        <v>45688</v>
      </c>
      <c r="B15" s="195" t="inlineStr">
        <is>
          <t>Amazon CA</t>
        </is>
      </c>
      <c r="D15" s="195" t="inlineStr">
        <is>
          <t>Cost of goods</t>
        </is>
      </c>
      <c r="E15" s="196" t="n">
        <v>-234.18</v>
      </c>
      <c r="F15" s="204" t="n">
        <v>-0.1261562165</v>
      </c>
      <c r="G15" s="204" t="n">
        <v>-0.1261562165</v>
      </c>
      <c r="H15" s="196" t="n">
        <v>-234.18</v>
      </c>
      <c r="J15" s="200" t="inlineStr">
        <is>
          <t>JAN 1 - JAN 31, 2025</t>
        </is>
      </c>
      <c r="K15" s="200" t="inlineStr">
        <is>
          <t>Jan</t>
        </is>
      </c>
      <c r="L15" s="199" t="n">
        <v>2025</v>
      </c>
      <c r="M15" s="199" t="n">
        <v>2025</v>
      </c>
    </row>
    <row r="16" ht="15" customHeight="1" s="104">
      <c r="A16" s="194" t="n">
        <v>45688</v>
      </c>
      <c r="B16" s="195" t="inlineStr">
        <is>
          <t>Tiktok</t>
        </is>
      </c>
      <c r="D16" s="195" t="inlineStr">
        <is>
          <t>Tiktok Shipping</t>
        </is>
      </c>
      <c r="E16" s="196" t="n">
        <v>-191.18</v>
      </c>
      <c r="F16" s="204" t="n">
        <v>-0.02288827033</v>
      </c>
      <c r="G16" s="204" t="n">
        <v>-0.02288827033</v>
      </c>
      <c r="H16" s="196" t="n">
        <v>-191.18</v>
      </c>
      <c r="J16" s="200" t="inlineStr">
        <is>
          <t>JAN 1 - JAN 31, 2025</t>
        </is>
      </c>
      <c r="K16" s="200" t="inlineStr">
        <is>
          <t>Jan</t>
        </is>
      </c>
      <c r="L16" s="199" t="n">
        <v>2025</v>
      </c>
      <c r="M16" s="199" t="n">
        <v>2025</v>
      </c>
    </row>
    <row r="17" ht="15" customHeight="1" s="104">
      <c r="A17" s="194" t="n">
        <v>45688</v>
      </c>
      <c r="B17" s="195" t="inlineStr">
        <is>
          <t>Tiktok</t>
        </is>
      </c>
      <c r="D17" s="195" t="inlineStr">
        <is>
          <t>MCF Shipping fees</t>
        </is>
      </c>
      <c r="E17" s="196" t="n">
        <v>-2398.62</v>
      </c>
      <c r="F17" s="204" t="n">
        <v>-0.2871653048</v>
      </c>
      <c r="G17" s="204" t="n">
        <v>-0.2871653048</v>
      </c>
      <c r="H17" s="196" t="n">
        <v>-2398.62</v>
      </c>
      <c r="J17" s="200" t="inlineStr">
        <is>
          <t>JAN 1 - JAN 31, 2025</t>
        </is>
      </c>
      <c r="K17" s="200" t="inlineStr">
        <is>
          <t>Jan</t>
        </is>
      </c>
      <c r="L17" s="199" t="n">
        <v>2025</v>
      </c>
      <c r="M17" s="199" t="n">
        <v>2025</v>
      </c>
    </row>
    <row r="18" ht="15" customHeight="1" s="104">
      <c r="A18" s="194" t="n">
        <v>45688</v>
      </c>
      <c r="B18" s="195" t="inlineStr">
        <is>
          <t>Tiktok</t>
        </is>
      </c>
      <c r="D18" s="195" t="inlineStr">
        <is>
          <t>Fees</t>
        </is>
      </c>
      <c r="E18" s="196" t="n">
        <v>-30.8</v>
      </c>
      <c r="F18" s="204" t="n">
        <v>-0.003687408339</v>
      </c>
      <c r="G18" s="204" t="n">
        <v>-0.003687408339</v>
      </c>
      <c r="H18" s="196" t="n">
        <v>-30.8</v>
      </c>
      <c r="J18" s="200" t="inlineStr">
        <is>
          <t>JAN 1 - JAN 31, 2025</t>
        </is>
      </c>
      <c r="K18" s="200" t="inlineStr">
        <is>
          <t>Jan</t>
        </is>
      </c>
      <c r="L18" s="199" t="n">
        <v>2025</v>
      </c>
      <c r="M18" s="199" t="n">
        <v>2025</v>
      </c>
    </row>
    <row r="19" ht="15" customHeight="1" s="104">
      <c r="A19" s="194" t="n">
        <v>45688</v>
      </c>
      <c r="B19" s="195" t="inlineStr">
        <is>
          <t>Tiktok</t>
        </is>
      </c>
      <c r="D19" s="195" t="inlineStr">
        <is>
          <t>Referral fee</t>
        </is>
      </c>
      <c r="E19" s="196" t="n">
        <v>-511.28</v>
      </c>
      <c r="F19" s="204" t="n">
        <v>-0.06121097842</v>
      </c>
      <c r="H19" s="196" t="n">
        <v>-511.28</v>
      </c>
      <c r="J19" s="200" t="inlineStr">
        <is>
          <t>JAN 1 - JAN 31, 2025</t>
        </is>
      </c>
      <c r="K19" s="200" t="inlineStr">
        <is>
          <t>Jan</t>
        </is>
      </c>
      <c r="L19" s="199" t="n">
        <v>2025</v>
      </c>
      <c r="M19" s="199" t="n">
        <v>2025</v>
      </c>
    </row>
    <row r="20" ht="15" customHeight="1" s="104">
      <c r="A20" s="194" t="n">
        <v>45688</v>
      </c>
      <c r="B20" s="195" t="inlineStr">
        <is>
          <t>Tiktok</t>
        </is>
      </c>
      <c r="D20" s="195" t="inlineStr">
        <is>
          <t>Affiliate commission</t>
        </is>
      </c>
      <c r="E20" s="196" t="n">
        <v>-883.5</v>
      </c>
      <c r="F20" s="204" t="n">
        <v>-0.1057735476</v>
      </c>
      <c r="H20" s="196" t="n">
        <v>-883.5</v>
      </c>
      <c r="J20" s="200" t="inlineStr">
        <is>
          <t>JAN 1 - JAN 31, 2025</t>
        </is>
      </c>
      <c r="K20" s="200" t="inlineStr">
        <is>
          <t>Jan</t>
        </is>
      </c>
      <c r="L20" s="199" t="n">
        <v>2025</v>
      </c>
      <c r="M20" s="199" t="n">
        <v>2025</v>
      </c>
    </row>
    <row r="21" ht="15" customHeight="1" s="104">
      <c r="A21" s="194" t="n">
        <v>45688</v>
      </c>
      <c r="B21" s="195" t="inlineStr">
        <is>
          <t>Tiktok</t>
        </is>
      </c>
      <c r="D21" s="195" t="inlineStr">
        <is>
          <t xml:space="preserve">Adjustments
</t>
        </is>
      </c>
      <c r="E21" s="198" t="n">
        <v>0</v>
      </c>
      <c r="F21" s="201" t="n">
        <v>0</v>
      </c>
      <c r="G21" s="201" t="n">
        <v>0</v>
      </c>
      <c r="H21" s="198" t="n">
        <v>0</v>
      </c>
      <c r="J21" s="200" t="inlineStr">
        <is>
          <t>JAN 1 - JAN 31, 2025</t>
        </is>
      </c>
      <c r="K21" s="200" t="inlineStr">
        <is>
          <t>Jan</t>
        </is>
      </c>
      <c r="L21" s="199" t="n">
        <v>2025</v>
      </c>
      <c r="M21" s="199" t="n">
        <v>2025</v>
      </c>
    </row>
    <row r="22" ht="15" customHeight="1" s="104">
      <c r="A22" s="194" t="n">
        <v>45688</v>
      </c>
      <c r="B22" s="195" t="inlineStr">
        <is>
          <t>Tiktok</t>
        </is>
      </c>
      <c r="D22" s="195" t="inlineStr">
        <is>
          <t>Cost of goods</t>
        </is>
      </c>
      <c r="E22" s="196" t="n">
        <v>-2983.95</v>
      </c>
      <c r="F22" s="204" t="n">
        <v>-0.357241627</v>
      </c>
      <c r="G22" s="204" t="n">
        <v>-0.357241627</v>
      </c>
      <c r="H22" s="196" t="n">
        <v>-2983.95</v>
      </c>
      <c r="J22" s="200" t="inlineStr">
        <is>
          <t>JAN 1 - JAN 31, 2025</t>
        </is>
      </c>
      <c r="K22" s="200" t="inlineStr">
        <is>
          <t>Jan</t>
        </is>
      </c>
      <c r="L22" s="199" t="n">
        <v>2025</v>
      </c>
      <c r="M22" s="199" t="n">
        <v>2025</v>
      </c>
    </row>
    <row r="23" ht="15" customHeight="1" s="104">
      <c r="A23" s="194" t="n">
        <v>45688</v>
      </c>
      <c r="B23" s="195" t="inlineStr">
        <is>
          <t>Shopify</t>
        </is>
      </c>
      <c r="E23" s="198" t="n">
        <v>0</v>
      </c>
      <c r="F23" s="201" t="n">
        <v>0</v>
      </c>
      <c r="G23" s="201" t="n">
        <v>0</v>
      </c>
      <c r="H23" s="198" t="n">
        <v>0</v>
      </c>
      <c r="J23" s="200" t="inlineStr">
        <is>
          <t>JAN 1 - JAN 31, 2025</t>
        </is>
      </c>
      <c r="K23" s="200" t="inlineStr">
        <is>
          <t>Jan</t>
        </is>
      </c>
      <c r="L23" s="199" t="n">
        <v>2025</v>
      </c>
      <c r="M23" s="199" t="n">
        <v>2025</v>
      </c>
    </row>
    <row r="24" ht="15" customHeight="1" s="104">
      <c r="A24" s="194" t="n">
        <v>45688</v>
      </c>
      <c r="B24" s="195" t="inlineStr">
        <is>
          <t>Shopify</t>
        </is>
      </c>
      <c r="D24" s="195" t="inlineStr">
        <is>
          <t>Advertising cost</t>
        </is>
      </c>
      <c r="E24" s="198" t="n">
        <v>0</v>
      </c>
      <c r="F24" s="201" t="n">
        <v>0</v>
      </c>
      <c r="G24" s="201" t="n">
        <v>0</v>
      </c>
      <c r="H24" s="198" t="n">
        <v>0</v>
      </c>
      <c r="J24" s="200" t="inlineStr">
        <is>
          <t>JAN 1 - JAN 31, 2025</t>
        </is>
      </c>
      <c r="K24" s="200" t="inlineStr">
        <is>
          <t>Jan</t>
        </is>
      </c>
      <c r="L24" s="199" t="n">
        <v>2025</v>
      </c>
      <c r="M24" s="199" t="n">
        <v>2025</v>
      </c>
    </row>
    <row r="25" ht="15" customHeight="1" s="104">
      <c r="A25" s="194" t="n">
        <v>45688</v>
      </c>
      <c r="B25" s="195" t="inlineStr">
        <is>
          <t>Shopify</t>
        </is>
      </c>
      <c r="D25" s="195" t="inlineStr">
        <is>
          <t>Payment fees</t>
        </is>
      </c>
      <c r="E25" s="196" t="n">
        <v>-19.07</v>
      </c>
      <c r="F25" s="204" t="n">
        <v>-0.0357303455</v>
      </c>
      <c r="G25" s="204" t="n">
        <v>-0.0002131270386</v>
      </c>
      <c r="H25" s="196" t="n">
        <v>-19.07</v>
      </c>
      <c r="J25" s="200" t="inlineStr">
        <is>
          <t>JAN 1 - JAN 31, 2025</t>
        </is>
      </c>
      <c r="K25" s="200" t="inlineStr">
        <is>
          <t>Jan</t>
        </is>
      </c>
      <c r="L25" s="199" t="n">
        <v>2025</v>
      </c>
      <c r="M25" s="199" t="n">
        <v>2025</v>
      </c>
    </row>
    <row r="26" ht="15" customHeight="1" s="104">
      <c r="A26" s="194" t="n">
        <v>45688</v>
      </c>
      <c r="B26" s="195" t="inlineStr">
        <is>
          <t>Shopify</t>
        </is>
      </c>
      <c r="D26" s="195" t="inlineStr">
        <is>
          <t>Cost of goods</t>
        </is>
      </c>
      <c r="E26" s="196" t="n">
        <v>-150.04</v>
      </c>
      <c r="F26" s="204" t="n">
        <v>-0.2811211871</v>
      </c>
      <c r="G26" s="204" t="n">
        <v>-0.001676852694</v>
      </c>
      <c r="H26" s="196" t="n">
        <v>-150.04</v>
      </c>
      <c r="J26" s="200" t="inlineStr">
        <is>
          <t>JAN 1 - JAN 31, 2025</t>
        </is>
      </c>
      <c r="K26" s="200" t="inlineStr">
        <is>
          <t>Jan</t>
        </is>
      </c>
      <c r="L26" s="199" t="n">
        <v>2025</v>
      </c>
      <c r="M26" s="199" t="n">
        <v>2025</v>
      </c>
    </row>
    <row r="27" ht="15" customHeight="1" s="104">
      <c r="A27" s="194" t="n">
        <v>45688</v>
      </c>
      <c r="B27" s="195" t="inlineStr">
        <is>
          <t>Shopify</t>
        </is>
      </c>
      <c r="D27" s="195" t="inlineStr">
        <is>
          <t>Tax</t>
        </is>
      </c>
      <c r="E27" s="196" t="n">
        <v>-2.09</v>
      </c>
      <c r="F27" s="204" t="n">
        <v>-0.003915910965</v>
      </c>
      <c r="G27" s="204" t="n">
        <v>-2.335791875e-05</v>
      </c>
      <c r="H27" s="196" t="n">
        <v>-2.09</v>
      </c>
      <c r="J27" s="200" t="inlineStr">
        <is>
          <t>JAN 1 - JAN 31, 2025</t>
        </is>
      </c>
      <c r="K27" s="200" t="inlineStr">
        <is>
          <t>Jan</t>
        </is>
      </c>
      <c r="L27" s="199" t="n">
        <v>2025</v>
      </c>
      <c r="M27" s="199" t="n">
        <v>2025</v>
      </c>
    </row>
    <row r="28" ht="15" customHeight="1" s="104">
      <c r="A28" s="194" t="n">
        <v>45688</v>
      </c>
      <c r="B28" s="195" t="inlineStr">
        <is>
          <t>Shopify</t>
        </is>
      </c>
      <c r="D28" s="195" t="inlineStr">
        <is>
          <t>MCF Shipping fees</t>
        </is>
      </c>
      <c r="E28" s="196" t="n">
        <v>-143.07</v>
      </c>
      <c r="F28" s="204" t="n">
        <v>-0.2680619051</v>
      </c>
      <c r="H28" s="196" t="n">
        <v>-143.07</v>
      </c>
      <c r="J28" s="200" t="inlineStr">
        <is>
          <t>JAN 1 - JAN 31, 2025</t>
        </is>
      </c>
      <c r="K28" s="200" t="inlineStr">
        <is>
          <t>Jan</t>
        </is>
      </c>
      <c r="L28" s="199" t="n">
        <v>2025</v>
      </c>
      <c r="M28" s="199" t="n">
        <v>2025</v>
      </c>
    </row>
    <row r="29" ht="15" customHeight="1" s="104">
      <c r="A29" s="194" t="n">
        <v>45716</v>
      </c>
      <c r="B29" s="195" t="inlineStr">
        <is>
          <t>Amazon US</t>
        </is>
      </c>
      <c r="D29" s="195" t="inlineStr">
        <is>
          <t>Promo</t>
        </is>
      </c>
      <c r="E29" s="196" t="n">
        <v>-1045.41</v>
      </c>
      <c r="F29" s="204" t="n">
        <v>-0.01231481135</v>
      </c>
      <c r="H29" s="196" t="n">
        <v>-1045.41</v>
      </c>
      <c r="J29" s="200" t="inlineStr">
        <is>
          <t>FEB 1 - FEB 28, 2025</t>
        </is>
      </c>
      <c r="K29" s="200" t="inlineStr">
        <is>
          <t>Feb</t>
        </is>
      </c>
      <c r="L29" s="199" t="n">
        <v>2025</v>
      </c>
      <c r="M29" s="199" t="n">
        <v>2025</v>
      </c>
    </row>
    <row r="30" ht="15" customHeight="1" s="104">
      <c r="A30" s="194" t="n">
        <v>45716</v>
      </c>
      <c r="B30" s="195" t="inlineStr">
        <is>
          <t>Amazon US</t>
        </is>
      </c>
      <c r="D30" s="195" t="inlineStr">
        <is>
          <t>Advertising cost</t>
        </is>
      </c>
      <c r="E30" s="196" t="n">
        <v>-7314.97</v>
      </c>
      <c r="F30" s="204" t="n">
        <v>-0.08616951774999999</v>
      </c>
      <c r="H30" s="196" t="n">
        <v>-7314.97</v>
      </c>
      <c r="J30" s="200" t="inlineStr">
        <is>
          <t>FEB 1 - FEB 28, 2025</t>
        </is>
      </c>
      <c r="K30" s="200" t="inlineStr">
        <is>
          <t>Feb</t>
        </is>
      </c>
      <c r="L30" s="199" t="n">
        <v>2025</v>
      </c>
      <c r="M30" s="199" t="n">
        <v>2025</v>
      </c>
    </row>
    <row r="31" ht="15" customHeight="1" s="104">
      <c r="A31" s="194" t="n">
        <v>45716</v>
      </c>
      <c r="B31" s="195" t="inlineStr">
        <is>
          <t>Amazon US</t>
        </is>
      </c>
      <c r="D31" s="195" t="inlineStr">
        <is>
          <t>Refund cost</t>
        </is>
      </c>
      <c r="E31" s="196" t="n">
        <v>-4098.81</v>
      </c>
      <c r="F31" s="204" t="n">
        <v>-0.04828351737</v>
      </c>
      <c r="H31" s="196" t="n">
        <v>-4098.81</v>
      </c>
      <c r="J31" s="200" t="inlineStr">
        <is>
          <t>FEB 1 - FEB 28, 2025</t>
        </is>
      </c>
      <c r="K31" s="200" t="inlineStr">
        <is>
          <t>Feb</t>
        </is>
      </c>
      <c r="L31" s="199" t="n">
        <v>2025</v>
      </c>
      <c r="M31" s="199" t="n">
        <v>2025</v>
      </c>
    </row>
    <row r="32" ht="15" customHeight="1" s="104">
      <c r="A32" s="194" t="n">
        <v>45716</v>
      </c>
      <c r="B32" s="195" t="inlineStr">
        <is>
          <t>Amazon US</t>
        </is>
      </c>
      <c r="D32" s="195" t="inlineStr">
        <is>
          <t>Amazon fees</t>
        </is>
      </c>
      <c r="E32" s="196" t="n">
        <v>-30359.68</v>
      </c>
      <c r="F32" s="204" t="n">
        <v>-0.3576335904</v>
      </c>
      <c r="H32" s="196" t="n">
        <v>-30359.68</v>
      </c>
      <c r="J32" s="200" t="inlineStr">
        <is>
          <t>FEB 1 - FEB 28, 2025</t>
        </is>
      </c>
      <c r="K32" s="200" t="inlineStr">
        <is>
          <t>Feb</t>
        </is>
      </c>
      <c r="L32" s="199" t="n">
        <v>2025</v>
      </c>
      <c r="M32" s="199" t="n">
        <v>2025</v>
      </c>
    </row>
    <row r="33" ht="15" customHeight="1" s="104">
      <c r="A33" s="194" t="n">
        <v>45716</v>
      </c>
      <c r="B33" s="195" t="inlineStr">
        <is>
          <t>Amazon US</t>
        </is>
      </c>
      <c r="D33" s="195" t="inlineStr">
        <is>
          <t>Cost of goods</t>
        </is>
      </c>
      <c r="E33" s="196" t="n">
        <v>-23560.77</v>
      </c>
      <c r="F33" s="204" t="n">
        <v>-0.277543201</v>
      </c>
      <c r="H33" s="196" t="n">
        <v>-23560.77</v>
      </c>
      <c r="J33" s="200" t="inlineStr">
        <is>
          <t>FEB 1 - FEB 28, 2025</t>
        </is>
      </c>
      <c r="K33" s="200" t="inlineStr">
        <is>
          <t>Feb</t>
        </is>
      </c>
      <c r="L33" s="199" t="n">
        <v>2025</v>
      </c>
      <c r="M33" s="199" t="n">
        <v>2025</v>
      </c>
    </row>
    <row r="34" ht="15" customHeight="1" s="104">
      <c r="A34" s="194" t="n">
        <v>45716</v>
      </c>
      <c r="B34" s="195" t="inlineStr">
        <is>
          <t>Amazon CA</t>
        </is>
      </c>
      <c r="D34" s="195" t="inlineStr">
        <is>
          <t>Promo</t>
        </is>
      </c>
      <c r="E34" s="198" t="n">
        <v>0</v>
      </c>
      <c r="F34" s="201" t="n">
        <v>0</v>
      </c>
      <c r="H34" s="198" t="n">
        <v>0</v>
      </c>
      <c r="J34" s="200" t="inlineStr">
        <is>
          <t>FEB 1 - FEB 28, 2025</t>
        </is>
      </c>
      <c r="K34" s="200" t="inlineStr">
        <is>
          <t>Feb</t>
        </is>
      </c>
      <c r="L34" s="199" t="n">
        <v>2025</v>
      </c>
      <c r="M34" s="199" t="n">
        <v>2025</v>
      </c>
    </row>
    <row r="35" ht="15" customHeight="1" s="104">
      <c r="A35" s="194" t="n">
        <v>45716</v>
      </c>
      <c r="B35" s="195" t="inlineStr">
        <is>
          <t>Amazon CA</t>
        </is>
      </c>
      <c r="D35" s="195" t="inlineStr">
        <is>
          <t>Advertising cost</t>
        </is>
      </c>
      <c r="E35" s="196" t="n">
        <v>-169.92</v>
      </c>
      <c r="F35" s="204" t="n">
        <v>-0.0398464486</v>
      </c>
      <c r="H35" s="196" t="n">
        <v>-169.92</v>
      </c>
      <c r="J35" s="200" t="inlineStr">
        <is>
          <t>FEB 1 - FEB 28, 2025</t>
        </is>
      </c>
      <c r="K35" s="200" t="inlineStr">
        <is>
          <t>Feb</t>
        </is>
      </c>
      <c r="L35" s="199" t="n">
        <v>2025</v>
      </c>
      <c r="M35" s="199" t="n">
        <v>2025</v>
      </c>
    </row>
    <row r="36" ht="15" customHeight="1" s="104">
      <c r="A36" s="194" t="n">
        <v>45716</v>
      </c>
      <c r="B36" s="195" t="inlineStr">
        <is>
          <t>Amazon CA</t>
        </is>
      </c>
      <c r="D36" s="195" t="inlineStr">
        <is>
          <t>Refund cost</t>
        </is>
      </c>
      <c r="E36" s="196" t="n">
        <v>-131.55</v>
      </c>
      <c r="F36" s="204" t="n">
        <v>-0.03084863649</v>
      </c>
      <c r="H36" s="196" t="n">
        <v>-131.55</v>
      </c>
      <c r="J36" s="200" t="inlineStr">
        <is>
          <t>FEB 1 - FEB 28, 2025</t>
        </is>
      </c>
      <c r="K36" s="200" t="inlineStr">
        <is>
          <t>Feb</t>
        </is>
      </c>
      <c r="L36" s="199" t="n">
        <v>2025</v>
      </c>
      <c r="M36" s="199" t="n">
        <v>2025</v>
      </c>
    </row>
    <row r="37" ht="15" customHeight="1" s="104">
      <c r="A37" s="194" t="n">
        <v>45716</v>
      </c>
      <c r="B37" s="195" t="inlineStr">
        <is>
          <t>Amazon CA</t>
        </is>
      </c>
      <c r="D37" s="195" t="inlineStr">
        <is>
          <t>Amazon fees</t>
        </is>
      </c>
      <c r="E37" s="196" t="n">
        <v>-1347.88</v>
      </c>
      <c r="F37" s="204" t="n">
        <v>-0.3160795147</v>
      </c>
      <c r="H37" s="196" t="n">
        <v>-1347.88</v>
      </c>
      <c r="J37" s="200" t="inlineStr">
        <is>
          <t>FEB 1 - FEB 28, 2025</t>
        </is>
      </c>
      <c r="K37" s="200" t="inlineStr">
        <is>
          <t>Feb</t>
        </is>
      </c>
      <c r="L37" s="199" t="n">
        <v>2025</v>
      </c>
      <c r="M37" s="199" t="n">
        <v>2025</v>
      </c>
    </row>
    <row r="38" ht="15" customHeight="1" s="104">
      <c r="A38" s="194" t="n">
        <v>45716</v>
      </c>
      <c r="B38" s="195" t="inlineStr">
        <is>
          <t>Amazon CA</t>
        </is>
      </c>
      <c r="D38" s="195" t="inlineStr">
        <is>
          <t>Cost of goods</t>
        </is>
      </c>
      <c r="E38" s="196" t="n">
        <v>-1278.22</v>
      </c>
      <c r="F38" s="204" t="n">
        <v>-0.2997441592</v>
      </c>
      <c r="H38" s="196" t="n">
        <v>-1278.22</v>
      </c>
      <c r="J38" s="200" t="inlineStr">
        <is>
          <t>FEB 1 - FEB 28, 2025</t>
        </is>
      </c>
      <c r="K38" s="200" t="inlineStr">
        <is>
          <t>Feb</t>
        </is>
      </c>
      <c r="L38" s="199" t="n">
        <v>2025</v>
      </c>
      <c r="M38" s="199" t="n">
        <v>2025</v>
      </c>
    </row>
    <row r="39" ht="15" customHeight="1" s="104">
      <c r="A39" s="194" t="n">
        <v>45688</v>
      </c>
      <c r="B39" s="195" t="inlineStr">
        <is>
          <t>Tiktok</t>
        </is>
      </c>
      <c r="D39" s="195" t="inlineStr">
        <is>
          <t>Advertising cost</t>
        </is>
      </c>
      <c r="E39" s="196" t="n">
        <v>-242.72</v>
      </c>
      <c r="F39" s="204" t="n">
        <v>-0.02905869324</v>
      </c>
      <c r="H39" s="196" t="n">
        <v>-242.72</v>
      </c>
      <c r="J39" s="200" t="inlineStr">
        <is>
          <t>JAN 1 - JAN 31, 2025</t>
        </is>
      </c>
      <c r="K39" s="200" t="inlineStr">
        <is>
          <t>Jan</t>
        </is>
      </c>
      <c r="L39" s="199" t="n">
        <v>2025</v>
      </c>
      <c r="M39" s="199" t="n">
        <v>2025</v>
      </c>
    </row>
    <row r="40" ht="15" customHeight="1" s="104">
      <c r="A40" s="194" t="n">
        <v>45716</v>
      </c>
      <c r="B40" s="195" t="inlineStr">
        <is>
          <t>Tiktok</t>
        </is>
      </c>
      <c r="D40" s="195" t="inlineStr">
        <is>
          <t>Tiktok Shipping</t>
        </is>
      </c>
      <c r="E40" s="196" t="n">
        <v>-279.95</v>
      </c>
      <c r="F40" s="204" t="n">
        <v>-0.04750204889</v>
      </c>
      <c r="H40" s="196" t="n">
        <v>-279.95</v>
      </c>
      <c r="J40" s="200" t="inlineStr">
        <is>
          <t>FEB 1 - FEB 28, 2025</t>
        </is>
      </c>
      <c r="K40" s="200" t="inlineStr">
        <is>
          <t>Feb</t>
        </is>
      </c>
      <c r="L40" s="199" t="n">
        <v>2025</v>
      </c>
      <c r="M40" s="199" t="n">
        <v>2025</v>
      </c>
    </row>
    <row r="41" ht="15" customHeight="1" s="104">
      <c r="A41" s="194" t="n">
        <v>45716</v>
      </c>
      <c r="B41" s="195" t="inlineStr">
        <is>
          <t>Tiktok</t>
        </is>
      </c>
      <c r="D41" s="195" t="inlineStr">
        <is>
          <t>MCF Shipping fees</t>
        </is>
      </c>
      <c r="E41" s="196" t="n">
        <v>-2008.24</v>
      </c>
      <c r="F41" s="204" t="n">
        <v>-0.3407591165</v>
      </c>
      <c r="H41" s="196" t="n">
        <v>-2008.24</v>
      </c>
      <c r="J41" s="200" t="inlineStr">
        <is>
          <t>FEB 1 - FEB 28, 2025</t>
        </is>
      </c>
      <c r="K41" s="200" t="inlineStr">
        <is>
          <t>Feb</t>
        </is>
      </c>
      <c r="L41" s="199" t="n">
        <v>2025</v>
      </c>
      <c r="M41" s="199" t="n">
        <v>2025</v>
      </c>
    </row>
    <row r="42" ht="15" customHeight="1" s="104">
      <c r="A42" s="194" t="n">
        <v>45716</v>
      </c>
      <c r="B42" s="195" t="inlineStr">
        <is>
          <t>Tiktok</t>
        </is>
      </c>
      <c r="D42" s="195" t="inlineStr">
        <is>
          <t>Fees</t>
        </is>
      </c>
      <c r="E42" s="196" t="n">
        <v>-42.06</v>
      </c>
      <c r="F42" s="204" t="n">
        <v>-0.007136760766</v>
      </c>
      <c r="H42" s="196" t="n">
        <v>-42.06</v>
      </c>
      <c r="J42" s="200" t="inlineStr">
        <is>
          <t>FEB 1 - FEB 28, 2025</t>
        </is>
      </c>
      <c r="K42" s="200" t="inlineStr">
        <is>
          <t>Feb</t>
        </is>
      </c>
      <c r="L42" s="199" t="n">
        <v>2025</v>
      </c>
      <c r="M42" s="199" t="n">
        <v>2025</v>
      </c>
    </row>
    <row r="43" ht="15" customHeight="1" s="104">
      <c r="A43" s="194" t="n">
        <v>45716</v>
      </c>
      <c r="B43" s="195" t="inlineStr">
        <is>
          <t>Tiktok</t>
        </is>
      </c>
      <c r="D43" s="195" t="inlineStr">
        <is>
          <t>Referral fee</t>
        </is>
      </c>
      <c r="E43" s="196" t="n">
        <v>-359.41</v>
      </c>
      <c r="F43" s="204" t="n">
        <v>-0.06098485941</v>
      </c>
      <c r="H43" s="196" t="n">
        <v>-359.41</v>
      </c>
      <c r="J43" s="200" t="inlineStr">
        <is>
          <t>FEB 1 - FEB 28, 2025</t>
        </is>
      </c>
      <c r="K43" s="200" t="inlineStr">
        <is>
          <t>Feb</t>
        </is>
      </c>
      <c r="L43" s="199" t="n">
        <v>2025</v>
      </c>
      <c r="M43" s="199" t="n">
        <v>2025</v>
      </c>
    </row>
    <row r="44" ht="15" customHeight="1" s="104">
      <c r="A44" s="194" t="n">
        <v>45716</v>
      </c>
      <c r="B44" s="195" t="inlineStr">
        <is>
          <t>Tiktok</t>
        </is>
      </c>
      <c r="D44" s="195" t="inlineStr">
        <is>
          <t>Affiliate commission</t>
        </is>
      </c>
      <c r="E44" s="196" t="n">
        <v>-568.5</v>
      </c>
      <c r="F44" s="204" t="n">
        <v>-0.09646334987000001</v>
      </c>
      <c r="H44" s="196" t="n">
        <v>-568.5</v>
      </c>
      <c r="J44" s="200" t="inlineStr">
        <is>
          <t>FEB 1 - FEB 28, 2025</t>
        </is>
      </c>
      <c r="K44" s="200" t="inlineStr">
        <is>
          <t>Feb</t>
        </is>
      </c>
      <c r="L44" s="199" t="n">
        <v>2025</v>
      </c>
      <c r="M44" s="199" t="n">
        <v>2025</v>
      </c>
    </row>
    <row r="45" ht="15" customHeight="1" s="104">
      <c r="A45" s="194" t="n">
        <v>45716</v>
      </c>
      <c r="B45" s="195" t="inlineStr">
        <is>
          <t>Tiktok</t>
        </is>
      </c>
      <c r="D45" s="195" t="inlineStr">
        <is>
          <t xml:space="preserve">Adjustments
</t>
        </is>
      </c>
      <c r="E45" s="196" t="n">
        <v>-357.28</v>
      </c>
      <c r="F45" s="204" t="n">
        <v>-0.06062344</v>
      </c>
      <c r="H45" s="196" t="n">
        <v>-357.28</v>
      </c>
      <c r="J45" s="200" t="inlineStr">
        <is>
          <t>FEB 1 - FEB 28, 2025</t>
        </is>
      </c>
      <c r="K45" s="200" t="inlineStr">
        <is>
          <t>Feb</t>
        </is>
      </c>
      <c r="L45" s="199" t="n">
        <v>2025</v>
      </c>
      <c r="M45" s="199" t="n">
        <v>2025</v>
      </c>
    </row>
    <row r="46" ht="15" customHeight="1" s="104">
      <c r="A46" s="194" t="n">
        <v>45716</v>
      </c>
      <c r="B46" s="195" t="inlineStr">
        <is>
          <t>Tiktok</t>
        </is>
      </c>
      <c r="D46" s="195" t="inlineStr">
        <is>
          <t>Cost of goods</t>
        </is>
      </c>
      <c r="E46" s="196" t="n">
        <v>-1975.58</v>
      </c>
      <c r="F46" s="204" t="n">
        <v>-0.3352173522</v>
      </c>
      <c r="H46" s="196" t="n">
        <v>-1975.58</v>
      </c>
      <c r="J46" s="200" t="inlineStr">
        <is>
          <t>FEB 1 - FEB 28, 2025</t>
        </is>
      </c>
      <c r="K46" s="200" t="inlineStr">
        <is>
          <t>Feb</t>
        </is>
      </c>
      <c r="L46" s="199" t="n">
        <v>2025</v>
      </c>
      <c r="M46" s="199" t="n">
        <v>2025</v>
      </c>
    </row>
    <row r="47" ht="15" customHeight="1" s="104">
      <c r="A47" s="194" t="n">
        <v>45716</v>
      </c>
      <c r="B47" s="195" t="inlineStr">
        <is>
          <t>Shopify</t>
        </is>
      </c>
      <c r="D47" s="195" t="inlineStr">
        <is>
          <t>Advertising cost</t>
        </is>
      </c>
      <c r="E47" s="198" t="n">
        <v>0</v>
      </c>
      <c r="F47" s="201" t="n">
        <v>0</v>
      </c>
      <c r="H47" s="198" t="n">
        <v>0</v>
      </c>
      <c r="J47" s="200" t="inlineStr">
        <is>
          <t>FEB 1 - FEB 28, 2025</t>
        </is>
      </c>
      <c r="K47" s="200" t="inlineStr">
        <is>
          <t>Feb</t>
        </is>
      </c>
      <c r="L47" s="199" t="n">
        <v>2025</v>
      </c>
      <c r="M47" s="199" t="n">
        <v>2025</v>
      </c>
    </row>
    <row r="48" ht="15" customHeight="1" s="104">
      <c r="A48" s="194" t="n">
        <v>45716</v>
      </c>
      <c r="B48" s="195" t="inlineStr">
        <is>
          <t>Shopify</t>
        </is>
      </c>
      <c r="D48" s="195" t="inlineStr">
        <is>
          <t>Payment fees</t>
        </is>
      </c>
      <c r="E48" s="196" t="n">
        <v>-26.71</v>
      </c>
      <c r="F48" s="204" t="n">
        <v>-0.03072410422</v>
      </c>
      <c r="H48" s="196" t="n">
        <v>-26.71</v>
      </c>
      <c r="J48" s="200" t="inlineStr">
        <is>
          <t>FEB 1 - FEB 28, 2025</t>
        </is>
      </c>
      <c r="K48" s="200" t="inlineStr">
        <is>
          <t>Feb</t>
        </is>
      </c>
      <c r="L48" s="199" t="n">
        <v>2025</v>
      </c>
      <c r="M48" s="199" t="n">
        <v>2025</v>
      </c>
    </row>
    <row r="49" ht="15" customHeight="1" s="104">
      <c r="A49" s="194" t="n">
        <v>45716</v>
      </c>
      <c r="B49" s="195" t="inlineStr">
        <is>
          <t>Shopify</t>
        </is>
      </c>
      <c r="D49" s="195" t="inlineStr">
        <is>
          <t>Cost of goods</t>
        </is>
      </c>
      <c r="E49" s="196" t="n">
        <v>-265.15</v>
      </c>
      <c r="F49" s="204" t="n">
        <v>-0.304997987</v>
      </c>
      <c r="H49" s="196" t="n">
        <v>-265.15</v>
      </c>
      <c r="J49" s="200" t="inlineStr">
        <is>
          <t>FEB 1 - FEB 28, 2025</t>
        </is>
      </c>
      <c r="K49" s="200" t="inlineStr">
        <is>
          <t>Feb</t>
        </is>
      </c>
      <c r="L49" s="199" t="n">
        <v>2025</v>
      </c>
      <c r="M49" s="199" t="n">
        <v>2025</v>
      </c>
    </row>
    <row r="50" ht="15" customHeight="1" s="104">
      <c r="A50" s="194" t="n">
        <v>45716</v>
      </c>
      <c r="B50" s="195" t="inlineStr">
        <is>
          <t>Shopify</t>
        </is>
      </c>
      <c r="D50" s="195" t="inlineStr">
        <is>
          <t>Tax</t>
        </is>
      </c>
      <c r="E50" s="198" t="n">
        <v>0</v>
      </c>
      <c r="F50" s="201" t="n">
        <v>0</v>
      </c>
      <c r="H50" s="198" t="n">
        <v>0</v>
      </c>
      <c r="J50" s="200" t="inlineStr">
        <is>
          <t>FEB 1 - FEB 28, 2025</t>
        </is>
      </c>
      <c r="K50" s="200" t="inlineStr">
        <is>
          <t>Feb</t>
        </is>
      </c>
      <c r="L50" s="199" t="n">
        <v>2025</v>
      </c>
      <c r="M50" s="199" t="n">
        <v>2025</v>
      </c>
    </row>
    <row r="51" ht="15" customHeight="1" s="104">
      <c r="A51" s="194" t="n">
        <v>45716</v>
      </c>
      <c r="B51" s="195" t="inlineStr">
        <is>
          <t>Shopify</t>
        </is>
      </c>
      <c r="D51" s="195" t="inlineStr">
        <is>
          <t>MCF Shipping fees</t>
        </is>
      </c>
      <c r="E51" s="196" t="n">
        <v>-204.25</v>
      </c>
      <c r="F51" s="204" t="n">
        <v>-0.234945649</v>
      </c>
      <c r="H51" s="196" t="n">
        <v>-204.25</v>
      </c>
      <c r="J51" s="200" t="inlineStr">
        <is>
          <t>FEB 1 - FEB 28, 2025</t>
        </is>
      </c>
      <c r="K51" s="200" t="inlineStr">
        <is>
          <t>Feb</t>
        </is>
      </c>
      <c r="L51" s="199" t="n">
        <v>2025</v>
      </c>
      <c r="M51" s="199" t="n">
        <v>2025</v>
      </c>
    </row>
    <row r="52" ht="15" customHeight="1" s="104">
      <c r="A52" s="194" t="n">
        <v>45716</v>
      </c>
      <c r="B52" s="195" t="inlineStr">
        <is>
          <t>Shopify</t>
        </is>
      </c>
      <c r="D52" s="195" t="inlineStr">
        <is>
          <t>Shipping Cost</t>
        </is>
      </c>
      <c r="E52" s="198" t="n">
        <v>0</v>
      </c>
      <c r="F52" s="201" t="n">
        <v>0</v>
      </c>
      <c r="H52" s="198" t="n">
        <v>0</v>
      </c>
      <c r="J52" s="200" t="inlineStr">
        <is>
          <t>FEB 1 - FEB 28, 2025</t>
        </is>
      </c>
      <c r="K52" s="200" t="inlineStr">
        <is>
          <t>Feb</t>
        </is>
      </c>
      <c r="L52" s="199" t="n">
        <v>2025</v>
      </c>
      <c r="M52" s="199" t="n">
        <v>2025</v>
      </c>
    </row>
    <row r="53" ht="15" customHeight="1" s="104">
      <c r="A53" s="194" t="n">
        <v>45716</v>
      </c>
      <c r="B53" s="195" t="inlineStr">
        <is>
          <t>Tiktok</t>
        </is>
      </c>
      <c r="D53" s="195" t="inlineStr">
        <is>
          <t>Advertising cost</t>
        </is>
      </c>
      <c r="E53" s="196" t="n">
        <v>-348.39</v>
      </c>
      <c r="F53" s="204" t="n">
        <v>-0.05911498058</v>
      </c>
      <c r="H53" s="196" t="n">
        <v>-348.39</v>
      </c>
      <c r="J53" s="200" t="inlineStr">
        <is>
          <t>FEB 1 - FEB 28, 2025</t>
        </is>
      </c>
      <c r="K53" s="200" t="inlineStr">
        <is>
          <t>Feb</t>
        </is>
      </c>
      <c r="L53" s="199" t="n">
        <v>2025</v>
      </c>
      <c r="M53" s="199" t="n">
        <v>2025</v>
      </c>
    </row>
    <row r="54" ht="15" customHeight="1" s="104">
      <c r="A54" s="194" t="n">
        <v>45747</v>
      </c>
      <c r="B54" s="195" t="inlineStr">
        <is>
          <t>Amazon US</t>
        </is>
      </c>
      <c r="D54" s="195" t="inlineStr">
        <is>
          <t>Promo</t>
        </is>
      </c>
      <c r="E54" s="196" t="n">
        <v>-744.45</v>
      </c>
      <c r="F54" s="204" t="n">
        <v>-0.01000857475</v>
      </c>
      <c r="H54" s="196" t="n">
        <v>-744.45</v>
      </c>
      <c r="J54" s="200" t="inlineStr">
        <is>
          <t>FEB 1 - FEB 28, 2025</t>
        </is>
      </c>
      <c r="K54" s="200" t="inlineStr">
        <is>
          <t>Mar</t>
        </is>
      </c>
      <c r="L54" s="199" t="n">
        <v>2025</v>
      </c>
      <c r="M54" s="199" t="n">
        <v>2025</v>
      </c>
    </row>
    <row r="55" ht="15" customHeight="1" s="104">
      <c r="A55" s="194" t="n">
        <v>45747</v>
      </c>
      <c r="B55" s="195" t="inlineStr">
        <is>
          <t>Amazon US</t>
        </is>
      </c>
      <c r="D55" s="195" t="inlineStr">
        <is>
          <t>Advertising cost</t>
        </is>
      </c>
      <c r="E55" s="196" t="n">
        <v>-6637.98</v>
      </c>
      <c r="F55" s="204" t="n">
        <v>-0.08924268787</v>
      </c>
      <c r="H55" s="196" t="n">
        <v>-6637.98</v>
      </c>
      <c r="J55" s="200" t="inlineStr">
        <is>
          <t>FEB 1 - FEB 28, 2025</t>
        </is>
      </c>
      <c r="K55" s="200" t="inlineStr">
        <is>
          <t>Mar</t>
        </is>
      </c>
      <c r="L55" s="199" t="n">
        <v>2025</v>
      </c>
      <c r="M55" s="199" t="n">
        <v>2025</v>
      </c>
    </row>
    <row r="56" ht="15" customHeight="1" s="104">
      <c r="A56" s="194" t="n">
        <v>45747</v>
      </c>
      <c r="B56" s="195" t="inlineStr">
        <is>
          <t>Amazon US</t>
        </is>
      </c>
      <c r="D56" s="195" t="inlineStr">
        <is>
          <t>Refund cost</t>
        </is>
      </c>
      <c r="E56" s="196" t="n">
        <v>-5728.69</v>
      </c>
      <c r="F56" s="204" t="n">
        <v>-0.07701796232999999</v>
      </c>
      <c r="H56" s="196" t="n">
        <v>-5728.69</v>
      </c>
      <c r="J56" s="200" t="inlineStr">
        <is>
          <t>FEB 1 - FEB 28, 2025</t>
        </is>
      </c>
      <c r="K56" s="200" t="inlineStr">
        <is>
          <t>Mar</t>
        </is>
      </c>
      <c r="L56" s="199" t="n">
        <v>2025</v>
      </c>
      <c r="M56" s="199" t="n">
        <v>2025</v>
      </c>
    </row>
    <row r="57" ht="15" customHeight="1" s="104">
      <c r="A57" s="194" t="n">
        <v>45747</v>
      </c>
      <c r="B57" s="195" t="inlineStr">
        <is>
          <t>Amazon US</t>
        </is>
      </c>
      <c r="D57" s="195" t="inlineStr">
        <is>
          <t>Amazon fees</t>
        </is>
      </c>
      <c r="E57" s="196" t="n">
        <v>-24751.94</v>
      </c>
      <c r="F57" s="204" t="n">
        <v>-0.3327713635</v>
      </c>
      <c r="H57" s="196" t="n">
        <v>-24751.94</v>
      </c>
      <c r="J57" s="200" t="inlineStr">
        <is>
          <t>FEB 1 - FEB 28, 2025</t>
        </is>
      </c>
      <c r="K57" s="200" t="inlineStr">
        <is>
          <t>Mar</t>
        </is>
      </c>
      <c r="L57" s="199" t="n">
        <v>2025</v>
      </c>
      <c r="M57" s="199" t="n">
        <v>2025</v>
      </c>
    </row>
    <row r="58" ht="15" customHeight="1" s="104">
      <c r="A58" s="194" t="n">
        <v>45747</v>
      </c>
      <c r="B58" s="195" t="inlineStr">
        <is>
          <t>Amazon US</t>
        </is>
      </c>
      <c r="D58" s="195" t="inlineStr">
        <is>
          <t>Cost of goods</t>
        </is>
      </c>
      <c r="E58" s="196" t="n">
        <v>-20889.02</v>
      </c>
      <c r="F58" s="204" t="n">
        <v>-0.2808372866</v>
      </c>
      <c r="H58" s="196" t="n">
        <v>-20889.02</v>
      </c>
      <c r="J58" s="200" t="inlineStr">
        <is>
          <t>FEB 1 - FEB 28, 2025</t>
        </is>
      </c>
      <c r="K58" s="200" t="inlineStr">
        <is>
          <t>Mar</t>
        </is>
      </c>
      <c r="L58" s="199" t="n">
        <v>2025</v>
      </c>
      <c r="M58" s="199" t="n">
        <v>2025</v>
      </c>
    </row>
    <row r="59" ht="15" customHeight="1" s="104">
      <c r="A59" s="194" t="n">
        <v>45747</v>
      </c>
      <c r="B59" s="195" t="inlineStr">
        <is>
          <t>Amazon CA</t>
        </is>
      </c>
      <c r="D59" s="195" t="inlineStr">
        <is>
          <t>Promo</t>
        </is>
      </c>
      <c r="E59" s="198" t="n">
        <v>0</v>
      </c>
      <c r="F59" s="201" t="n">
        <v>0</v>
      </c>
      <c r="H59" s="198" t="n">
        <v>0</v>
      </c>
      <c r="J59" s="200" t="inlineStr">
        <is>
          <t>MAR 1 - MAR 31,2025</t>
        </is>
      </c>
      <c r="K59" s="200" t="inlineStr">
        <is>
          <t>Mar</t>
        </is>
      </c>
      <c r="L59" s="199" t="n">
        <v>2025</v>
      </c>
      <c r="M59" s="199" t="n">
        <v>2025</v>
      </c>
    </row>
    <row r="60" ht="15" customHeight="1" s="104">
      <c r="A60" s="194" t="n">
        <v>45747</v>
      </c>
      <c r="B60" s="195" t="inlineStr">
        <is>
          <t>Amazon CA</t>
        </is>
      </c>
      <c r="D60" s="195" t="inlineStr">
        <is>
          <t>Advertising cost</t>
        </is>
      </c>
      <c r="E60" s="196" t="n">
        <v>-532.8099999999999</v>
      </c>
      <c r="F60" s="204" t="n">
        <v>-0.06236451657</v>
      </c>
      <c r="H60" s="196" t="n">
        <v>-532.8099999999999</v>
      </c>
      <c r="J60" s="200" t="inlineStr">
        <is>
          <t>MAR 1 - MAR 31,2025</t>
        </is>
      </c>
      <c r="K60" s="200" t="inlineStr">
        <is>
          <t>Mar</t>
        </is>
      </c>
      <c r="L60" s="199" t="n">
        <v>2025</v>
      </c>
      <c r="M60" s="199" t="n">
        <v>2025</v>
      </c>
    </row>
    <row r="61" ht="15" customHeight="1" s="104">
      <c r="A61" s="194" t="n">
        <v>45747</v>
      </c>
      <c r="B61" s="195" t="inlineStr">
        <is>
          <t>Amazon CA</t>
        </is>
      </c>
      <c r="D61" s="195" t="inlineStr">
        <is>
          <t>Refund cost</t>
        </is>
      </c>
      <c r="E61" s="196" t="n">
        <v>-877.46</v>
      </c>
      <c r="F61" s="204" t="n">
        <v>-0.1027052208</v>
      </c>
      <c r="H61" s="196" t="n">
        <v>-877.46</v>
      </c>
      <c r="J61" s="200" t="inlineStr">
        <is>
          <t>MAR 1 - MAR 31,2025</t>
        </is>
      </c>
      <c r="K61" s="200" t="inlineStr">
        <is>
          <t>Mar</t>
        </is>
      </c>
      <c r="L61" s="199" t="n">
        <v>2025</v>
      </c>
      <c r="M61" s="199" t="n">
        <v>2025</v>
      </c>
    </row>
    <row r="62" ht="15" customHeight="1" s="104">
      <c r="A62" s="194" t="n">
        <v>45747</v>
      </c>
      <c r="B62" s="195" t="inlineStr">
        <is>
          <t>Amazon CA</t>
        </is>
      </c>
      <c r="D62" s="195" t="inlineStr">
        <is>
          <t>Amazon fees</t>
        </is>
      </c>
      <c r="E62" s="196" t="n">
        <v>-2813.15</v>
      </c>
      <c r="F62" s="204" t="n">
        <v>-0.3292744877</v>
      </c>
      <c r="H62" s="196" t="n">
        <v>-2813.15</v>
      </c>
      <c r="J62" s="200" t="inlineStr">
        <is>
          <t>MAR 1 - MAR 31,2025</t>
        </is>
      </c>
      <c r="K62" s="200" t="inlineStr">
        <is>
          <t>Mar</t>
        </is>
      </c>
      <c r="L62" s="199" t="n">
        <v>2025</v>
      </c>
      <c r="M62" s="199" t="n">
        <v>2025</v>
      </c>
    </row>
    <row r="63" ht="15" customHeight="1" s="104">
      <c r="A63" s="194" t="n">
        <v>45747</v>
      </c>
      <c r="B63" s="195" t="inlineStr">
        <is>
          <t>Amazon CA</t>
        </is>
      </c>
      <c r="D63" s="195" t="inlineStr">
        <is>
          <t>Cost of goods</t>
        </is>
      </c>
      <c r="E63" s="196" t="n">
        <v>-2290.02</v>
      </c>
      <c r="F63" s="204" t="n">
        <v>-0.2680429989</v>
      </c>
      <c r="H63" s="196" t="n">
        <v>-2290.02</v>
      </c>
      <c r="J63" s="200" t="inlineStr">
        <is>
          <t>MAR 1 - MAR 31,2025</t>
        </is>
      </c>
      <c r="K63" s="200" t="inlineStr">
        <is>
          <t>Mar</t>
        </is>
      </c>
      <c r="L63" s="199" t="n">
        <v>2025</v>
      </c>
      <c r="M63" s="199" t="n">
        <v>2025</v>
      </c>
    </row>
    <row r="64" ht="15" customHeight="1" s="104">
      <c r="A64" s="194" t="n">
        <v>45747</v>
      </c>
      <c r="B64" s="195" t="inlineStr">
        <is>
          <t>Shopify</t>
        </is>
      </c>
      <c r="D64" s="195" t="inlineStr">
        <is>
          <t>Advertising cost</t>
        </is>
      </c>
      <c r="E64" s="196" t="n">
        <v>-519.48</v>
      </c>
      <c r="F64" s="204" t="n">
        <v>-0.1058420112</v>
      </c>
      <c r="H64" s="196" t="n">
        <v>-519.48</v>
      </c>
      <c r="J64" s="200" t="inlineStr">
        <is>
          <t>MAR 1 - MAR 31,2025</t>
        </is>
      </c>
      <c r="K64" s="200" t="inlineStr">
        <is>
          <t>Mar</t>
        </is>
      </c>
      <c r="L64" s="199" t="n">
        <v>2025</v>
      </c>
      <c r="M64" s="199" t="n">
        <v>2025</v>
      </c>
    </row>
    <row r="65" ht="15" customHeight="1" s="104">
      <c r="A65" s="194" t="n">
        <v>45747</v>
      </c>
      <c r="B65" s="195" t="inlineStr">
        <is>
          <t>Shopify</t>
        </is>
      </c>
      <c r="D65" s="195" t="inlineStr">
        <is>
          <t>Payment fees</t>
        </is>
      </c>
      <c r="E65" s="196" t="n">
        <v>-158</v>
      </c>
      <c r="F65" s="204" t="n">
        <v>-0.0321918799</v>
      </c>
      <c r="H65" s="196" t="n">
        <v>-158</v>
      </c>
      <c r="J65" s="200" t="inlineStr">
        <is>
          <t>MAR 1 - MAR 31,2025</t>
        </is>
      </c>
      <c r="K65" s="200" t="inlineStr">
        <is>
          <t>Mar</t>
        </is>
      </c>
      <c r="L65" s="199" t="n">
        <v>2025</v>
      </c>
      <c r="M65" s="199" t="n">
        <v>2025</v>
      </c>
    </row>
    <row r="66" ht="15" customHeight="1" s="104">
      <c r="A66" s="194" t="n">
        <v>45747</v>
      </c>
      <c r="B66" s="195" t="inlineStr">
        <is>
          <t>Shopify</t>
        </is>
      </c>
      <c r="D66" s="195" t="inlineStr">
        <is>
          <t>Cost of goods</t>
        </is>
      </c>
      <c r="E66" s="196" t="n">
        <v>-1904.26</v>
      </c>
      <c r="F66" s="204" t="n">
        <v>-0.3879855014</v>
      </c>
      <c r="H66" s="196" t="n">
        <v>-1904.26</v>
      </c>
      <c r="J66" s="200" t="inlineStr">
        <is>
          <t>MAR 1 - MAR 31,2025</t>
        </is>
      </c>
      <c r="K66" s="200" t="inlineStr">
        <is>
          <t>Mar</t>
        </is>
      </c>
      <c r="L66" s="199" t="n">
        <v>2025</v>
      </c>
      <c r="M66" s="199" t="n">
        <v>2025</v>
      </c>
    </row>
    <row r="67" ht="15" customHeight="1" s="104">
      <c r="A67" s="194" t="n">
        <v>45747</v>
      </c>
      <c r="B67" s="195" t="inlineStr">
        <is>
          <t>Shopify</t>
        </is>
      </c>
      <c r="D67" s="195" t="inlineStr">
        <is>
          <t>Tax</t>
        </is>
      </c>
      <c r="E67" s="198" t="n">
        <v>0</v>
      </c>
      <c r="F67" s="201" t="n">
        <v>0</v>
      </c>
      <c r="H67" s="198" t="n">
        <v>0</v>
      </c>
      <c r="J67" s="200" t="inlineStr">
        <is>
          <t>MAR 1 - MAR 31,2025</t>
        </is>
      </c>
      <c r="K67" s="200" t="inlineStr">
        <is>
          <t>Mar</t>
        </is>
      </c>
      <c r="L67" s="199" t="n">
        <v>2025</v>
      </c>
      <c r="M67" s="199" t="n">
        <v>2025</v>
      </c>
    </row>
    <row r="68" ht="15" customHeight="1" s="104">
      <c r="A68" s="194" t="n">
        <v>45747</v>
      </c>
      <c r="B68" s="195" t="inlineStr">
        <is>
          <t>Shopify</t>
        </is>
      </c>
      <c r="D68" s="195" t="inlineStr">
        <is>
          <t>MCF Shipping fees</t>
        </is>
      </c>
      <c r="E68" s="196" t="n">
        <v>-909.67</v>
      </c>
      <c r="F68" s="204" t="n">
        <v>-0.1853416924</v>
      </c>
      <c r="H68" s="196" t="n">
        <v>-909.67</v>
      </c>
      <c r="J68" s="200" t="inlineStr">
        <is>
          <t>MAR 1 - MAR 31,2025</t>
        </is>
      </c>
      <c r="K68" s="200" t="inlineStr">
        <is>
          <t>Mar</t>
        </is>
      </c>
      <c r="L68" s="199" t="n">
        <v>2025</v>
      </c>
      <c r="M68" s="199" t="n">
        <v>2025</v>
      </c>
    </row>
    <row r="69" ht="15" customHeight="1" s="104">
      <c r="A69" s="194" t="n">
        <v>45747</v>
      </c>
      <c r="B69" s="195" t="inlineStr">
        <is>
          <t>Shopify</t>
        </is>
      </c>
      <c r="D69" s="195" t="inlineStr">
        <is>
          <t>Shipping Cost</t>
        </is>
      </c>
      <c r="E69" s="198" t="n">
        <v>0</v>
      </c>
      <c r="F69" s="201" t="n">
        <v>0</v>
      </c>
      <c r="H69" s="198" t="n">
        <v>0</v>
      </c>
      <c r="J69" s="200" t="inlineStr">
        <is>
          <t>MAR 1 - MAR 31,2025</t>
        </is>
      </c>
      <c r="K69" s="200" t="inlineStr">
        <is>
          <t>Mar</t>
        </is>
      </c>
      <c r="L69" s="199" t="n">
        <v>2025</v>
      </c>
      <c r="M69" s="199" t="n">
        <v>2025</v>
      </c>
    </row>
    <row r="70" ht="15" customHeight="1" s="104">
      <c r="A70" s="194" t="n">
        <v>45747</v>
      </c>
      <c r="B70" s="195" t="inlineStr">
        <is>
          <t>Tiktok</t>
        </is>
      </c>
      <c r="D70" s="195" t="inlineStr">
        <is>
          <t>Tiktok Shipping</t>
        </is>
      </c>
      <c r="E70" s="196" t="n">
        <v>-319.66</v>
      </c>
      <c r="F70" s="204" t="n">
        <v>-0.05257029711</v>
      </c>
      <c r="H70" s="196" t="n">
        <v>-319.66</v>
      </c>
      <c r="J70" s="200" t="inlineStr">
        <is>
          <t>MAR 1 - MAR 31, 2025</t>
        </is>
      </c>
      <c r="K70" s="200" t="inlineStr">
        <is>
          <t>Mar</t>
        </is>
      </c>
      <c r="L70" s="199" t="n">
        <v>2025</v>
      </c>
      <c r="M70" s="199" t="n">
        <v>2025</v>
      </c>
    </row>
    <row r="71" ht="15" customHeight="1" s="104">
      <c r="A71" s="194" t="n">
        <v>45747</v>
      </c>
      <c r="B71" s="195" t="inlineStr">
        <is>
          <t>Tiktok</t>
        </is>
      </c>
      <c r="D71" s="195" t="inlineStr">
        <is>
          <t>MCF Shipping fees</t>
        </is>
      </c>
      <c r="E71" s="196" t="n">
        <v>-1077.6</v>
      </c>
      <c r="F71" s="204" t="n">
        <v>-0.1772187705</v>
      </c>
      <c r="H71" s="196" t="n">
        <v>-1077.6</v>
      </c>
      <c r="J71" s="200" t="inlineStr">
        <is>
          <t>MAR 1 - MAR 31, 2025</t>
        </is>
      </c>
      <c r="K71" s="200" t="inlineStr">
        <is>
          <t>Mar</t>
        </is>
      </c>
      <c r="L71" s="199" t="n">
        <v>2025</v>
      </c>
      <c r="M71" s="199" t="n">
        <v>2025</v>
      </c>
    </row>
    <row r="72" ht="15" customHeight="1" s="104">
      <c r="A72" s="194" t="n">
        <v>45747</v>
      </c>
      <c r="B72" s="195" t="inlineStr">
        <is>
          <t>Tiktok</t>
        </is>
      </c>
      <c r="D72" s="195" t="inlineStr">
        <is>
          <t>Fees</t>
        </is>
      </c>
      <c r="E72" s="196" t="n">
        <v>-12.23</v>
      </c>
      <c r="F72" s="204" t="n">
        <v>-0.002011308057</v>
      </c>
      <c r="H72" s="196" t="n">
        <v>-12.23</v>
      </c>
      <c r="J72" s="200" t="inlineStr">
        <is>
          <t>MAR 1 - MAR 31, 2025</t>
        </is>
      </c>
      <c r="K72" s="200" t="inlineStr">
        <is>
          <t>Mar</t>
        </is>
      </c>
      <c r="L72" s="199" t="n">
        <v>2025</v>
      </c>
      <c r="M72" s="199" t="n">
        <v>2025</v>
      </c>
    </row>
    <row r="73" ht="15" customHeight="1" s="104">
      <c r="A73" s="194" t="n">
        <v>45747</v>
      </c>
      <c r="B73" s="195" t="inlineStr">
        <is>
          <t>Tiktok</t>
        </is>
      </c>
      <c r="D73" s="195" t="inlineStr">
        <is>
          <t>Referral fee</t>
        </is>
      </c>
      <c r="E73" s="196" t="n">
        <v>-368.17</v>
      </c>
      <c r="F73" s="204" t="n">
        <v>-0.060548102</v>
      </c>
      <c r="H73" s="196" t="n">
        <v>-368.17</v>
      </c>
      <c r="J73" s="200" t="inlineStr">
        <is>
          <t>MAR 1 - MAR 31, 2025</t>
        </is>
      </c>
      <c r="K73" s="200" t="inlineStr">
        <is>
          <t>Mar</t>
        </is>
      </c>
      <c r="L73" s="199" t="n">
        <v>2025</v>
      </c>
      <c r="M73" s="199" t="n">
        <v>2025</v>
      </c>
    </row>
    <row r="74" ht="15" customHeight="1" s="104">
      <c r="A74" s="194" t="n">
        <v>45747</v>
      </c>
      <c r="B74" s="195" t="inlineStr">
        <is>
          <t>Tiktok</t>
        </is>
      </c>
      <c r="D74" s="195" t="inlineStr">
        <is>
          <t>Affiliate commission</t>
        </is>
      </c>
      <c r="E74" s="196" t="n">
        <v>-603.54</v>
      </c>
      <c r="F74" s="204" t="n">
        <v>-0.09925632584000001</v>
      </c>
      <c r="H74" s="196" t="n">
        <v>-603.54</v>
      </c>
      <c r="J74" s="200" t="inlineStr">
        <is>
          <t>MAR 1 - MAR 31, 2025</t>
        </is>
      </c>
      <c r="K74" s="200" t="inlineStr">
        <is>
          <t>Mar</t>
        </is>
      </c>
      <c r="L74" s="199" t="n">
        <v>2025</v>
      </c>
      <c r="M74" s="199" t="n">
        <v>2025</v>
      </c>
    </row>
    <row r="75" ht="15" customHeight="1" s="104">
      <c r="A75" s="194" t="n">
        <v>45747</v>
      </c>
      <c r="B75" s="195" t="inlineStr">
        <is>
          <t>Tiktok</t>
        </is>
      </c>
      <c r="D75" s="195" t="inlineStr">
        <is>
          <t xml:space="preserve">Adjustments
</t>
        </is>
      </c>
      <c r="E75" s="196" t="n">
        <v>-32.12</v>
      </c>
      <c r="F75" s="204" t="n">
        <v>-0.005282356076</v>
      </c>
      <c r="H75" s="196" t="n">
        <v>-32.12</v>
      </c>
      <c r="J75" s="200" t="inlineStr">
        <is>
          <t>MAR 1 - MAR 31, 2025</t>
        </is>
      </c>
      <c r="K75" s="200" t="inlineStr">
        <is>
          <t>Mar</t>
        </is>
      </c>
      <c r="L75" s="199" t="n">
        <v>2025</v>
      </c>
      <c r="M75" s="199" t="n">
        <v>2025</v>
      </c>
    </row>
    <row r="76" ht="15" customHeight="1" s="104">
      <c r="A76" s="194" t="n">
        <v>45747</v>
      </c>
      <c r="B76" s="195" t="inlineStr">
        <is>
          <t>Tiktok</t>
        </is>
      </c>
      <c r="D76" s="195" t="inlineStr">
        <is>
          <t>Cost of goods</t>
        </is>
      </c>
      <c r="E76" s="196" t="n">
        <v>-2635.35</v>
      </c>
      <c r="F76" s="204" t="n">
        <v>-0.4334015281</v>
      </c>
      <c r="H76" s="196" t="n">
        <v>-2635.35</v>
      </c>
      <c r="J76" s="200" t="inlineStr">
        <is>
          <t>MAR 1 - MAR 31, 2025</t>
        </is>
      </c>
      <c r="K76" s="200" t="inlineStr">
        <is>
          <t>Mar</t>
        </is>
      </c>
      <c r="L76" s="199" t="n">
        <v>2025</v>
      </c>
      <c r="M76" s="199" t="n">
        <v>2025</v>
      </c>
    </row>
    <row r="77" ht="15" customHeight="1" s="104">
      <c r="A77" s="194" t="n">
        <v>45747</v>
      </c>
      <c r="B77" s="195" t="inlineStr">
        <is>
          <t>Tiktok</t>
        </is>
      </c>
      <c r="D77" s="195" t="inlineStr">
        <is>
          <t>Advertising cost</t>
        </is>
      </c>
      <c r="E77" s="196" t="n">
        <v>-558.59</v>
      </c>
      <c r="F77" s="204" t="n">
        <v>-0.09186398755</v>
      </c>
      <c r="H77" s="196" t="n">
        <v>-558.59</v>
      </c>
      <c r="J77" s="200" t="inlineStr">
        <is>
          <t>MAR 1 - MAR 31, 2025</t>
        </is>
      </c>
      <c r="K77" s="200" t="inlineStr">
        <is>
          <t>Mar</t>
        </is>
      </c>
      <c r="L77" s="199" t="n">
        <v>2025</v>
      </c>
      <c r="M77" s="199" t="n">
        <v>2025</v>
      </c>
    </row>
    <row r="78" ht="15" customHeight="1" s="104">
      <c r="A78" s="194" t="n">
        <v>45747</v>
      </c>
      <c r="B78" s="195" t="inlineStr">
        <is>
          <t>Walmart</t>
        </is>
      </c>
      <c r="D78" s="195" t="inlineStr">
        <is>
          <t>Advertising cost</t>
        </is>
      </c>
      <c r="E78" s="196" t="n">
        <v>-349.56</v>
      </c>
      <c r="F78" s="204" t="n">
        <v>-0.06019030302</v>
      </c>
      <c r="H78" s="196" t="n">
        <v>-349.56</v>
      </c>
      <c r="J78" s="200" t="inlineStr">
        <is>
          <t>MAR 1 - MAR 31, 2025</t>
        </is>
      </c>
      <c r="K78" s="200" t="inlineStr">
        <is>
          <t>Mar</t>
        </is>
      </c>
      <c r="L78" s="199" t="n">
        <v>2025</v>
      </c>
      <c r="M78" s="199" t="n">
        <v>2025</v>
      </c>
    </row>
    <row r="79" ht="15" customHeight="1" s="104">
      <c r="A79" s="194" t="n">
        <v>45747</v>
      </c>
      <c r="B79" s="195" t="inlineStr">
        <is>
          <t>Walmart</t>
        </is>
      </c>
      <c r="D79" s="195" t="inlineStr">
        <is>
          <t>Shipping costs</t>
        </is>
      </c>
      <c r="E79" s="196" t="n">
        <v>-670.25</v>
      </c>
      <c r="F79" s="204" t="n">
        <v>-0.1154095165</v>
      </c>
      <c r="H79" s="196" t="n">
        <v>-670.25</v>
      </c>
      <c r="J79" s="200" t="inlineStr">
        <is>
          <t>MAR 1 - MAR 31, 2025</t>
        </is>
      </c>
      <c r="K79" s="200" t="inlineStr">
        <is>
          <t>Mar</t>
        </is>
      </c>
      <c r="L79" s="199" t="n">
        <v>2025</v>
      </c>
      <c r="M79" s="199" t="n">
        <v>2025</v>
      </c>
    </row>
    <row r="80" ht="15" customHeight="1" s="104">
      <c r="A80" s="194" t="n">
        <v>45747</v>
      </c>
      <c r="B80" s="195" t="inlineStr">
        <is>
          <t>Walmart</t>
        </is>
      </c>
      <c r="D80" s="195" t="inlineStr">
        <is>
          <t>Fees</t>
        </is>
      </c>
      <c r="E80" s="196" t="n">
        <v>-934.23</v>
      </c>
      <c r="F80" s="204" t="n">
        <v>-0.1608639054</v>
      </c>
      <c r="H80" s="196" t="n">
        <v>-934.23</v>
      </c>
      <c r="J80" s="200" t="inlineStr">
        <is>
          <t>MAR 1 - MAR 31, 2025</t>
        </is>
      </c>
      <c r="K80" s="200" t="inlineStr">
        <is>
          <t>Mar</t>
        </is>
      </c>
      <c r="L80" s="199" t="n">
        <v>2025</v>
      </c>
      <c r="M80" s="199" t="n">
        <v>2025</v>
      </c>
    </row>
    <row r="81" ht="15" customHeight="1" s="104">
      <c r="A81" s="194" t="n">
        <v>45747</v>
      </c>
      <c r="B81" s="195" t="inlineStr">
        <is>
          <t>Walmart</t>
        </is>
      </c>
      <c r="D81" s="195" t="inlineStr">
        <is>
          <t>Cost of goods</t>
        </is>
      </c>
      <c r="E81" s="196" t="n">
        <v>-1604.5</v>
      </c>
      <c r="F81" s="204" t="n">
        <v>-0.2762768658</v>
      </c>
      <c r="H81" s="196" t="n">
        <v>-1604.5</v>
      </c>
      <c r="J81" s="200" t="inlineStr">
        <is>
          <t>MAR 1 - MAR 31, 2025</t>
        </is>
      </c>
      <c r="K81" s="200" t="inlineStr">
        <is>
          <t>Mar</t>
        </is>
      </c>
      <c r="L81" s="199" t="n">
        <v>2025</v>
      </c>
      <c r="M81" s="199" t="n">
        <v>2025</v>
      </c>
    </row>
    <row r="82" ht="15" customHeight="1" s="104">
      <c r="A82" s="194" t="n">
        <v>45777</v>
      </c>
      <c r="B82" s="195" t="inlineStr">
        <is>
          <t>Amazon US</t>
        </is>
      </c>
      <c r="D82" s="195" t="inlineStr">
        <is>
          <t>Promo</t>
        </is>
      </c>
      <c r="E82" s="196" t="n">
        <v>-610.12</v>
      </c>
      <c r="F82" s="204" t="n">
        <v>-0.005877099157</v>
      </c>
      <c r="H82" s="196" t="n">
        <v>-610.12</v>
      </c>
      <c r="J82" s="200" t="inlineStr">
        <is>
          <t>APR 1 - APRIL 30, 2025</t>
        </is>
      </c>
      <c r="K82" s="200" t="inlineStr">
        <is>
          <t>Apr</t>
        </is>
      </c>
      <c r="L82" s="199" t="n">
        <v>2025</v>
      </c>
      <c r="M82" s="199" t="n">
        <v>2025</v>
      </c>
    </row>
    <row r="83" ht="15" customHeight="1" s="104">
      <c r="A83" s="194" t="n">
        <v>45777</v>
      </c>
      <c r="B83" s="195" t="inlineStr">
        <is>
          <t>Amazon US</t>
        </is>
      </c>
      <c r="D83" s="195" t="inlineStr">
        <is>
          <t>Advertising cost</t>
        </is>
      </c>
      <c r="E83" s="196" t="n">
        <v>-5095.96</v>
      </c>
      <c r="F83" s="204" t="n">
        <v>-0.04908782243</v>
      </c>
      <c r="H83" s="196" t="n">
        <v>-5095.96</v>
      </c>
      <c r="J83" s="200" t="inlineStr">
        <is>
          <t>APR 1 - APRIL 30, 2025</t>
        </is>
      </c>
      <c r="K83" s="200" t="inlineStr">
        <is>
          <t>Apr</t>
        </is>
      </c>
      <c r="L83" s="199" t="n">
        <v>2025</v>
      </c>
      <c r="M83" s="199" t="n">
        <v>2025</v>
      </c>
    </row>
    <row r="84" ht="15" customHeight="1" s="104">
      <c r="A84" s="194" t="n">
        <v>45777</v>
      </c>
      <c r="B84" s="195" t="inlineStr">
        <is>
          <t>Amazon US</t>
        </is>
      </c>
      <c r="D84" s="195" t="inlineStr">
        <is>
          <t>Refund cost</t>
        </is>
      </c>
      <c r="E84" s="196" t="n">
        <v>-4646.17</v>
      </c>
      <c r="F84" s="204" t="n">
        <v>-0.04475513307</v>
      </c>
      <c r="H84" s="196" t="n">
        <v>-4646.17</v>
      </c>
      <c r="J84" s="200" t="inlineStr">
        <is>
          <t>APR 1 - APRIL 30, 2025</t>
        </is>
      </c>
      <c r="K84" s="200" t="inlineStr">
        <is>
          <t>Apr</t>
        </is>
      </c>
      <c r="L84" s="199" t="n">
        <v>2025</v>
      </c>
      <c r="M84" s="199" t="n">
        <v>2025</v>
      </c>
    </row>
    <row r="85" ht="15" customHeight="1" s="104">
      <c r="A85" s="194" t="n">
        <v>45777</v>
      </c>
      <c r="B85" s="195" t="inlineStr">
        <is>
          <t>Amazon US</t>
        </is>
      </c>
      <c r="D85" s="195" t="inlineStr">
        <is>
          <t>Amazon fees</t>
        </is>
      </c>
      <c r="E85" s="196" t="n">
        <v>-34548.48</v>
      </c>
      <c r="F85" s="204" t="n">
        <v>-0.33279493</v>
      </c>
      <c r="H85" s="196" t="n">
        <v>-34548.48</v>
      </c>
      <c r="J85" s="200" t="inlineStr">
        <is>
          <t>APR 1 - APRIL 30, 2025</t>
        </is>
      </c>
      <c r="K85" s="200" t="inlineStr">
        <is>
          <t>Apr</t>
        </is>
      </c>
      <c r="L85" s="199" t="n">
        <v>2025</v>
      </c>
      <c r="M85" s="199" t="n">
        <v>2025</v>
      </c>
    </row>
    <row r="86" ht="15" customHeight="1" s="104">
      <c r="A86" s="194" t="n">
        <v>45777</v>
      </c>
      <c r="B86" s="195" t="inlineStr">
        <is>
          <t>Amazon US</t>
        </is>
      </c>
      <c r="D86" s="195" t="inlineStr">
        <is>
          <t>Cost of goods</t>
        </is>
      </c>
      <c r="E86" s="196" t="n">
        <v>-28390.92</v>
      </c>
      <c r="F86" s="204" t="n">
        <v>-0.2734810398</v>
      </c>
      <c r="H86" s="196" t="n">
        <v>-28390.92</v>
      </c>
      <c r="J86" s="200" t="inlineStr">
        <is>
          <t>APR 1 - APRIL 30, 2025</t>
        </is>
      </c>
      <c r="K86" s="200" t="inlineStr">
        <is>
          <t>Apr</t>
        </is>
      </c>
      <c r="L86" s="199" t="n">
        <v>2025</v>
      </c>
      <c r="M86" s="199" t="n">
        <v>2025</v>
      </c>
    </row>
    <row r="87" ht="15" customHeight="1" s="104">
      <c r="A87" s="194" t="n">
        <v>45777</v>
      </c>
      <c r="B87" s="195" t="inlineStr">
        <is>
          <t>Amazon CA</t>
        </is>
      </c>
      <c r="D87" s="195" t="inlineStr">
        <is>
          <t>Promo</t>
        </is>
      </c>
      <c r="E87" s="198" t="n">
        <v>0</v>
      </c>
      <c r="F87" s="201" t="n">
        <v>0</v>
      </c>
      <c r="H87" s="198" t="n">
        <v>0</v>
      </c>
      <c r="J87" s="200" t="inlineStr">
        <is>
          <t>APR 1 - APRIL 30, 2025</t>
        </is>
      </c>
      <c r="K87" s="200" t="inlineStr">
        <is>
          <t>Apr</t>
        </is>
      </c>
      <c r="L87" s="199" t="n">
        <v>2025</v>
      </c>
      <c r="M87" s="199" t="n">
        <v>2025</v>
      </c>
    </row>
    <row r="88" ht="15" customHeight="1" s="104">
      <c r="A88" s="194" t="n">
        <v>45777</v>
      </c>
      <c r="B88" s="195" t="inlineStr">
        <is>
          <t>Amazon CA</t>
        </is>
      </c>
      <c r="D88" s="195" t="inlineStr">
        <is>
          <t>Advertising cost</t>
        </is>
      </c>
      <c r="E88" s="196" t="n">
        <v>-604.46</v>
      </c>
      <c r="F88" s="204" t="n">
        <v>-0.1385778609</v>
      </c>
      <c r="H88" s="196" t="n">
        <v>-604.46</v>
      </c>
      <c r="J88" s="200" t="inlineStr">
        <is>
          <t>APR 1 - APRIL 30, 2025</t>
        </is>
      </c>
      <c r="K88" s="200" t="inlineStr">
        <is>
          <t>Apr</t>
        </is>
      </c>
      <c r="L88" s="199" t="n">
        <v>2025</v>
      </c>
      <c r="M88" s="199" t="n">
        <v>2025</v>
      </c>
    </row>
    <row r="89" ht="15" customHeight="1" s="104">
      <c r="A89" s="194" t="n">
        <v>45777</v>
      </c>
      <c r="B89" s="195" t="inlineStr">
        <is>
          <t>Amazon CA</t>
        </is>
      </c>
      <c r="D89" s="195" t="inlineStr">
        <is>
          <t>Refund cost</t>
        </is>
      </c>
      <c r="E89" s="196" t="n">
        <v>-333.16</v>
      </c>
      <c r="F89" s="204" t="n">
        <v>-0.07637990958</v>
      </c>
      <c r="H89" s="196" t="n">
        <v>-333.16</v>
      </c>
      <c r="J89" s="200" t="inlineStr">
        <is>
          <t>APR 1 - APRIL 30, 2025</t>
        </is>
      </c>
      <c r="K89" s="200" t="inlineStr">
        <is>
          <t>Apr</t>
        </is>
      </c>
      <c r="L89" s="199" t="n">
        <v>2025</v>
      </c>
      <c r="M89" s="199" t="n">
        <v>2025</v>
      </c>
    </row>
    <row r="90" ht="15" customHeight="1" s="104">
      <c r="A90" s="194" t="n">
        <v>45777</v>
      </c>
      <c r="B90" s="195" t="inlineStr">
        <is>
          <t>Amazon CA</t>
        </is>
      </c>
      <c r="D90" s="195" t="inlineStr">
        <is>
          <t>Amazon fees</t>
        </is>
      </c>
      <c r="E90" s="196" t="n">
        <v>-1319.82</v>
      </c>
      <c r="F90" s="204" t="n">
        <v>-0.3025805387</v>
      </c>
      <c r="H90" s="196" t="n">
        <v>-1319.82</v>
      </c>
      <c r="J90" s="200" t="inlineStr">
        <is>
          <t>APR 1 - APRIL 30, 2025</t>
        </is>
      </c>
      <c r="K90" s="200" t="inlineStr">
        <is>
          <t>Apr</t>
        </is>
      </c>
      <c r="L90" s="199" t="n">
        <v>2025</v>
      </c>
      <c r="M90" s="199" t="n">
        <v>2025</v>
      </c>
    </row>
    <row r="91" ht="15" customHeight="1" s="104">
      <c r="A91" s="194" t="n">
        <v>45777</v>
      </c>
      <c r="B91" s="195" t="inlineStr">
        <is>
          <t>Amazon CA</t>
        </is>
      </c>
      <c r="D91" s="195" t="inlineStr">
        <is>
          <t>Cost of goods</t>
        </is>
      </c>
      <c r="E91" s="196" t="n">
        <v>-1230.26</v>
      </c>
      <c r="F91" s="204" t="n">
        <v>-0.2820481077</v>
      </c>
      <c r="H91" s="196" t="n">
        <v>-1230.26</v>
      </c>
      <c r="J91" s="200" t="inlineStr">
        <is>
          <t>APR 1 - APRIL 30, 2025</t>
        </is>
      </c>
      <c r="K91" s="200" t="inlineStr">
        <is>
          <t>Apr</t>
        </is>
      </c>
      <c r="L91" s="199" t="n">
        <v>2025</v>
      </c>
      <c r="M91" s="199" t="n">
        <v>2025</v>
      </c>
    </row>
    <row r="92" ht="15" customHeight="1" s="104">
      <c r="A92" s="194" t="n">
        <v>45777</v>
      </c>
      <c r="B92" s="195" t="inlineStr">
        <is>
          <t>Shopify</t>
        </is>
      </c>
      <c r="D92" s="195" t="inlineStr">
        <is>
          <t>Advertising cost</t>
        </is>
      </c>
      <c r="E92" s="196" t="n">
        <v>-2217.12</v>
      </c>
      <c r="F92" s="204" t="n">
        <v>-0.1645090705</v>
      </c>
      <c r="H92" s="196" t="n">
        <v>-2217.12</v>
      </c>
      <c r="J92" s="200" t="inlineStr">
        <is>
          <t>APR 1 - APRIL 30, 2025</t>
        </is>
      </c>
      <c r="K92" s="200" t="inlineStr">
        <is>
          <t>Apr</t>
        </is>
      </c>
      <c r="L92" s="199" t="n">
        <v>2025</v>
      </c>
      <c r="M92" s="199" t="n">
        <v>2025</v>
      </c>
    </row>
    <row r="93" ht="15" customHeight="1" s="104">
      <c r="A93" s="194" t="n">
        <v>45777</v>
      </c>
      <c r="B93" s="195" t="inlineStr">
        <is>
          <t>Shopify</t>
        </is>
      </c>
      <c r="D93" s="195" t="inlineStr">
        <is>
          <t>Payment fees</t>
        </is>
      </c>
      <c r="E93" s="196" t="n">
        <v>-446.53</v>
      </c>
      <c r="F93" s="204" t="n">
        <v>-0.03313227757</v>
      </c>
      <c r="H93" s="196" t="n">
        <v>-446.53</v>
      </c>
      <c r="J93" s="200" t="inlineStr">
        <is>
          <t>APR 1 - APRIL 30, 2025</t>
        </is>
      </c>
      <c r="K93" s="200" t="inlineStr">
        <is>
          <t>Apr</t>
        </is>
      </c>
      <c r="L93" s="199" t="n">
        <v>2025</v>
      </c>
      <c r="M93" s="199" t="n">
        <v>2025</v>
      </c>
    </row>
    <row r="94" ht="15" customHeight="1" s="104">
      <c r="A94" s="194" t="n">
        <v>45777</v>
      </c>
      <c r="B94" s="195" t="inlineStr">
        <is>
          <t>Shopify</t>
        </is>
      </c>
      <c r="D94" s="195" t="inlineStr">
        <is>
          <t>Cost of goods</t>
        </is>
      </c>
      <c r="E94" s="196" t="n">
        <v>-4530.05</v>
      </c>
      <c r="F94" s="204" t="n">
        <v>-0.3361271897</v>
      </c>
      <c r="H94" s="196" t="n">
        <v>-4530.05</v>
      </c>
      <c r="J94" s="200" t="inlineStr">
        <is>
          <t>APR 1 - APRIL 30, 2025</t>
        </is>
      </c>
      <c r="K94" s="200" t="inlineStr">
        <is>
          <t>Apr</t>
        </is>
      </c>
      <c r="L94" s="199" t="n">
        <v>2025</v>
      </c>
      <c r="M94" s="199" t="n">
        <v>2025</v>
      </c>
    </row>
    <row r="95" ht="15" customHeight="1" s="104">
      <c r="A95" s="194" t="n">
        <v>45777</v>
      </c>
      <c r="B95" s="195" t="inlineStr">
        <is>
          <t>Shopify</t>
        </is>
      </c>
      <c r="D95" s="195" t="inlineStr">
        <is>
          <t>Tax</t>
        </is>
      </c>
      <c r="E95" s="196" t="n">
        <v>-40.91</v>
      </c>
      <c r="F95" s="204" t="n">
        <v>-0.00303549924</v>
      </c>
      <c r="H95" s="196" t="n">
        <v>-40.91</v>
      </c>
      <c r="J95" s="200" t="inlineStr">
        <is>
          <t>APR 1 - APRIL 30, 2025</t>
        </is>
      </c>
      <c r="K95" s="200" t="inlineStr">
        <is>
          <t>Apr</t>
        </is>
      </c>
      <c r="L95" s="199" t="n">
        <v>2025</v>
      </c>
      <c r="M95" s="199" t="n">
        <v>2025</v>
      </c>
    </row>
    <row r="96" ht="15" customHeight="1" s="104">
      <c r="A96" s="194" t="n">
        <v>45777</v>
      </c>
      <c r="B96" s="195" t="inlineStr">
        <is>
          <t>Shopify</t>
        </is>
      </c>
      <c r="D96" s="195" t="inlineStr">
        <is>
          <t>MCF Shipping fees</t>
        </is>
      </c>
      <c r="E96" s="196" t="n">
        <v>-3655.5</v>
      </c>
      <c r="F96" s="204" t="n">
        <v>-0.2712360663</v>
      </c>
      <c r="H96" s="196" t="n">
        <v>-3655.5</v>
      </c>
      <c r="J96" s="200" t="inlineStr">
        <is>
          <t>APR 1 - APRIL 30, 2025</t>
        </is>
      </c>
      <c r="K96" s="200" t="inlineStr">
        <is>
          <t>Apr</t>
        </is>
      </c>
      <c r="L96" s="199" t="n">
        <v>2025</v>
      </c>
      <c r="M96" s="199" t="n">
        <v>2025</v>
      </c>
    </row>
    <row r="97" ht="15" customHeight="1" s="104">
      <c r="A97" s="194" t="n">
        <v>45777</v>
      </c>
      <c r="B97" s="195" t="inlineStr">
        <is>
          <t>Shopify</t>
        </is>
      </c>
      <c r="D97" s="195" t="inlineStr">
        <is>
          <t>Shipping Cost</t>
        </is>
      </c>
      <c r="E97" s="198" t="n">
        <v>0</v>
      </c>
      <c r="F97" s="201" t="n">
        <v>0</v>
      </c>
      <c r="H97" s="198" t="n">
        <v>0</v>
      </c>
      <c r="J97" s="200" t="inlineStr">
        <is>
          <t>APR 1 - APRIL 30, 2025</t>
        </is>
      </c>
      <c r="K97" s="200" t="inlineStr">
        <is>
          <t>Apr</t>
        </is>
      </c>
      <c r="L97" s="199" t="n">
        <v>2025</v>
      </c>
      <c r="M97" s="199" t="n">
        <v>2025</v>
      </c>
    </row>
    <row r="98" ht="15" customHeight="1" s="104">
      <c r="A98" s="194" t="n">
        <v>45777</v>
      </c>
      <c r="B98" s="195" t="inlineStr">
        <is>
          <t>Tiktok</t>
        </is>
      </c>
      <c r="D98" s="195" t="inlineStr">
        <is>
          <t>Tiktok Shipping</t>
        </is>
      </c>
      <c r="E98" s="196" t="n">
        <v>-54.23</v>
      </c>
      <c r="F98" s="204" t="n">
        <v>-0.009286245124</v>
      </c>
      <c r="H98" s="196" t="n">
        <v>-54.23</v>
      </c>
      <c r="J98" s="200" t="inlineStr">
        <is>
          <t>APR 1 - APRIL 30, 2025</t>
        </is>
      </c>
      <c r="K98" s="200" t="inlineStr">
        <is>
          <t>Apr</t>
        </is>
      </c>
      <c r="L98" s="199" t="n">
        <v>2025</v>
      </c>
      <c r="M98" s="199" t="n">
        <v>2025</v>
      </c>
    </row>
    <row r="99" ht="15" customHeight="1" s="104">
      <c r="A99" s="194" t="n">
        <v>45777</v>
      </c>
      <c r="B99" s="195" t="inlineStr">
        <is>
          <t>Tiktok</t>
        </is>
      </c>
      <c r="D99" s="195" t="inlineStr">
        <is>
          <t>MCF Shipping fees</t>
        </is>
      </c>
      <c r="E99" s="196" t="n">
        <v>-1164.39</v>
      </c>
      <c r="F99" s="204" t="n">
        <v>-0.1993879948</v>
      </c>
      <c r="H99" s="196" t="n">
        <v>-1164.39</v>
      </c>
      <c r="J99" s="200" t="inlineStr">
        <is>
          <t>APR 1 - APRIL 30, 2025</t>
        </is>
      </c>
      <c r="K99" s="200" t="inlineStr">
        <is>
          <t>Apr</t>
        </is>
      </c>
      <c r="L99" s="199" t="n">
        <v>2025</v>
      </c>
      <c r="M99" s="199" t="n">
        <v>2025</v>
      </c>
    </row>
    <row r="100" ht="15" customHeight="1" s="104">
      <c r="A100" s="194" t="n">
        <v>45777</v>
      </c>
      <c r="B100" s="195" t="inlineStr">
        <is>
          <t>Tiktok</t>
        </is>
      </c>
      <c r="D100" s="195" t="inlineStr">
        <is>
          <t>Fees</t>
        </is>
      </c>
      <c r="E100" s="196" t="n">
        <v>-56.84</v>
      </c>
      <c r="F100" s="204" t="n">
        <v>-0.009733176708</v>
      </c>
      <c r="H100" s="196" t="n">
        <v>-56.84</v>
      </c>
      <c r="J100" s="200" t="inlineStr">
        <is>
          <t>APR 1 - APRIL 30, 2025</t>
        </is>
      </c>
      <c r="K100" s="200" t="inlineStr">
        <is>
          <t>Apr</t>
        </is>
      </c>
      <c r="L100" s="199" t="n">
        <v>2025</v>
      </c>
      <c r="M100" s="199" t="n">
        <v>2025</v>
      </c>
    </row>
    <row r="101" ht="15" customHeight="1" s="104">
      <c r="A101" s="194" t="n">
        <v>45777</v>
      </c>
      <c r="B101" s="195" t="inlineStr">
        <is>
          <t>Tiktok</t>
        </is>
      </c>
      <c r="D101" s="195" t="inlineStr">
        <is>
          <t>Referral fee</t>
        </is>
      </c>
      <c r="E101" s="196" t="n">
        <v>-350.18</v>
      </c>
      <c r="F101" s="204" t="n">
        <v>-0.05996417698</v>
      </c>
      <c r="H101" s="196" t="n">
        <v>-350.18</v>
      </c>
      <c r="J101" s="200" t="inlineStr">
        <is>
          <t>APR 1 - APRIL 30, 2025</t>
        </is>
      </c>
      <c r="K101" s="200" t="inlineStr">
        <is>
          <t>Apr</t>
        </is>
      </c>
      <c r="L101" s="199" t="n">
        <v>2025</v>
      </c>
      <c r="M101" s="199" t="n">
        <v>2025</v>
      </c>
    </row>
    <row r="102" ht="15" customHeight="1" s="104">
      <c r="A102" s="194" t="n">
        <v>45777</v>
      </c>
      <c r="B102" s="195" t="inlineStr">
        <is>
          <t>Tiktok</t>
        </is>
      </c>
      <c r="D102" s="195" t="inlineStr">
        <is>
          <t>Affiliate commission</t>
        </is>
      </c>
      <c r="E102" s="196" t="n">
        <v>-595.09</v>
      </c>
      <c r="F102" s="204" t="n">
        <v>-0.1019021134</v>
      </c>
      <c r="H102" s="196" t="n">
        <v>-595.09</v>
      </c>
      <c r="J102" s="200" t="inlineStr">
        <is>
          <t>APR 1 - APRIL 30, 2025</t>
        </is>
      </c>
      <c r="K102" s="200" t="inlineStr">
        <is>
          <t>Apr</t>
        </is>
      </c>
      <c r="L102" s="199" t="n">
        <v>2025</v>
      </c>
      <c r="M102" s="199" t="n">
        <v>2025</v>
      </c>
    </row>
    <row r="103" ht="15" customHeight="1" s="104">
      <c r="A103" s="194" t="n">
        <v>45777</v>
      </c>
      <c r="B103" s="195" t="inlineStr">
        <is>
          <t>Tiktok</t>
        </is>
      </c>
      <c r="D103" s="195" t="inlineStr">
        <is>
          <t xml:space="preserve">Adjustments
</t>
        </is>
      </c>
      <c r="E103" s="196" t="n">
        <v>21.71</v>
      </c>
      <c r="F103" s="204" t="n">
        <v>0.003717580336</v>
      </c>
      <c r="H103" s="196" t="n">
        <v>21.71</v>
      </c>
      <c r="J103" s="200" t="inlineStr">
        <is>
          <t>APR 1 - APRIL 30, 2025</t>
        </is>
      </c>
      <c r="K103" s="200" t="inlineStr">
        <is>
          <t>Apr</t>
        </is>
      </c>
      <c r="L103" s="199" t="n">
        <v>2025</v>
      </c>
      <c r="M103" s="199" t="n">
        <v>2025</v>
      </c>
    </row>
    <row r="104" ht="15" customHeight="1" s="104">
      <c r="A104" s="194" t="n">
        <v>45777</v>
      </c>
      <c r="B104" s="195" t="inlineStr">
        <is>
          <t>Tiktok</t>
        </is>
      </c>
      <c r="D104" s="195" t="inlineStr">
        <is>
          <t>Cost of goods</t>
        </is>
      </c>
      <c r="E104" s="196" t="n">
        <v>-2021.46</v>
      </c>
      <c r="F104" s="204" t="n">
        <v>-0.34615108</v>
      </c>
      <c r="H104" s="196" t="n">
        <v>-2021.46</v>
      </c>
      <c r="J104" s="200" t="inlineStr">
        <is>
          <t>APR 1 - APRIL 30, 2025</t>
        </is>
      </c>
      <c r="K104" s="200" t="inlineStr">
        <is>
          <t>Apr</t>
        </is>
      </c>
      <c r="L104" s="199" t="n">
        <v>2025</v>
      </c>
      <c r="M104" s="199" t="n">
        <v>2025</v>
      </c>
    </row>
    <row r="105" ht="15" customHeight="1" s="104">
      <c r="A105" s="194" t="n">
        <v>45777</v>
      </c>
      <c r="B105" s="195" t="inlineStr">
        <is>
          <t>Tiktok</t>
        </is>
      </c>
      <c r="D105" s="195" t="inlineStr">
        <is>
          <t>Advertising cost</t>
        </is>
      </c>
      <c r="E105" s="196" t="n">
        <v>-335.82</v>
      </c>
      <c r="F105" s="204" t="n">
        <v>-0.05750519708</v>
      </c>
      <c r="H105" s="196" t="n">
        <v>-335.82</v>
      </c>
      <c r="J105" s="200" t="inlineStr">
        <is>
          <t>APR 1 - APRIL 30, 2025</t>
        </is>
      </c>
      <c r="K105" s="200" t="inlineStr">
        <is>
          <t>Apr</t>
        </is>
      </c>
      <c r="L105" s="199" t="n">
        <v>2025</v>
      </c>
      <c r="M105" s="199" t="n">
        <v>2025</v>
      </c>
    </row>
    <row r="106" ht="15" customHeight="1" s="104">
      <c r="A106" s="194" t="n">
        <v>45777</v>
      </c>
      <c r="B106" s="195" t="inlineStr">
        <is>
          <t>Walmart</t>
        </is>
      </c>
      <c r="D106" s="195" t="inlineStr">
        <is>
          <t>Advertising cost</t>
        </is>
      </c>
      <c r="E106" s="196" t="n">
        <v>-227.82</v>
      </c>
      <c r="F106" s="204" t="n">
        <v>-0.2034543116</v>
      </c>
      <c r="H106" s="196" t="n">
        <v>-227.82</v>
      </c>
      <c r="J106" s="200" t="inlineStr">
        <is>
          <t>APR 1 - APRIL 30, 2025</t>
        </is>
      </c>
      <c r="K106" s="200" t="inlineStr">
        <is>
          <t>Apr</t>
        </is>
      </c>
      <c r="L106" s="199" t="n">
        <v>2025</v>
      </c>
      <c r="M106" s="199" t="n">
        <v>2025</v>
      </c>
    </row>
    <row r="107" ht="15" customHeight="1" s="104">
      <c r="A107" s="194" t="n">
        <v>45777</v>
      </c>
      <c r="B107" s="195" t="inlineStr">
        <is>
          <t>Walmart</t>
        </is>
      </c>
      <c r="D107" s="195" t="inlineStr">
        <is>
          <t>Shipping costs</t>
        </is>
      </c>
      <c r="E107" s="196" t="n">
        <v>-472.99</v>
      </c>
      <c r="F107" s="204" t="n">
        <v>-0.4224030149</v>
      </c>
      <c r="H107" s="196" t="n">
        <v>-472.99</v>
      </c>
      <c r="J107" s="200" t="inlineStr">
        <is>
          <t>APR 1 - APRIL 30, 2025</t>
        </is>
      </c>
      <c r="K107" s="200" t="inlineStr">
        <is>
          <t>Apr</t>
        </is>
      </c>
      <c r="L107" s="199" t="n">
        <v>2025</v>
      </c>
      <c r="M107" s="199" t="n">
        <v>2025</v>
      </c>
    </row>
    <row r="108" ht="15" customHeight="1" s="104">
      <c r="A108" s="194" t="n">
        <v>45777</v>
      </c>
      <c r="B108" s="195" t="inlineStr">
        <is>
          <t>Walmart</t>
        </is>
      </c>
      <c r="D108" s="195" t="inlineStr">
        <is>
          <t>Fees</t>
        </is>
      </c>
      <c r="E108" s="196" t="n">
        <v>-234.69</v>
      </c>
      <c r="F108" s="204" t="n">
        <v>-0.2095895549</v>
      </c>
      <c r="H108" s="196" t="n">
        <v>-234.69</v>
      </c>
      <c r="J108" s="200" t="inlineStr">
        <is>
          <t>APR 1 - APRIL 30, 2025</t>
        </is>
      </c>
      <c r="K108" s="200" t="inlineStr">
        <is>
          <t>Apr</t>
        </is>
      </c>
      <c r="L108" s="199" t="n">
        <v>2025</v>
      </c>
      <c r="M108" s="199" t="n">
        <v>2025</v>
      </c>
    </row>
    <row r="109" ht="15" customHeight="1" s="104">
      <c r="A109" s="194" t="n">
        <v>45777</v>
      </c>
      <c r="B109" s="195" t="inlineStr">
        <is>
          <t>Walmart</t>
        </is>
      </c>
      <c r="D109" s="195" t="inlineStr">
        <is>
          <t>Cost of goods</t>
        </is>
      </c>
      <c r="E109" s="196" t="n">
        <v>-412.82</v>
      </c>
      <c r="F109" s="204" t="n">
        <v>-0.3686682861</v>
      </c>
      <c r="H109" s="196" t="n">
        <v>-412.82</v>
      </c>
      <c r="J109" s="200" t="inlineStr">
        <is>
          <t>APR 1 - APRIL 30, 2025</t>
        </is>
      </c>
      <c r="K109" s="200" t="inlineStr">
        <is>
          <t>Apr</t>
        </is>
      </c>
      <c r="L109" s="199" t="n">
        <v>2025</v>
      </c>
      <c r="M109" s="199" t="n">
        <v>2025</v>
      </c>
    </row>
    <row r="110" ht="15" customHeight="1" s="104">
      <c r="A110" s="194" t="n">
        <v>45808</v>
      </c>
      <c r="B110" s="195" t="inlineStr">
        <is>
          <t>Amazon US</t>
        </is>
      </c>
      <c r="D110" s="195" t="inlineStr">
        <is>
          <t>Promo</t>
        </is>
      </c>
      <c r="E110" s="196" t="n">
        <v>-950.8</v>
      </c>
      <c r="F110" s="204" t="n">
        <v>-0.009370797469</v>
      </c>
      <c r="H110" s="196" t="n">
        <v>-950.8</v>
      </c>
      <c r="J110" s="200" t="inlineStr">
        <is>
          <t>MAY 1 - MAY 31, 2025</t>
        </is>
      </c>
      <c r="K110" s="200" t="inlineStr">
        <is>
          <t>May</t>
        </is>
      </c>
      <c r="L110" s="199" t="n">
        <v>2025</v>
      </c>
      <c r="M110" s="199" t="n">
        <v>2025</v>
      </c>
    </row>
    <row r="111" ht="15" customHeight="1" s="104">
      <c r="A111" s="194" t="n">
        <v>45808</v>
      </c>
      <c r="B111" s="195" t="inlineStr">
        <is>
          <t>Amazon US</t>
        </is>
      </c>
      <c r="D111" s="195" t="inlineStr">
        <is>
          <t>Advertising cost</t>
        </is>
      </c>
      <c r="E111" s="196" t="n">
        <v>-7182.1</v>
      </c>
      <c r="F111" s="204" t="n">
        <v>-0.07078460717</v>
      </c>
      <c r="H111" s="196" t="n">
        <v>-7182.1</v>
      </c>
      <c r="J111" s="200" t="inlineStr">
        <is>
          <t>MAY 1 - MAY 31, 2025</t>
        </is>
      </c>
      <c r="K111" s="200" t="inlineStr">
        <is>
          <t>May</t>
        </is>
      </c>
      <c r="L111" s="199" t="n">
        <v>2025</v>
      </c>
      <c r="M111" s="199" t="n">
        <v>2025</v>
      </c>
    </row>
    <row r="112" ht="15" customHeight="1" s="104">
      <c r="A112" s="194" t="n">
        <v>45808</v>
      </c>
      <c r="B112" s="195" t="inlineStr">
        <is>
          <t>Amazon US</t>
        </is>
      </c>
      <c r="D112" s="195" t="inlineStr">
        <is>
          <t>Refund cost</t>
        </is>
      </c>
      <c r="E112" s="196" t="n">
        <v>-8811.08</v>
      </c>
      <c r="F112" s="204" t="n">
        <v>-0.08683934178</v>
      </c>
      <c r="H112" s="196" t="n">
        <v>-8811.08</v>
      </c>
      <c r="J112" s="200" t="inlineStr">
        <is>
          <t>MAY 1 - MAY 31, 2025</t>
        </is>
      </c>
      <c r="K112" s="200" t="inlineStr">
        <is>
          <t>May</t>
        </is>
      </c>
      <c r="L112" s="199" t="n">
        <v>2025</v>
      </c>
      <c r="M112" s="199" t="n">
        <v>2025</v>
      </c>
    </row>
    <row r="113" ht="15" customHeight="1" s="104">
      <c r="A113" s="194" t="n">
        <v>45808</v>
      </c>
      <c r="B113" s="195" t="inlineStr">
        <is>
          <t>Amazon US</t>
        </is>
      </c>
      <c r="D113" s="195" t="inlineStr">
        <is>
          <t>Amazon fees</t>
        </is>
      </c>
      <c r="E113" s="196" t="n">
        <v>-34366.54</v>
      </c>
      <c r="F113" s="204" t="n">
        <v>-0.3387062327</v>
      </c>
      <c r="H113" s="196" t="n">
        <v>-34366.54</v>
      </c>
      <c r="J113" s="200" t="inlineStr">
        <is>
          <t>MAY 1 - MAY 31, 2025</t>
        </is>
      </c>
      <c r="K113" s="200" t="inlineStr">
        <is>
          <t>May</t>
        </is>
      </c>
      <c r="L113" s="199" t="n">
        <v>2025</v>
      </c>
      <c r="M113" s="199" t="n">
        <v>2025</v>
      </c>
    </row>
    <row r="114" ht="15" customHeight="1" s="104">
      <c r="A114" s="194" t="n">
        <v>45808</v>
      </c>
      <c r="B114" s="195" t="inlineStr">
        <is>
          <t>Amazon US</t>
        </is>
      </c>
      <c r="D114" s="195" t="inlineStr">
        <is>
          <t>Cost of goods</t>
        </is>
      </c>
      <c r="E114" s="196" t="n">
        <v>-28518.67</v>
      </c>
      <c r="F114" s="204" t="n">
        <v>-0.2810713932</v>
      </c>
      <c r="H114" s="196" t="n">
        <v>-28518.67</v>
      </c>
      <c r="J114" s="200" t="inlineStr">
        <is>
          <t>MAY 1 - MAY 31, 2025</t>
        </is>
      </c>
      <c r="K114" s="200" t="inlineStr">
        <is>
          <t>May</t>
        </is>
      </c>
      <c r="L114" s="199" t="n">
        <v>2025</v>
      </c>
      <c r="M114" s="199" t="n">
        <v>2025</v>
      </c>
    </row>
    <row r="115" ht="15" customHeight="1" s="104">
      <c r="A115" s="194" t="n">
        <v>45808</v>
      </c>
      <c r="B115" s="195" t="inlineStr">
        <is>
          <t>Amazon CA</t>
        </is>
      </c>
      <c r="D115" s="195" t="inlineStr">
        <is>
          <t>Promo</t>
        </is>
      </c>
      <c r="E115" s="198" t="n">
        <v>0</v>
      </c>
      <c r="F115" s="201" t="n">
        <v>0</v>
      </c>
      <c r="H115" s="198" t="n">
        <v>0</v>
      </c>
      <c r="J115" s="200" t="inlineStr">
        <is>
          <t>MAY 1 - MAY 31, 2025</t>
        </is>
      </c>
      <c r="K115" s="200" t="inlineStr">
        <is>
          <t>May</t>
        </is>
      </c>
      <c r="L115" s="199" t="n">
        <v>2025</v>
      </c>
      <c r="M115" s="199" t="n">
        <v>2025</v>
      </c>
    </row>
    <row r="116" ht="15" customHeight="1" s="104">
      <c r="A116" s="194" t="n">
        <v>45808</v>
      </c>
      <c r="B116" s="195" t="inlineStr">
        <is>
          <t>Amazon CA</t>
        </is>
      </c>
      <c r="D116" s="195" t="inlineStr">
        <is>
          <t>Advertising cost</t>
        </is>
      </c>
      <c r="E116" s="196" t="n">
        <v>-763.9299999999999</v>
      </c>
      <c r="F116" s="204" t="n">
        <v>-0.1809154593</v>
      </c>
      <c r="H116" s="196" t="n">
        <v>-763.9299999999999</v>
      </c>
      <c r="J116" s="200" t="inlineStr">
        <is>
          <t>MAY 1 - MAY 31, 2025</t>
        </is>
      </c>
      <c r="K116" s="200" t="inlineStr">
        <is>
          <t>May</t>
        </is>
      </c>
      <c r="L116" s="199" t="n">
        <v>2025</v>
      </c>
      <c r="M116" s="199" t="n">
        <v>2025</v>
      </c>
    </row>
    <row r="117" ht="15" customHeight="1" s="104">
      <c r="A117" s="194" t="n">
        <v>45808</v>
      </c>
      <c r="B117" s="195" t="inlineStr">
        <is>
          <t>Amazon CA</t>
        </is>
      </c>
      <c r="D117" s="195" t="inlineStr">
        <is>
          <t>Refund cost</t>
        </is>
      </c>
      <c r="E117" s="196" t="n">
        <v>-374.47</v>
      </c>
      <c r="F117" s="204" t="n">
        <v>-0.08868274846</v>
      </c>
      <c r="H117" s="196" t="n">
        <v>-374.47</v>
      </c>
      <c r="J117" s="200" t="inlineStr">
        <is>
          <t>MAY 1 - MAY 31, 2025</t>
        </is>
      </c>
      <c r="K117" s="200" t="inlineStr">
        <is>
          <t>May</t>
        </is>
      </c>
      <c r="L117" s="199" t="n">
        <v>2025</v>
      </c>
      <c r="M117" s="199" t="n">
        <v>2025</v>
      </c>
    </row>
    <row r="118" ht="15" customHeight="1" s="104">
      <c r="A118" s="194" t="n">
        <v>45808</v>
      </c>
      <c r="B118" s="195" t="inlineStr">
        <is>
          <t>Amazon CA</t>
        </is>
      </c>
      <c r="D118" s="195" t="inlineStr">
        <is>
          <t>Amazon fees</t>
        </is>
      </c>
      <c r="E118" s="196" t="n">
        <v>-1113.61</v>
      </c>
      <c r="F118" s="204" t="n">
        <v>-0.2637273894</v>
      </c>
      <c r="H118" s="196" t="n">
        <v>-1113.61</v>
      </c>
      <c r="J118" s="200" t="inlineStr">
        <is>
          <t>MAY 1 - MAY 31, 2025</t>
        </is>
      </c>
      <c r="K118" s="200" t="inlineStr">
        <is>
          <t>May</t>
        </is>
      </c>
      <c r="L118" s="199" t="n">
        <v>2025</v>
      </c>
      <c r="M118" s="199" t="n">
        <v>2025</v>
      </c>
    </row>
    <row r="119" ht="15" customHeight="1" s="104">
      <c r="A119" s="194" t="n">
        <v>45808</v>
      </c>
      <c r="B119" s="195" t="inlineStr">
        <is>
          <t>Amazon CA</t>
        </is>
      </c>
      <c r="D119" s="195" t="inlineStr">
        <is>
          <t>Cost of goods</t>
        </is>
      </c>
      <c r="E119" s="196" t="n">
        <v>-1246.18</v>
      </c>
      <c r="F119" s="204" t="n">
        <v>-0.295122887</v>
      </c>
      <c r="H119" s="196" t="n">
        <v>-1246.18</v>
      </c>
      <c r="J119" s="200" t="inlineStr">
        <is>
          <t>MAY 1 - MAY 31, 2025</t>
        </is>
      </c>
      <c r="K119" s="200" t="inlineStr">
        <is>
          <t>May</t>
        </is>
      </c>
      <c r="L119" s="199" t="n">
        <v>2025</v>
      </c>
      <c r="M119" s="199" t="n">
        <v>2025</v>
      </c>
    </row>
    <row r="120" ht="15" customHeight="1" s="104">
      <c r="A120" s="194" t="n">
        <v>45808</v>
      </c>
      <c r="B120" s="195" t="inlineStr">
        <is>
          <t>Shopify</t>
        </is>
      </c>
      <c r="D120" s="195" t="inlineStr">
        <is>
          <t>Advertising cost</t>
        </is>
      </c>
      <c r="E120" s="196" t="n">
        <v>-566.1900000000001</v>
      </c>
      <c r="F120" s="204" t="n">
        <v>-0.2424339739</v>
      </c>
      <c r="H120" s="196" t="n">
        <v>-566.1900000000001</v>
      </c>
      <c r="J120" s="200" t="inlineStr">
        <is>
          <t>MAY 1 - MAY 31, 2025</t>
        </is>
      </c>
      <c r="K120" s="200" t="inlineStr">
        <is>
          <t>May</t>
        </is>
      </c>
      <c r="L120" s="199" t="n">
        <v>2025</v>
      </c>
      <c r="M120" s="199" t="n">
        <v>2025</v>
      </c>
    </row>
    <row r="121" ht="15" customHeight="1" s="104">
      <c r="A121" s="194" t="n">
        <v>45808</v>
      </c>
      <c r="B121" s="195" t="inlineStr">
        <is>
          <t>Shopify</t>
        </is>
      </c>
      <c r="D121" s="195" t="inlineStr">
        <is>
          <t>Payment fees</t>
        </is>
      </c>
      <c r="E121" s="196" t="n">
        <v>-47.52</v>
      </c>
      <c r="F121" s="204" t="n">
        <v>-0.02034734354</v>
      </c>
      <c r="H121" s="196" t="n">
        <v>-47.52</v>
      </c>
      <c r="J121" s="200" t="inlineStr">
        <is>
          <t>MAY 1 - MAY 31, 2025</t>
        </is>
      </c>
      <c r="K121" s="200" t="inlineStr">
        <is>
          <t>May</t>
        </is>
      </c>
      <c r="L121" s="199" t="n">
        <v>2025</v>
      </c>
      <c r="M121" s="199" t="n">
        <v>2025</v>
      </c>
    </row>
    <row r="122" ht="15" customHeight="1" s="104">
      <c r="A122" s="194" t="n">
        <v>45808</v>
      </c>
      <c r="B122" s="195" t="inlineStr">
        <is>
          <t>Shopify</t>
        </is>
      </c>
      <c r="D122" s="195" t="inlineStr">
        <is>
          <t>Cost of goods</t>
        </is>
      </c>
      <c r="E122" s="196" t="n">
        <v>-722.92</v>
      </c>
      <c r="F122" s="204" t="n">
        <v>-0.3095433837</v>
      </c>
      <c r="H122" s="196" t="n">
        <v>-722.92</v>
      </c>
      <c r="J122" s="200" t="inlineStr">
        <is>
          <t>MAY 1 - MAY 31, 2025</t>
        </is>
      </c>
      <c r="K122" s="200" t="inlineStr">
        <is>
          <t>May</t>
        </is>
      </c>
      <c r="L122" s="199" t="n">
        <v>2025</v>
      </c>
      <c r="M122" s="199" t="n">
        <v>2025</v>
      </c>
    </row>
    <row r="123" ht="15" customHeight="1" s="104">
      <c r="A123" s="194" t="n">
        <v>45808</v>
      </c>
      <c r="B123" s="195" t="inlineStr">
        <is>
          <t>Shopify</t>
        </is>
      </c>
      <c r="D123" s="195" t="inlineStr">
        <is>
          <t>Tax</t>
        </is>
      </c>
      <c r="E123" s="196" t="n">
        <v>-22.59</v>
      </c>
      <c r="F123" s="204" t="n">
        <v>-0.009672695509</v>
      </c>
      <c r="H123" s="196" t="n">
        <v>-22.59</v>
      </c>
      <c r="J123" s="200" t="inlineStr">
        <is>
          <t>MAY 1 - MAY 31, 2025</t>
        </is>
      </c>
      <c r="K123" s="200" t="inlineStr">
        <is>
          <t>May</t>
        </is>
      </c>
      <c r="L123" s="199" t="n">
        <v>2025</v>
      </c>
      <c r="M123" s="199" t="n">
        <v>2025</v>
      </c>
    </row>
    <row r="124" ht="15" customHeight="1" s="104">
      <c r="A124" s="194" t="n">
        <v>45808</v>
      </c>
      <c r="B124" s="195" t="inlineStr">
        <is>
          <t>Shopify</t>
        </is>
      </c>
      <c r="D124" s="195" t="inlineStr">
        <is>
          <t>MCF Shipping fees</t>
        </is>
      </c>
      <c r="E124" s="196" t="n">
        <v>-439.14</v>
      </c>
      <c r="F124" s="204" t="n">
        <v>-0.1880330901</v>
      </c>
      <c r="H124" s="196" t="n">
        <v>-439.14</v>
      </c>
      <c r="J124" s="200" t="inlineStr">
        <is>
          <t>MAY 1 - MAY 31, 2025</t>
        </is>
      </c>
      <c r="K124" s="200" t="inlineStr">
        <is>
          <t>May</t>
        </is>
      </c>
      <c r="L124" s="199" t="n">
        <v>2025</v>
      </c>
      <c r="M124" s="199" t="n">
        <v>2025</v>
      </c>
    </row>
    <row r="125" ht="15" customHeight="1" s="104">
      <c r="A125" s="194" t="n">
        <v>45808</v>
      </c>
      <c r="B125" s="195" t="inlineStr">
        <is>
          <t>Shopify</t>
        </is>
      </c>
      <c r="D125" s="195" t="inlineStr">
        <is>
          <t>Shipping Cost</t>
        </is>
      </c>
      <c r="E125" s="198" t="n">
        <v>0</v>
      </c>
      <c r="F125" s="201" t="n">
        <v>0</v>
      </c>
      <c r="H125" s="198" t="n">
        <v>0</v>
      </c>
      <c r="J125" s="200" t="inlineStr">
        <is>
          <t>MAY 1 - MAY 31, 2025</t>
        </is>
      </c>
      <c r="K125" s="200" t="inlineStr">
        <is>
          <t>May</t>
        </is>
      </c>
      <c r="L125" s="199" t="n">
        <v>2025</v>
      </c>
      <c r="M125" s="199" t="n">
        <v>2025</v>
      </c>
    </row>
    <row r="126" ht="15" customHeight="1" s="104">
      <c r="A126" s="194" t="n">
        <v>45808</v>
      </c>
      <c r="B126" s="195" t="inlineStr">
        <is>
          <t>Walmart</t>
        </is>
      </c>
      <c r="D126" s="195" t="inlineStr">
        <is>
          <t>Advertising cost</t>
        </is>
      </c>
      <c r="E126" s="196" t="n">
        <v>-216.53</v>
      </c>
      <c r="F126" s="204" t="n">
        <v>-0.1459687205</v>
      </c>
      <c r="H126" s="196" t="n">
        <v>-216.53</v>
      </c>
      <c r="J126" s="200" t="inlineStr">
        <is>
          <t>MAY 1 - MAY 31, 2025</t>
        </is>
      </c>
      <c r="K126" s="200" t="inlineStr">
        <is>
          <t>May</t>
        </is>
      </c>
      <c r="L126" s="199" t="n">
        <v>2025</v>
      </c>
      <c r="M126" s="199" t="n">
        <v>2025</v>
      </c>
    </row>
    <row r="127" ht="15" customHeight="1" s="104">
      <c r="A127" s="194" t="n">
        <v>45808</v>
      </c>
      <c r="B127" s="195" t="inlineStr">
        <is>
          <t>Walmart</t>
        </is>
      </c>
      <c r="D127" s="195" t="inlineStr">
        <is>
          <t>Shipping costs</t>
        </is>
      </c>
      <c r="E127" s="196" t="n">
        <v>-275.05</v>
      </c>
      <c r="F127" s="204" t="n">
        <v>-0.1854186329</v>
      </c>
      <c r="H127" s="196" t="n">
        <v>-275.05</v>
      </c>
      <c r="J127" s="200" t="inlineStr">
        <is>
          <t>MAY 1 - MAY 31, 2025</t>
        </is>
      </c>
      <c r="K127" s="200" t="inlineStr">
        <is>
          <t>May</t>
        </is>
      </c>
      <c r="L127" s="199" t="n">
        <v>2025</v>
      </c>
      <c r="M127" s="199" t="n">
        <v>2025</v>
      </c>
    </row>
    <row r="128" ht="15" customHeight="1" s="104">
      <c r="A128" s="194" t="n">
        <v>45808</v>
      </c>
      <c r="B128" s="195" t="inlineStr">
        <is>
          <t>Walmart</t>
        </is>
      </c>
      <c r="D128" s="195" t="inlineStr">
        <is>
          <t>Fees</t>
        </is>
      </c>
      <c r="E128" s="196" t="n">
        <v>-430.03</v>
      </c>
      <c r="F128" s="204" t="n">
        <v>-0.2898948362</v>
      </c>
      <c r="H128" s="196" t="n">
        <v>-430.03</v>
      </c>
      <c r="J128" s="200" t="inlineStr">
        <is>
          <t>MAY 1 - MAY 31, 2025</t>
        </is>
      </c>
      <c r="K128" s="200" t="inlineStr">
        <is>
          <t>May</t>
        </is>
      </c>
      <c r="L128" s="199" t="n">
        <v>2025</v>
      </c>
      <c r="M128" s="199" t="n">
        <v>2025</v>
      </c>
    </row>
    <row r="129" ht="15" customHeight="1" s="104">
      <c r="A129" s="194" t="n">
        <v>45808</v>
      </c>
      <c r="B129" s="195" t="inlineStr">
        <is>
          <t>Walmart</t>
        </is>
      </c>
      <c r="D129" s="195" t="inlineStr">
        <is>
          <t>Cost of goods</t>
        </is>
      </c>
      <c r="E129" s="196" t="n">
        <v>-482.55</v>
      </c>
      <c r="F129" s="204" t="n">
        <v>-0.3252999865</v>
      </c>
      <c r="H129" s="196" t="n">
        <v>-482.55</v>
      </c>
      <c r="J129" s="200" t="inlineStr">
        <is>
          <t>MAY 1 - MAY 31, 2025</t>
        </is>
      </c>
      <c r="K129" s="200" t="inlineStr">
        <is>
          <t>May</t>
        </is>
      </c>
      <c r="L129" s="199" t="n">
        <v>2025</v>
      </c>
      <c r="M129" s="199" t="n">
        <v>2025</v>
      </c>
    </row>
    <row r="130" ht="15" customHeight="1" s="104">
      <c r="A130" s="194" t="n">
        <v>45808</v>
      </c>
      <c r="B130" s="195" t="inlineStr">
        <is>
          <t>Tiktok</t>
        </is>
      </c>
      <c r="D130" s="195" t="inlineStr">
        <is>
          <t>Tiktok Shipping</t>
        </is>
      </c>
      <c r="E130" s="196" t="n">
        <v>-57.05</v>
      </c>
      <c r="F130" s="204" t="n">
        <v>-0.01472265663</v>
      </c>
      <c r="H130" s="196" t="n">
        <v>-57.05</v>
      </c>
      <c r="J130" s="200" t="inlineStr">
        <is>
          <t>MAY 1 - MAY 31, 2025</t>
        </is>
      </c>
      <c r="K130" s="200" t="inlineStr">
        <is>
          <t>May</t>
        </is>
      </c>
      <c r="L130" s="199" t="n">
        <v>2025</v>
      </c>
      <c r="M130" s="199" t="n">
        <v>2025</v>
      </c>
    </row>
    <row r="131" ht="15" customHeight="1" s="104">
      <c r="A131" s="194" t="n">
        <v>45808</v>
      </c>
      <c r="B131" s="195" t="inlineStr">
        <is>
          <t>Tiktok</t>
        </is>
      </c>
      <c r="D131" s="195" t="inlineStr">
        <is>
          <t>MCF Shipping fees</t>
        </is>
      </c>
      <c r="E131" s="196" t="n">
        <v>-1446.15</v>
      </c>
      <c r="F131" s="204" t="n">
        <v>-0.3732019262</v>
      </c>
      <c r="H131" s="196" t="n">
        <v>-1446.15</v>
      </c>
      <c r="J131" s="200" t="inlineStr">
        <is>
          <t>MAY 1 - MAY 31, 2025</t>
        </is>
      </c>
      <c r="K131" s="200" t="inlineStr">
        <is>
          <t>May</t>
        </is>
      </c>
      <c r="L131" s="199" t="n">
        <v>2025</v>
      </c>
      <c r="M131" s="199" t="n">
        <v>2025</v>
      </c>
    </row>
    <row r="132" ht="15" customHeight="1" s="104">
      <c r="A132" s="194" t="n">
        <v>45808</v>
      </c>
      <c r="B132" s="195" t="inlineStr">
        <is>
          <t>Tiktok</t>
        </is>
      </c>
      <c r="D132" s="195" t="inlineStr">
        <is>
          <t>Fees</t>
        </is>
      </c>
      <c r="E132" s="196" t="n">
        <v>-52.36</v>
      </c>
      <c r="F132" s="204" t="n">
        <v>-0.01351232781</v>
      </c>
      <c r="H132" s="196" t="n">
        <v>-52.36</v>
      </c>
      <c r="J132" s="200" t="inlineStr">
        <is>
          <t>MAY 1 - MAY 31, 2025</t>
        </is>
      </c>
      <c r="K132" s="200" t="inlineStr">
        <is>
          <t>May</t>
        </is>
      </c>
      <c r="L132" s="199" t="n">
        <v>2025</v>
      </c>
      <c r="M132" s="199" t="n">
        <v>2025</v>
      </c>
    </row>
    <row r="133" ht="15" customHeight="1" s="104">
      <c r="A133" s="194" t="n">
        <v>45808</v>
      </c>
      <c r="B133" s="195" t="inlineStr">
        <is>
          <t>Tiktok</t>
        </is>
      </c>
      <c r="D133" s="195" t="inlineStr">
        <is>
          <t>Referral fee</t>
        </is>
      </c>
      <c r="E133" s="196" t="n">
        <v>-232.56</v>
      </c>
      <c r="F133" s="204" t="n">
        <v>-0.06001579363</v>
      </c>
      <c r="H133" s="196" t="n">
        <v>-232.56</v>
      </c>
      <c r="J133" s="200" t="inlineStr">
        <is>
          <t>MAY 1 - MAY 31, 2025</t>
        </is>
      </c>
      <c r="K133" s="200" t="inlineStr">
        <is>
          <t>May</t>
        </is>
      </c>
      <c r="L133" s="199" t="n">
        <v>2025</v>
      </c>
      <c r="M133" s="199" t="n">
        <v>2025</v>
      </c>
    </row>
    <row r="134" ht="15" customHeight="1" s="104">
      <c r="A134" s="194" t="n">
        <v>45808</v>
      </c>
      <c r="B134" s="195" t="inlineStr">
        <is>
          <t>Tiktok</t>
        </is>
      </c>
      <c r="D134" s="195" t="inlineStr">
        <is>
          <t>Affiliate commission</t>
        </is>
      </c>
      <c r="E134" s="196" t="n">
        <v>-338.1</v>
      </c>
      <c r="F134" s="204" t="n">
        <v>-0.08725206324</v>
      </c>
      <c r="H134" s="196" t="n">
        <v>-338.1</v>
      </c>
      <c r="J134" s="200" t="inlineStr">
        <is>
          <t>MAY 1 - MAY 31, 2025</t>
        </is>
      </c>
      <c r="K134" s="200" t="inlineStr">
        <is>
          <t>May</t>
        </is>
      </c>
      <c r="L134" s="199" t="n">
        <v>2025</v>
      </c>
      <c r="M134" s="199" t="n">
        <v>2025</v>
      </c>
    </row>
    <row r="135" ht="15" customHeight="1" s="104">
      <c r="A135" s="194" t="n">
        <v>45808</v>
      </c>
      <c r="B135" s="195" t="inlineStr">
        <is>
          <t>Tiktok</t>
        </is>
      </c>
      <c r="D135" s="195" t="inlineStr">
        <is>
          <t xml:space="preserve">Adjustments
</t>
        </is>
      </c>
      <c r="E135" s="196" t="n">
        <v>-46.57</v>
      </c>
      <c r="F135" s="204" t="n">
        <v>-0.01201812655</v>
      </c>
      <c r="H135" s="196" t="n">
        <v>-46.57</v>
      </c>
      <c r="J135" s="200" t="inlineStr">
        <is>
          <t>MAY 1 - MAY 31, 2025</t>
        </is>
      </c>
      <c r="K135" s="200" t="inlineStr">
        <is>
          <t>May</t>
        </is>
      </c>
      <c r="L135" s="199" t="n">
        <v>2025</v>
      </c>
      <c r="M135" s="199" t="n">
        <v>2025</v>
      </c>
    </row>
    <row r="136" ht="15" customHeight="1" s="104">
      <c r="A136" s="194" t="n">
        <v>45808</v>
      </c>
      <c r="B136" s="195" t="inlineStr">
        <is>
          <t>Tiktok</t>
        </is>
      </c>
      <c r="D136" s="195" t="inlineStr">
        <is>
          <t>Cost of goods</t>
        </is>
      </c>
      <c r="E136" s="196" t="n">
        <v>-1275.52</v>
      </c>
      <c r="F136" s="204" t="n">
        <v>-0.3291681505</v>
      </c>
      <c r="H136" s="196" t="n">
        <v>-1275.52</v>
      </c>
      <c r="J136" s="200" t="inlineStr">
        <is>
          <t>MAY 1 - MAY 31, 2025</t>
        </is>
      </c>
      <c r="K136" s="200" t="inlineStr">
        <is>
          <t>May</t>
        </is>
      </c>
      <c r="L136" s="199" t="n">
        <v>2025</v>
      </c>
      <c r="M136" s="199" t="n">
        <v>2025</v>
      </c>
    </row>
    <row r="137" ht="15" customHeight="1" s="104">
      <c r="A137" s="194" t="n">
        <v>45808</v>
      </c>
      <c r="B137" s="195" t="inlineStr">
        <is>
          <t>Tiktok</t>
        </is>
      </c>
      <c r="D137" s="195" t="inlineStr">
        <is>
          <t>Advertising cost</t>
        </is>
      </c>
      <c r="E137" s="196" t="n">
        <v>-207.79</v>
      </c>
      <c r="F137" s="204" t="n">
        <v>-0.05362350257</v>
      </c>
      <c r="H137" s="196" t="n">
        <v>-207.79</v>
      </c>
      <c r="J137" s="200" t="inlineStr">
        <is>
          <t>MAY 1 - MAY 31, 2025</t>
        </is>
      </c>
      <c r="K137" s="200" t="inlineStr">
        <is>
          <t>May</t>
        </is>
      </c>
      <c r="L137" s="199" t="n">
        <v>2025</v>
      </c>
      <c r="M137" s="199" t="n">
        <v>2025</v>
      </c>
    </row>
    <row r="138" ht="15" customHeight="1" s="104">
      <c r="A138" s="194" t="n">
        <v>45838</v>
      </c>
      <c r="B138" s="195" t="inlineStr">
        <is>
          <t>Amazon US</t>
        </is>
      </c>
      <c r="D138" s="195" t="inlineStr">
        <is>
          <t>Promo</t>
        </is>
      </c>
      <c r="E138" s="196" t="n">
        <v>-122.35</v>
      </c>
      <c r="F138" s="204" t="n">
        <v>-0.001321685648</v>
      </c>
      <c r="H138" s="196" t="n">
        <v>-122.35</v>
      </c>
      <c r="J138" s="200" t="inlineStr">
        <is>
          <t>JUNE 1 - JUNE 30, 2025</t>
        </is>
      </c>
      <c r="K138" s="200" t="inlineStr">
        <is>
          <t>Jun</t>
        </is>
      </c>
      <c r="L138" s="199" t="n">
        <v>2025</v>
      </c>
      <c r="M138" s="199" t="n">
        <v>2025</v>
      </c>
    </row>
    <row r="139" ht="15" customHeight="1" s="104">
      <c r="A139" s="194" t="n">
        <v>45838</v>
      </c>
      <c r="B139" s="195" t="inlineStr">
        <is>
          <t>Amazon US</t>
        </is>
      </c>
      <c r="D139" s="195" t="inlineStr">
        <is>
          <t>Advertising cost</t>
        </is>
      </c>
      <c r="E139" s="196" t="n">
        <v>-7502.93</v>
      </c>
      <c r="F139" s="204" t="n">
        <v>-0.08105038739000001</v>
      </c>
      <c r="H139" s="196" t="n">
        <v>-7502.93</v>
      </c>
      <c r="J139" s="200" t="inlineStr">
        <is>
          <t>JUNE 1 - JUNE 30, 2025</t>
        </is>
      </c>
      <c r="K139" s="200" t="inlineStr">
        <is>
          <t>Jun</t>
        </is>
      </c>
      <c r="L139" s="199" t="n">
        <v>2025</v>
      </c>
      <c r="M139" s="199" t="n">
        <v>2025</v>
      </c>
    </row>
    <row r="140" ht="15" customHeight="1" s="104">
      <c r="A140" s="194" t="n">
        <v>45838</v>
      </c>
      <c r="B140" s="195" t="inlineStr">
        <is>
          <t>Amazon US</t>
        </is>
      </c>
      <c r="D140" s="195" t="inlineStr">
        <is>
          <t>Refund cost</t>
        </is>
      </c>
      <c r="E140" s="196" t="n">
        <v>-6980.14</v>
      </c>
      <c r="F140" s="204" t="n">
        <v>-0.07540294938</v>
      </c>
      <c r="H140" s="196" t="n">
        <v>-6980.14</v>
      </c>
      <c r="J140" s="200" t="inlineStr">
        <is>
          <t>JUNE 1 - JUNE 30, 2025</t>
        </is>
      </c>
      <c r="K140" s="200" t="inlineStr">
        <is>
          <t>Jun</t>
        </is>
      </c>
      <c r="L140" s="199" t="n">
        <v>2025</v>
      </c>
      <c r="M140" s="199" t="n">
        <v>2025</v>
      </c>
    </row>
    <row r="141" ht="15" customHeight="1" s="104">
      <c r="A141" s="194" t="n">
        <v>45838</v>
      </c>
      <c r="B141" s="195" t="inlineStr">
        <is>
          <t>Amazon US</t>
        </is>
      </c>
      <c r="D141" s="195" t="inlineStr">
        <is>
          <t>Amazon fees</t>
        </is>
      </c>
      <c r="E141" s="196" t="n">
        <v>-30205.33</v>
      </c>
      <c r="F141" s="204" t="n">
        <v>-0.3262930212</v>
      </c>
      <c r="H141" s="196" t="n">
        <v>-30205.33</v>
      </c>
      <c r="J141" s="200" t="inlineStr">
        <is>
          <t>JUNE 1 - JUNE 30, 2025</t>
        </is>
      </c>
      <c r="K141" s="200" t="inlineStr">
        <is>
          <t>Jun</t>
        </is>
      </c>
      <c r="L141" s="199" t="n">
        <v>2025</v>
      </c>
      <c r="M141" s="199" t="n">
        <v>2025</v>
      </c>
    </row>
    <row r="142" ht="15" customHeight="1" s="104">
      <c r="A142" s="194" t="n">
        <v>45838</v>
      </c>
      <c r="B142" s="195" t="inlineStr">
        <is>
          <t>Amazon US</t>
        </is>
      </c>
      <c r="D142" s="195" t="inlineStr">
        <is>
          <t>Cost of goods</t>
        </is>
      </c>
      <c r="E142" s="196" t="n">
        <v>-25488.77</v>
      </c>
      <c r="F142" s="204" t="n">
        <v>-0.2753423906</v>
      </c>
      <c r="H142" s="196" t="n">
        <v>-25488.77</v>
      </c>
      <c r="J142" s="200" t="inlineStr">
        <is>
          <t>JUNE 1 - JUNE 30, 2025</t>
        </is>
      </c>
      <c r="K142" s="200" t="inlineStr">
        <is>
          <t>Jun</t>
        </is>
      </c>
      <c r="L142" s="199" t="n">
        <v>2025</v>
      </c>
      <c r="M142" s="199" t="n">
        <v>2025</v>
      </c>
    </row>
    <row r="143" ht="15" customHeight="1" s="104">
      <c r="A143" s="194" t="n">
        <v>45838</v>
      </c>
      <c r="B143" s="195" t="inlineStr">
        <is>
          <t>Amazon CA</t>
        </is>
      </c>
      <c r="D143" s="195" t="inlineStr">
        <is>
          <t>Promo</t>
        </is>
      </c>
      <c r="E143" s="198" t="n">
        <v>0</v>
      </c>
      <c r="F143" s="201" t="n">
        <v>0</v>
      </c>
      <c r="H143" s="198" t="n">
        <v>0</v>
      </c>
      <c r="J143" s="200" t="inlineStr">
        <is>
          <t>JUNE 1 - JUNE 30, 2025</t>
        </is>
      </c>
      <c r="K143" s="200" t="inlineStr">
        <is>
          <t>Jun</t>
        </is>
      </c>
      <c r="L143" s="199" t="n">
        <v>2025</v>
      </c>
      <c r="M143" s="199" t="n">
        <v>2025</v>
      </c>
    </row>
    <row r="144" ht="15" customHeight="1" s="104">
      <c r="A144" s="194" t="n">
        <v>45838</v>
      </c>
      <c r="B144" s="195" t="inlineStr">
        <is>
          <t>Amazon CA</t>
        </is>
      </c>
      <c r="D144" s="195" t="inlineStr">
        <is>
          <t>Advertising cost</t>
        </is>
      </c>
      <c r="E144" s="196" t="n">
        <v>-1009.17</v>
      </c>
      <c r="F144" s="204" t="n">
        <v>-0.08332487014000001</v>
      </c>
      <c r="H144" s="196" t="n">
        <v>-1009.17</v>
      </c>
      <c r="J144" s="200" t="inlineStr">
        <is>
          <t>JUNE 1 - JUNE 30, 2025</t>
        </is>
      </c>
      <c r="K144" s="200" t="inlineStr">
        <is>
          <t>Jun</t>
        </is>
      </c>
      <c r="L144" s="199" t="n">
        <v>2025</v>
      </c>
      <c r="M144" s="199" t="n">
        <v>2025</v>
      </c>
    </row>
    <row r="145" ht="15" customHeight="1" s="104">
      <c r="A145" s="194" t="n">
        <v>45838</v>
      </c>
      <c r="B145" s="195" t="inlineStr">
        <is>
          <t>Amazon CA</t>
        </is>
      </c>
      <c r="D145" s="195" t="inlineStr">
        <is>
          <t>Refund cost</t>
        </is>
      </c>
      <c r="E145" s="196" t="n">
        <v>-821.61</v>
      </c>
      <c r="F145" s="204" t="n">
        <v>-0.06783846781</v>
      </c>
      <c r="H145" s="196" t="n">
        <v>-821.61</v>
      </c>
      <c r="J145" s="200" t="inlineStr">
        <is>
          <t>JUNE 1 - JUNE 30, 2025</t>
        </is>
      </c>
      <c r="K145" s="200" t="inlineStr">
        <is>
          <t>Jun</t>
        </is>
      </c>
      <c r="L145" s="199" t="n">
        <v>2025</v>
      </c>
      <c r="M145" s="199" t="n">
        <v>2025</v>
      </c>
    </row>
    <row r="146" ht="15" customHeight="1" s="104">
      <c r="A146" s="194" t="n">
        <v>45838</v>
      </c>
      <c r="B146" s="195" t="inlineStr">
        <is>
          <t>Amazon CA</t>
        </is>
      </c>
      <c r="D146" s="195" t="inlineStr">
        <is>
          <t>Amazon fees</t>
        </is>
      </c>
      <c r="E146" s="196" t="n">
        <v>-3634.41</v>
      </c>
      <c r="F146" s="204" t="n">
        <v>-0.3000849622</v>
      </c>
      <c r="H146" s="196" t="n">
        <v>-3634.41</v>
      </c>
      <c r="J146" s="200" t="inlineStr">
        <is>
          <t>JUNE 1 - JUNE 30, 2025</t>
        </is>
      </c>
      <c r="K146" s="200" t="inlineStr">
        <is>
          <t>Jun</t>
        </is>
      </c>
      <c r="L146" s="199" t="n">
        <v>2025</v>
      </c>
      <c r="M146" s="199" t="n">
        <v>2025</v>
      </c>
    </row>
    <row r="147" ht="15" customHeight="1" s="104">
      <c r="A147" s="194" t="n">
        <v>45838</v>
      </c>
      <c r="B147" s="195" t="inlineStr">
        <is>
          <t>Amazon CA</t>
        </is>
      </c>
      <c r="D147" s="195" t="inlineStr">
        <is>
          <t>Cost of goods</t>
        </is>
      </c>
      <c r="E147" s="196" t="n">
        <v>-3393.76</v>
      </c>
      <c r="F147" s="204" t="n">
        <v>-0.2802150394</v>
      </c>
      <c r="H147" s="196" t="n">
        <v>-3393.76</v>
      </c>
      <c r="J147" s="200" t="inlineStr">
        <is>
          <t>JUNE 1 - JUNE 30, 2025</t>
        </is>
      </c>
      <c r="K147" s="200" t="inlineStr">
        <is>
          <t>Jun</t>
        </is>
      </c>
      <c r="L147" s="199" t="n">
        <v>2025</v>
      </c>
      <c r="M147" s="199" t="n">
        <v>2025</v>
      </c>
    </row>
    <row r="148" ht="15" customHeight="1" s="104">
      <c r="A148" s="194" t="n">
        <v>45838</v>
      </c>
      <c r="B148" s="195" t="inlineStr">
        <is>
          <t>Walmart</t>
        </is>
      </c>
      <c r="D148" s="195" t="inlineStr">
        <is>
          <t>Advertising cost</t>
        </is>
      </c>
      <c r="E148" s="196" t="n">
        <v>-102.96</v>
      </c>
      <c r="F148" s="204" t="n">
        <v>-0.07181168265</v>
      </c>
      <c r="H148" s="196" t="n">
        <v>-102.96</v>
      </c>
      <c r="J148" s="200" t="inlineStr">
        <is>
          <t>JUNE 1 - JUNE 30, 2025</t>
        </is>
      </c>
      <c r="K148" s="200" t="inlineStr">
        <is>
          <t>Jun</t>
        </is>
      </c>
      <c r="L148" s="199" t="n">
        <v>2025</v>
      </c>
      <c r="M148" s="199" t="n">
        <v>2025</v>
      </c>
    </row>
    <row r="149" ht="15" customHeight="1" s="104">
      <c r="A149" s="194" t="n">
        <v>45838</v>
      </c>
      <c r="B149" s="195" t="inlineStr">
        <is>
          <t>Walmart</t>
        </is>
      </c>
      <c r="D149" s="195" t="inlineStr">
        <is>
          <t>Shipping costs</t>
        </is>
      </c>
      <c r="E149" s="196" t="n">
        <v>-199.8</v>
      </c>
      <c r="F149" s="204" t="n">
        <v>-0.1393548387</v>
      </c>
      <c r="H149" s="196" t="n">
        <v>-199.8</v>
      </c>
      <c r="J149" s="200" t="inlineStr">
        <is>
          <t>JUNE 1 - JUNE 30, 2025</t>
        </is>
      </c>
      <c r="K149" s="200" t="inlineStr">
        <is>
          <t>Jun</t>
        </is>
      </c>
      <c r="L149" s="199" t="n">
        <v>2025</v>
      </c>
      <c r="M149" s="199" t="n">
        <v>2025</v>
      </c>
    </row>
    <row r="150" ht="15" customHeight="1" s="104">
      <c r="A150" s="194" t="n">
        <v>45838</v>
      </c>
      <c r="B150" s="195" t="inlineStr">
        <is>
          <t>Walmart</t>
        </is>
      </c>
      <c r="D150" s="195" t="inlineStr">
        <is>
          <t>Fees</t>
        </is>
      </c>
      <c r="E150" s="196" t="n">
        <v>-339.33</v>
      </c>
      <c r="F150" s="204" t="n">
        <v>-0.2366730602</v>
      </c>
      <c r="H150" s="196" t="n">
        <v>-339.33</v>
      </c>
      <c r="J150" s="200" t="inlineStr">
        <is>
          <t>JUNE 1 - JUNE 30, 2025</t>
        </is>
      </c>
      <c r="K150" s="200" t="inlineStr">
        <is>
          <t>Jun</t>
        </is>
      </c>
      <c r="L150" s="199" t="n">
        <v>2025</v>
      </c>
      <c r="M150" s="199" t="n">
        <v>2025</v>
      </c>
    </row>
    <row r="151" ht="15" customHeight="1" s="104">
      <c r="A151" s="194" t="n">
        <v>45838</v>
      </c>
      <c r="B151" s="195" t="inlineStr">
        <is>
          <t>Walmart</t>
        </is>
      </c>
      <c r="D151" s="195" t="inlineStr">
        <is>
          <t>Cost of goods</t>
        </is>
      </c>
      <c r="E151" s="196" t="n">
        <v>-472.2</v>
      </c>
      <c r="F151" s="204" t="n">
        <v>-0.3293461203</v>
      </c>
      <c r="H151" s="196" t="n">
        <v>-472.2</v>
      </c>
      <c r="J151" s="200" t="inlineStr">
        <is>
          <t>JUNE 1 - JUNE 30, 2025</t>
        </is>
      </c>
      <c r="K151" s="200" t="inlineStr">
        <is>
          <t>Jun</t>
        </is>
      </c>
      <c r="L151" s="199" t="n">
        <v>2025</v>
      </c>
      <c r="M151" s="199" t="n">
        <v>2025</v>
      </c>
    </row>
    <row r="152" ht="15" customHeight="1" s="104">
      <c r="A152" s="194" t="n">
        <v>45838</v>
      </c>
      <c r="B152" s="195" t="inlineStr">
        <is>
          <t>Tiktok</t>
        </is>
      </c>
      <c r="D152" s="195" t="inlineStr">
        <is>
          <t>Tiktok Shipping</t>
        </is>
      </c>
      <c r="E152" s="196" t="n">
        <v>-55.54</v>
      </c>
      <c r="F152" s="204" t="n">
        <v>-0.02345122281</v>
      </c>
      <c r="H152" s="196" t="n">
        <v>-55.54</v>
      </c>
      <c r="J152" s="200" t="inlineStr">
        <is>
          <t>JUNE 1 - JUNE 30, 2025</t>
        </is>
      </c>
      <c r="K152" s="200" t="inlineStr">
        <is>
          <t>Jun</t>
        </is>
      </c>
      <c r="L152" s="199" t="n">
        <v>2025</v>
      </c>
      <c r="M152" s="199" t="n">
        <v>2025</v>
      </c>
    </row>
    <row r="153" ht="15" customHeight="1" s="104">
      <c r="A153" s="194" t="n">
        <v>45838</v>
      </c>
      <c r="B153" s="195" t="inlineStr">
        <is>
          <t>Tiktok</t>
        </is>
      </c>
      <c r="D153" s="195" t="inlineStr">
        <is>
          <t>MCF Shipping fees</t>
        </is>
      </c>
      <c r="E153" s="196" t="n">
        <v>-971.9</v>
      </c>
      <c r="F153" s="204" t="n">
        <v>-0.4103752871</v>
      </c>
      <c r="H153" s="196" t="n">
        <v>-971.9</v>
      </c>
      <c r="J153" s="200" t="inlineStr">
        <is>
          <t>JUNE 1 - JUNE 30, 2025</t>
        </is>
      </c>
      <c r="K153" s="200" t="inlineStr">
        <is>
          <t>Jun</t>
        </is>
      </c>
      <c r="L153" s="199" t="n">
        <v>2025</v>
      </c>
      <c r="M153" s="199" t="n">
        <v>2025</v>
      </c>
    </row>
    <row r="154" ht="15" customHeight="1" s="104">
      <c r="A154" s="194" t="n">
        <v>45838</v>
      </c>
      <c r="B154" s="195" t="inlineStr">
        <is>
          <t>Tiktok</t>
        </is>
      </c>
      <c r="D154" s="195" t="inlineStr">
        <is>
          <t>Fees</t>
        </is>
      </c>
      <c r="E154" s="196" t="n">
        <v>-12.19</v>
      </c>
      <c r="F154" s="204" t="n">
        <v>-0.005147108499</v>
      </c>
      <c r="H154" s="196" t="n">
        <v>-12.19</v>
      </c>
      <c r="J154" s="200" t="inlineStr">
        <is>
          <t>JUNE 1 - JUNE 30, 2025</t>
        </is>
      </c>
      <c r="K154" s="200" t="inlineStr">
        <is>
          <t>Jun</t>
        </is>
      </c>
      <c r="L154" s="199" t="n">
        <v>2025</v>
      </c>
      <c r="M154" s="199" t="n">
        <v>2025</v>
      </c>
    </row>
    <row r="155" ht="15" customHeight="1" s="104">
      <c r="A155" s="194" t="n">
        <v>45838</v>
      </c>
      <c r="B155" s="195" t="inlineStr">
        <is>
          <t>Tiktok</t>
        </is>
      </c>
      <c r="D155" s="195" t="inlineStr">
        <is>
          <t>Referral fee</t>
        </is>
      </c>
      <c r="E155" s="196" t="n">
        <v>-142.14</v>
      </c>
      <c r="F155" s="204" t="n">
        <v>-0.0600172274</v>
      </c>
      <c r="H155" s="196" t="n">
        <v>-142.14</v>
      </c>
      <c r="J155" s="200" t="inlineStr">
        <is>
          <t>JUNE 1 - JUNE 30, 2025</t>
        </is>
      </c>
      <c r="K155" s="200" t="inlineStr">
        <is>
          <t>Jun</t>
        </is>
      </c>
      <c r="L155" s="199" t="n">
        <v>2025</v>
      </c>
      <c r="M155" s="199" t="n">
        <v>2025</v>
      </c>
    </row>
    <row r="156" ht="15" customHeight="1" s="104">
      <c r="A156" s="194" t="n">
        <v>45838</v>
      </c>
      <c r="B156" s="195" t="inlineStr">
        <is>
          <t>Tiktok</t>
        </is>
      </c>
      <c r="D156" s="195" t="inlineStr">
        <is>
          <t>Affiliate commission</t>
        </is>
      </c>
      <c r="E156" s="196" t="n">
        <v>-188.3</v>
      </c>
      <c r="F156" s="204" t="n">
        <v>-0.07950783677999999</v>
      </c>
      <c r="H156" s="196" t="n">
        <v>-188.3</v>
      </c>
      <c r="J156" s="200" t="inlineStr">
        <is>
          <t>JUNE 1 - JUNE 30, 2025</t>
        </is>
      </c>
      <c r="K156" s="200" t="inlineStr">
        <is>
          <t>Jun</t>
        </is>
      </c>
      <c r="L156" s="199" t="n">
        <v>2025</v>
      </c>
      <c r="M156" s="199" t="n">
        <v>2025</v>
      </c>
    </row>
    <row r="157" ht="15" customHeight="1" s="104">
      <c r="A157" s="194" t="n">
        <v>45838</v>
      </c>
      <c r="B157" s="195" t="inlineStr">
        <is>
          <t>Tiktok</t>
        </is>
      </c>
      <c r="D157" s="195" t="inlineStr">
        <is>
          <t xml:space="preserve">Adjustments
</t>
        </is>
      </c>
      <c r="E157" s="196" t="n">
        <v>-4.07</v>
      </c>
      <c r="F157" s="204" t="n">
        <v>-0.001718517768</v>
      </c>
      <c r="H157" s="196" t="n">
        <v>-4.07</v>
      </c>
      <c r="J157" s="200" t="inlineStr">
        <is>
          <t>JUNE 1 - JUNE 30, 2025</t>
        </is>
      </c>
      <c r="K157" s="200" t="inlineStr">
        <is>
          <t>Jun</t>
        </is>
      </c>
      <c r="L157" s="199" t="n">
        <v>2025</v>
      </c>
      <c r="M157" s="199" t="n">
        <v>2025</v>
      </c>
    </row>
    <row r="158" ht="15" customHeight="1" s="104">
      <c r="A158" s="194" t="n">
        <v>45838</v>
      </c>
      <c r="B158" s="195" t="inlineStr">
        <is>
          <t>Tiktok</t>
        </is>
      </c>
      <c r="D158" s="195" t="inlineStr">
        <is>
          <t>Cost of goods</t>
        </is>
      </c>
      <c r="E158" s="196" t="n">
        <v>-783.2</v>
      </c>
      <c r="F158" s="204" t="n">
        <v>-0.3306985542</v>
      </c>
      <c r="H158" s="196" t="n">
        <v>-783.2</v>
      </c>
      <c r="J158" s="200" t="inlineStr">
        <is>
          <t>JUNE 1 - JUNE 30, 2025</t>
        </is>
      </c>
      <c r="K158" s="200" t="inlineStr">
        <is>
          <t>Jun</t>
        </is>
      </c>
      <c r="L158" s="199" t="n">
        <v>2025</v>
      </c>
      <c r="M158" s="199" t="n">
        <v>2025</v>
      </c>
    </row>
    <row r="159" ht="15" customHeight="1" s="104">
      <c r="A159" s="194" t="n">
        <v>45838</v>
      </c>
      <c r="B159" s="195" t="inlineStr">
        <is>
          <t>Tiktok</t>
        </is>
      </c>
      <c r="D159" s="195" t="inlineStr">
        <is>
          <t>Advertising cost</t>
        </is>
      </c>
      <c r="E159" s="196" t="n">
        <v>-25.53</v>
      </c>
      <c r="F159" s="204" t="n">
        <v>-0.01077979327</v>
      </c>
      <c r="H159" s="196" t="n">
        <v>-25.53</v>
      </c>
      <c r="J159" s="200" t="inlineStr">
        <is>
          <t>JUNE 1 - JUNE 30, 2025</t>
        </is>
      </c>
      <c r="K159" s="200" t="inlineStr">
        <is>
          <t>Jun</t>
        </is>
      </c>
      <c r="L159" s="199" t="n">
        <v>2025</v>
      </c>
      <c r="M159" s="199" t="n">
        <v>2025</v>
      </c>
    </row>
    <row r="160" ht="15" customHeight="1" s="104">
      <c r="A160" s="194" t="n">
        <v>45838</v>
      </c>
      <c r="B160" s="195" t="inlineStr">
        <is>
          <t>Shopify</t>
        </is>
      </c>
      <c r="D160" s="195" t="inlineStr">
        <is>
          <t>Advertising cost</t>
        </is>
      </c>
      <c r="E160" s="196" t="n">
        <v>-29.86</v>
      </c>
      <c r="F160" s="204" t="n">
        <v>-0.00719837229</v>
      </c>
      <c r="H160" s="196" t="n">
        <v>-29.86</v>
      </c>
      <c r="J160" s="200" t="inlineStr">
        <is>
          <t>JUNE 1 - JUNE 30, 2025</t>
        </is>
      </c>
      <c r="K160" s="200" t="inlineStr">
        <is>
          <t>Jun</t>
        </is>
      </c>
      <c r="L160" s="199" t="n">
        <v>2025</v>
      </c>
      <c r="M160" s="199" t="n">
        <v>2025</v>
      </c>
    </row>
    <row r="161" ht="15" customHeight="1" s="104">
      <c r="A161" s="194" t="n">
        <v>45838</v>
      </c>
      <c r="B161" s="195" t="inlineStr">
        <is>
          <t>Shopify</t>
        </is>
      </c>
      <c r="D161" s="195" t="inlineStr">
        <is>
          <t>Payment fees</t>
        </is>
      </c>
      <c r="E161" s="196" t="n">
        <v>-108.24</v>
      </c>
      <c r="F161" s="204" t="n">
        <v>-0.02609349688</v>
      </c>
      <c r="H161" s="196" t="n">
        <v>-108.24</v>
      </c>
      <c r="J161" s="200" t="inlineStr">
        <is>
          <t>JUNE 1 - JUNE 30, 2025</t>
        </is>
      </c>
      <c r="K161" s="200" t="inlineStr">
        <is>
          <t>Jun</t>
        </is>
      </c>
      <c r="L161" s="199" t="n">
        <v>2025</v>
      </c>
      <c r="M161" s="199" t="n">
        <v>2025</v>
      </c>
    </row>
    <row r="162" ht="15" customHeight="1" s="104">
      <c r="A162" s="194" t="n">
        <v>45838</v>
      </c>
      <c r="B162" s="195" t="inlineStr">
        <is>
          <t>Shopify</t>
        </is>
      </c>
      <c r="D162" s="195" t="inlineStr">
        <is>
          <t>Cost of goods</t>
        </is>
      </c>
      <c r="E162" s="196" t="n">
        <v>-1469.42</v>
      </c>
      <c r="F162" s="204" t="n">
        <v>-0.3542341665</v>
      </c>
      <c r="H162" s="196" t="n">
        <v>-1469.42</v>
      </c>
      <c r="J162" s="200" t="inlineStr">
        <is>
          <t>JUNE 1 - JUNE 30, 2025</t>
        </is>
      </c>
      <c r="K162" s="200" t="inlineStr">
        <is>
          <t>Jun</t>
        </is>
      </c>
      <c r="L162" s="199" t="n">
        <v>2025</v>
      </c>
      <c r="M162" s="199" t="n">
        <v>2025</v>
      </c>
    </row>
    <row r="163" ht="15" customHeight="1" s="104">
      <c r="A163" s="194" t="n">
        <v>45838</v>
      </c>
      <c r="B163" s="195" t="inlineStr">
        <is>
          <t>Shopify</t>
        </is>
      </c>
      <c r="D163" s="195" t="inlineStr">
        <is>
          <t>Tax</t>
        </is>
      </c>
      <c r="E163" s="196" t="n">
        <v>-37.67</v>
      </c>
      <c r="F163" s="204" t="n">
        <v>-0.009081134768</v>
      </c>
      <c r="H163" s="196" t="n">
        <v>-37.67</v>
      </c>
      <c r="J163" s="200" t="inlineStr">
        <is>
          <t>JUNE 1 - JUNE 30, 2025</t>
        </is>
      </c>
      <c r="K163" s="200" t="inlineStr">
        <is>
          <t>Jun</t>
        </is>
      </c>
      <c r="L163" s="199" t="n">
        <v>2025</v>
      </c>
      <c r="M163" s="199" t="n">
        <v>2025</v>
      </c>
    </row>
    <row r="164" ht="15" customHeight="1" s="104">
      <c r="A164" s="194" t="n">
        <v>45838</v>
      </c>
      <c r="B164" s="195" t="inlineStr">
        <is>
          <t>Shopify</t>
        </is>
      </c>
      <c r="D164" s="195" t="inlineStr">
        <is>
          <t>MCF Shipping fees</t>
        </is>
      </c>
      <c r="E164" s="196" t="n">
        <v>-1157.65</v>
      </c>
      <c r="F164" s="204" t="n">
        <v>-0.2790755419</v>
      </c>
      <c r="H164" s="196" t="n">
        <v>-1157.65</v>
      </c>
      <c r="J164" s="200" t="inlineStr">
        <is>
          <t>JUNE 1 - JUNE 30, 2025</t>
        </is>
      </c>
      <c r="K164" s="200" t="inlineStr">
        <is>
          <t>Jun</t>
        </is>
      </c>
      <c r="L164" s="199" t="n">
        <v>2025</v>
      </c>
      <c r="M164" s="199" t="n">
        <v>2025</v>
      </c>
    </row>
    <row r="165" ht="15" customHeight="1" s="104">
      <c r="A165" s="194" t="n">
        <v>45838</v>
      </c>
      <c r="B165" s="195" t="inlineStr">
        <is>
          <t>Shopify</t>
        </is>
      </c>
      <c r="D165" s="195" t="inlineStr">
        <is>
          <t>Shipping Cost</t>
        </is>
      </c>
      <c r="E165" s="198" t="n">
        <v>0</v>
      </c>
      <c r="F165" s="201" t="n">
        <v>0</v>
      </c>
      <c r="H165" s="198" t="n">
        <v>0</v>
      </c>
      <c r="J165" s="200" t="inlineStr">
        <is>
          <t>JUNE 1 - JUNE 30, 2025</t>
        </is>
      </c>
      <c r="K165" s="200" t="inlineStr">
        <is>
          <t>Jun</t>
        </is>
      </c>
      <c r="L165" s="199" t="n">
        <v>2025</v>
      </c>
      <c r="M165" s="199" t="n">
        <v>2025</v>
      </c>
    </row>
    <row r="166" ht="15" customHeight="1" s="104">
      <c r="A166" s="194" t="n">
        <v>45869</v>
      </c>
      <c r="B166" s="195" t="inlineStr">
        <is>
          <t>Amazon US</t>
        </is>
      </c>
      <c r="D166" s="195" t="inlineStr">
        <is>
          <t>Promo</t>
        </is>
      </c>
      <c r="E166" s="196" t="n">
        <v>-882.35</v>
      </c>
      <c r="F166" s="204" t="n">
        <v>-0.00817681606</v>
      </c>
      <c r="H166" s="196" t="n">
        <v>-882.35</v>
      </c>
      <c r="J166" s="200" t="inlineStr">
        <is>
          <t>JULY 1 - JULY 31, 2025</t>
        </is>
      </c>
      <c r="K166" s="200" t="inlineStr">
        <is>
          <t>Jul</t>
        </is>
      </c>
      <c r="L166" s="199" t="n">
        <v>2025</v>
      </c>
      <c r="M166" s="199" t="n">
        <v>2025</v>
      </c>
    </row>
    <row r="167" ht="15" customHeight="1" s="104">
      <c r="A167" s="194" t="n">
        <v>45869</v>
      </c>
      <c r="B167" s="195" t="inlineStr">
        <is>
          <t>Amazon US</t>
        </is>
      </c>
      <c r="D167" s="195" t="inlineStr">
        <is>
          <t>Advertising cost</t>
        </is>
      </c>
      <c r="E167" s="196" t="n">
        <v>-7215.98</v>
      </c>
      <c r="F167" s="204" t="n">
        <v>-0.06687112954</v>
      </c>
      <c r="H167" s="196" t="n">
        <v>-7215.98</v>
      </c>
      <c r="J167" s="200" t="inlineStr">
        <is>
          <t>JULY 1 - JULY 31, 2025</t>
        </is>
      </c>
      <c r="K167" s="200" t="inlineStr">
        <is>
          <t>Jul</t>
        </is>
      </c>
      <c r="L167" s="199" t="n">
        <v>2025</v>
      </c>
      <c r="M167" s="199" t="n">
        <v>2025</v>
      </c>
    </row>
    <row r="168" ht="15" customHeight="1" s="104">
      <c r="A168" s="194" t="n">
        <v>45869</v>
      </c>
      <c r="B168" s="195" t="inlineStr">
        <is>
          <t>Amazon US</t>
        </is>
      </c>
      <c r="D168" s="195" t="inlineStr">
        <is>
          <t>Refund cost</t>
        </is>
      </c>
      <c r="E168" s="196" t="n">
        <v>-7774.34</v>
      </c>
      <c r="F168" s="204" t="n">
        <v>-0.07204550141</v>
      </c>
      <c r="H168" s="196" t="n">
        <v>-7774.34</v>
      </c>
      <c r="J168" s="200" t="inlineStr">
        <is>
          <t>JULY 1 - JULY 31, 2025</t>
        </is>
      </c>
      <c r="K168" s="200" t="inlineStr">
        <is>
          <t>Jul</t>
        </is>
      </c>
      <c r="L168" s="199" t="n">
        <v>2025</v>
      </c>
      <c r="M168" s="199" t="n">
        <v>2025</v>
      </c>
    </row>
    <row r="169" ht="15" customHeight="1" s="104">
      <c r="A169" s="194" t="n">
        <v>45869</v>
      </c>
      <c r="B169" s="195" t="inlineStr">
        <is>
          <t>Amazon US</t>
        </is>
      </c>
      <c r="D169" s="195" t="inlineStr">
        <is>
          <t>Amazon fees</t>
        </is>
      </c>
      <c r="E169" s="196" t="n">
        <v>-34546.26</v>
      </c>
      <c r="F169" s="204" t="n">
        <v>-0.3201432692</v>
      </c>
      <c r="H169" s="196" t="n">
        <v>-34546.26</v>
      </c>
      <c r="J169" s="200" t="inlineStr">
        <is>
          <t>JULY 1 - JULY 31, 2025</t>
        </is>
      </c>
      <c r="K169" s="200" t="inlineStr">
        <is>
          <t>Jul</t>
        </is>
      </c>
      <c r="L169" s="199" t="n">
        <v>2025</v>
      </c>
      <c r="M169" s="199" t="n">
        <v>2025</v>
      </c>
    </row>
    <row r="170" ht="15" customHeight="1" s="104">
      <c r="A170" s="194" t="n">
        <v>45869</v>
      </c>
      <c r="B170" s="195" t="inlineStr">
        <is>
          <t>Amazon US</t>
        </is>
      </c>
      <c r="D170" s="195" t="inlineStr">
        <is>
          <t>Cost of goods</t>
        </is>
      </c>
      <c r="E170" s="196" t="n">
        <v>-28582.25</v>
      </c>
      <c r="F170" s="204" t="n">
        <v>-0.2648742572</v>
      </c>
      <c r="H170" s="196" t="n">
        <v>-28582.25</v>
      </c>
      <c r="J170" s="200" t="inlineStr">
        <is>
          <t>JULY 1 - JULY 31, 2025</t>
        </is>
      </c>
      <c r="K170" s="200" t="inlineStr">
        <is>
          <t>Jul</t>
        </is>
      </c>
      <c r="L170" s="199" t="n">
        <v>2025</v>
      </c>
      <c r="M170" s="199" t="n">
        <v>2025</v>
      </c>
    </row>
    <row r="171" ht="15" customHeight="1" s="104">
      <c r="A171" s="194" t="n">
        <v>45869</v>
      </c>
      <c r="B171" s="195" t="inlineStr">
        <is>
          <t>Amazon CA</t>
        </is>
      </c>
      <c r="D171" s="195" t="inlineStr">
        <is>
          <t>Promo</t>
        </is>
      </c>
      <c r="E171" s="198" t="n">
        <v>0</v>
      </c>
      <c r="F171" s="201" t="n">
        <v>0</v>
      </c>
      <c r="H171" s="198" t="n">
        <v>0</v>
      </c>
      <c r="J171" s="200" t="inlineStr">
        <is>
          <t>JULY 1 - JULY 31, 2025</t>
        </is>
      </c>
      <c r="K171" s="200" t="inlineStr">
        <is>
          <t>Jul</t>
        </is>
      </c>
      <c r="L171" s="199" t="n">
        <v>2025</v>
      </c>
      <c r="M171" s="199" t="n">
        <v>2025</v>
      </c>
    </row>
    <row r="172" ht="15" customHeight="1" s="104">
      <c r="A172" s="194" t="n">
        <v>45869</v>
      </c>
      <c r="B172" s="195" t="inlineStr">
        <is>
          <t>Amazon CA</t>
        </is>
      </c>
      <c r="D172" s="195" t="inlineStr">
        <is>
          <t>Advertising cost</t>
        </is>
      </c>
      <c r="E172" s="196" t="n">
        <v>-1302.82</v>
      </c>
      <c r="F172" s="204" t="n">
        <v>-0.06618463238</v>
      </c>
      <c r="H172" s="196" t="n">
        <v>-1302.82</v>
      </c>
      <c r="J172" s="200" t="inlineStr">
        <is>
          <t>JULY 1 - JULY 31, 2025</t>
        </is>
      </c>
      <c r="K172" s="200" t="inlineStr">
        <is>
          <t>Jul</t>
        </is>
      </c>
      <c r="L172" s="199" t="n">
        <v>2025</v>
      </c>
      <c r="M172" s="199" t="n">
        <v>2025</v>
      </c>
    </row>
    <row r="173" ht="15" customHeight="1" s="104">
      <c r="A173" s="194" t="n">
        <v>45869</v>
      </c>
      <c r="B173" s="195" t="inlineStr">
        <is>
          <t>Amazon CA</t>
        </is>
      </c>
      <c r="D173" s="195" t="inlineStr">
        <is>
          <t>Refund cost</t>
        </is>
      </c>
      <c r="E173" s="196" t="n">
        <v>-2326.73</v>
      </c>
      <c r="F173" s="204" t="n">
        <v>-0.1182003421</v>
      </c>
      <c r="H173" s="196" t="n">
        <v>-2326.73</v>
      </c>
      <c r="J173" s="200" t="inlineStr">
        <is>
          <t>JULY 1 - JULY 31, 2025</t>
        </is>
      </c>
      <c r="K173" s="200" t="inlineStr">
        <is>
          <t>Jul</t>
        </is>
      </c>
      <c r="L173" s="199" t="n">
        <v>2025</v>
      </c>
      <c r="M173" s="199" t="n">
        <v>2025</v>
      </c>
    </row>
    <row r="174" ht="15" customHeight="1" s="104">
      <c r="A174" s="194" t="n">
        <v>45869</v>
      </c>
      <c r="B174" s="195" t="inlineStr">
        <is>
          <t>Amazon CA</t>
        </is>
      </c>
      <c r="D174" s="195" t="inlineStr">
        <is>
          <t>Amazon fees</t>
        </is>
      </c>
      <c r="E174" s="196" t="n">
        <v>-6552.94</v>
      </c>
      <c r="F174" s="204" t="n">
        <v>-0.3328962749</v>
      </c>
      <c r="H174" s="196" t="n">
        <v>-6552.94</v>
      </c>
      <c r="J174" s="200" t="inlineStr">
        <is>
          <t>JULY 1 - JULY 31, 2025</t>
        </is>
      </c>
      <c r="K174" s="200" t="inlineStr">
        <is>
          <t>Jul</t>
        </is>
      </c>
      <c r="L174" s="199" t="n">
        <v>2025</v>
      </c>
      <c r="M174" s="199" t="n">
        <v>2025</v>
      </c>
    </row>
    <row r="175" ht="15" customHeight="1" s="104">
      <c r="A175" s="194" t="n">
        <v>45869</v>
      </c>
      <c r="B175" s="195" t="inlineStr">
        <is>
          <t>Amazon CA</t>
        </is>
      </c>
      <c r="D175" s="195" t="inlineStr">
        <is>
          <t>Cost of goods</t>
        </is>
      </c>
      <c r="E175" s="196" t="n">
        <v>-5268.42</v>
      </c>
      <c r="F175" s="204" t="n">
        <v>-0.2676413019</v>
      </c>
      <c r="H175" s="196" t="n">
        <v>-5268.42</v>
      </c>
      <c r="J175" s="200" t="inlineStr">
        <is>
          <t>JULY 1 - JULY 31, 2025</t>
        </is>
      </c>
      <c r="K175" s="200" t="inlineStr">
        <is>
          <t>Jul</t>
        </is>
      </c>
      <c r="L175" s="199" t="n">
        <v>2025</v>
      </c>
      <c r="M175" s="199" t="n">
        <v>2025</v>
      </c>
    </row>
    <row r="176" ht="15" customHeight="1" s="104">
      <c r="A176" s="194" t="n">
        <v>45869</v>
      </c>
      <c r="B176" s="195" t="inlineStr">
        <is>
          <t>Walmart</t>
        </is>
      </c>
      <c r="D176" s="195" t="inlineStr">
        <is>
          <t>Advertising cost</t>
        </is>
      </c>
      <c r="E176" s="196" t="n">
        <v>-26.62</v>
      </c>
      <c r="F176" s="204" t="n">
        <v>-0.02552938469</v>
      </c>
      <c r="H176" s="196" t="n">
        <v>-26.62</v>
      </c>
      <c r="J176" s="200" t="inlineStr">
        <is>
          <t>JULY 1 - JULY 31, 2025</t>
        </is>
      </c>
      <c r="K176" s="200" t="inlineStr">
        <is>
          <t>Jul</t>
        </is>
      </c>
      <c r="L176" s="199" t="n">
        <v>2025</v>
      </c>
      <c r="M176" s="199" t="n">
        <v>2025</v>
      </c>
    </row>
    <row r="177" ht="15" customHeight="1" s="104">
      <c r="A177" s="194" t="n">
        <v>45869</v>
      </c>
      <c r="B177" s="195" t="inlineStr">
        <is>
          <t>Walmart</t>
        </is>
      </c>
      <c r="D177" s="195" t="inlineStr">
        <is>
          <t>Shipping costs</t>
        </is>
      </c>
      <c r="E177" s="196" t="n">
        <v>-205.9</v>
      </c>
      <c r="F177" s="204" t="n">
        <v>-0.1974643241</v>
      </c>
      <c r="H177" s="196" t="n">
        <v>-205.9</v>
      </c>
      <c r="J177" s="200" t="inlineStr">
        <is>
          <t>JULY 1 - JULY 31, 2025</t>
        </is>
      </c>
      <c r="K177" s="200" t="inlineStr">
        <is>
          <t>Jul</t>
        </is>
      </c>
      <c r="L177" s="199" t="n">
        <v>2025</v>
      </c>
      <c r="M177" s="199" t="n">
        <v>2025</v>
      </c>
    </row>
    <row r="178" ht="15" customHeight="1" s="104">
      <c r="A178" s="194" t="n">
        <v>45869</v>
      </c>
      <c r="B178" s="195" t="inlineStr">
        <is>
          <t>Walmart</t>
        </is>
      </c>
      <c r="D178" s="195" t="inlineStr">
        <is>
          <t>Fees</t>
        </is>
      </c>
      <c r="E178" s="196" t="n">
        <v>-292.15</v>
      </c>
      <c r="F178" s="204" t="n">
        <v>-0.2801806813</v>
      </c>
      <c r="H178" s="196" t="n">
        <v>-292.15</v>
      </c>
      <c r="J178" s="200" t="inlineStr">
        <is>
          <t>JULY 1 - JULY 31, 2025</t>
        </is>
      </c>
      <c r="K178" s="200" t="inlineStr">
        <is>
          <t>Jul</t>
        </is>
      </c>
      <c r="L178" s="199" t="n">
        <v>2025</v>
      </c>
      <c r="M178" s="199" t="n">
        <v>2025</v>
      </c>
    </row>
    <row r="179" ht="15" customHeight="1" s="104">
      <c r="A179" s="194" t="n">
        <v>45869</v>
      </c>
      <c r="B179" s="195" t="inlineStr">
        <is>
          <t>Walmart</t>
        </is>
      </c>
      <c r="D179" s="195" t="inlineStr">
        <is>
          <t>Cost of goods</t>
        </is>
      </c>
      <c r="E179" s="196" t="n">
        <v>-377.1</v>
      </c>
      <c r="F179" s="204" t="n">
        <v>-0.3616502992</v>
      </c>
      <c r="H179" s="196" t="n">
        <v>-377.1</v>
      </c>
      <c r="J179" s="200" t="inlineStr">
        <is>
          <t>JULY 1 - JULY 31, 2025</t>
        </is>
      </c>
      <c r="K179" s="200" t="inlineStr">
        <is>
          <t>Jul</t>
        </is>
      </c>
      <c r="L179" s="199" t="n">
        <v>2025</v>
      </c>
      <c r="M179" s="199" t="n">
        <v>2025</v>
      </c>
    </row>
    <row r="180" ht="15" customHeight="1" s="104">
      <c r="A180" s="194" t="n">
        <v>45869</v>
      </c>
      <c r="B180" s="195" t="inlineStr">
        <is>
          <t>Tiktok</t>
        </is>
      </c>
      <c r="D180" s="195" t="inlineStr">
        <is>
          <t>Tiktok Shipping</t>
        </is>
      </c>
      <c r="E180" s="197" t="n">
        <v>-0.05</v>
      </c>
      <c r="F180" s="204" t="n">
        <v>-1.073228529e-05</v>
      </c>
      <c r="H180" s="197" t="n">
        <v>-0.05</v>
      </c>
      <c r="J180" s="200" t="inlineStr">
        <is>
          <t>JULY 1 - JULY 31, 2025</t>
        </is>
      </c>
      <c r="K180" s="200" t="inlineStr">
        <is>
          <t>Jul</t>
        </is>
      </c>
      <c r="L180" s="199" t="n">
        <v>2025</v>
      </c>
      <c r="M180" s="199" t="n">
        <v>2025</v>
      </c>
    </row>
    <row r="181" ht="15" customHeight="1" s="104">
      <c r="A181" s="194" t="n">
        <v>45869</v>
      </c>
      <c r="B181" s="195" t="inlineStr">
        <is>
          <t>Tiktok</t>
        </is>
      </c>
      <c r="D181" s="195" t="inlineStr">
        <is>
          <t>MCF Shipping fees</t>
        </is>
      </c>
      <c r="E181" s="196" t="n">
        <v>-1530.57</v>
      </c>
      <c r="F181" s="204" t="n">
        <v>-0.3285302779</v>
      </c>
      <c r="H181" s="196" t="n">
        <v>-1530.57</v>
      </c>
      <c r="J181" s="200" t="inlineStr">
        <is>
          <t>JULY 1 - JULY 31, 2025</t>
        </is>
      </c>
      <c r="K181" s="200" t="inlineStr">
        <is>
          <t>Jul</t>
        </is>
      </c>
      <c r="L181" s="199" t="n">
        <v>2025</v>
      </c>
      <c r="M181" s="199" t="n">
        <v>2025</v>
      </c>
    </row>
    <row r="182" ht="15" customHeight="1" s="104">
      <c r="A182" s="194" t="n">
        <v>45869</v>
      </c>
      <c r="B182" s="195" t="inlineStr">
        <is>
          <t>Tiktok</t>
        </is>
      </c>
      <c r="D182" s="195" t="inlineStr">
        <is>
          <t>Fees</t>
        </is>
      </c>
      <c r="E182" s="196" t="n">
        <v>-72.14</v>
      </c>
      <c r="F182" s="204" t="n">
        <v>-0.01548454122</v>
      </c>
      <c r="H182" s="196" t="n">
        <v>-72.14</v>
      </c>
      <c r="J182" s="200" t="inlineStr">
        <is>
          <t>JULY 1 - JULY 31, 2025</t>
        </is>
      </c>
      <c r="K182" s="200" t="inlineStr">
        <is>
          <t>Jul</t>
        </is>
      </c>
      <c r="L182" s="199" t="n">
        <v>2025</v>
      </c>
      <c r="M182" s="199" t="n">
        <v>2025</v>
      </c>
    </row>
    <row r="183" ht="15" customHeight="1" s="104">
      <c r="A183" s="194" t="n">
        <v>45869</v>
      </c>
      <c r="B183" s="195" t="inlineStr">
        <is>
          <t>Tiktok</t>
        </is>
      </c>
      <c r="D183" s="195" t="inlineStr">
        <is>
          <t>Referral fee</t>
        </is>
      </c>
      <c r="E183" s="196" t="n">
        <v>-279.6</v>
      </c>
      <c r="F183" s="204" t="n">
        <v>-0.06001493934</v>
      </c>
      <c r="H183" s="196" t="n">
        <v>-279.6</v>
      </c>
      <c r="J183" s="200" t="inlineStr">
        <is>
          <t>JULY 1 - JULY 31, 2025</t>
        </is>
      </c>
      <c r="K183" s="200" t="inlineStr">
        <is>
          <t>Jul</t>
        </is>
      </c>
      <c r="L183" s="199" t="n">
        <v>2025</v>
      </c>
      <c r="M183" s="199" t="n">
        <v>2025</v>
      </c>
    </row>
    <row r="184" ht="15" customHeight="1" s="104">
      <c r="A184" s="194" t="n">
        <v>45869</v>
      </c>
      <c r="B184" s="195" t="inlineStr">
        <is>
          <t>Tiktok</t>
        </is>
      </c>
      <c r="D184" s="195" t="inlineStr">
        <is>
          <t>Affiliate commission</t>
        </is>
      </c>
      <c r="E184" s="196" t="n">
        <v>-315.3</v>
      </c>
      <c r="F184" s="204" t="n">
        <v>-0.06767779104</v>
      </c>
      <c r="H184" s="196" t="n">
        <v>-315.3</v>
      </c>
      <c r="J184" s="200" t="inlineStr">
        <is>
          <t>JULY 1 - JULY 31, 2025</t>
        </is>
      </c>
      <c r="K184" s="200" t="inlineStr">
        <is>
          <t>Jul</t>
        </is>
      </c>
      <c r="L184" s="199" t="n">
        <v>2025</v>
      </c>
      <c r="M184" s="199" t="n">
        <v>2025</v>
      </c>
    </row>
    <row r="185" ht="15" customHeight="1" s="104">
      <c r="A185" s="194" t="n">
        <v>45869</v>
      </c>
      <c r="B185" s="195" t="inlineStr">
        <is>
          <t>Tiktok</t>
        </is>
      </c>
      <c r="D185" s="195" t="inlineStr">
        <is>
          <t xml:space="preserve">Adjustments
</t>
        </is>
      </c>
      <c r="E185" s="196" t="n">
        <v>-4.56</v>
      </c>
      <c r="F185" s="204" t="n">
        <v>-0.0009787844184000001</v>
      </c>
      <c r="H185" s="196" t="n">
        <v>-4.56</v>
      </c>
      <c r="J185" s="200" t="inlineStr">
        <is>
          <t>JULY 1 - JULY 31, 2025</t>
        </is>
      </c>
      <c r="K185" s="200" t="inlineStr">
        <is>
          <t>Jul</t>
        </is>
      </c>
      <c r="L185" s="199" t="n">
        <v>2025</v>
      </c>
      <c r="M185" s="199" t="n">
        <v>2025</v>
      </c>
    </row>
    <row r="186" ht="15" customHeight="1" s="104">
      <c r="A186" s="194" t="n">
        <v>45869</v>
      </c>
      <c r="B186" s="195" t="inlineStr">
        <is>
          <t>Tiktok</t>
        </is>
      </c>
      <c r="D186" s="195" t="inlineStr">
        <is>
          <t>Cost of goods</t>
        </is>
      </c>
      <c r="E186" s="196" t="n">
        <v>-1320.23</v>
      </c>
      <c r="F186" s="204" t="n">
        <v>-0.2833817002</v>
      </c>
      <c r="H186" s="196" t="n">
        <v>-1320.23</v>
      </c>
      <c r="J186" s="200" t="inlineStr">
        <is>
          <t>JULY 1 - JULY 31, 2025</t>
        </is>
      </c>
      <c r="K186" s="200" t="inlineStr">
        <is>
          <t>Jul</t>
        </is>
      </c>
      <c r="L186" s="199" t="n">
        <v>2025</v>
      </c>
      <c r="M186" s="199" t="n">
        <v>2025</v>
      </c>
    </row>
    <row r="187" ht="15" customHeight="1" s="104">
      <c r="A187" s="194" t="n">
        <v>45869</v>
      </c>
      <c r="B187" s="195" t="inlineStr">
        <is>
          <t>Tiktok</t>
        </is>
      </c>
      <c r="D187" s="195" t="inlineStr">
        <is>
          <t>Advertising cost</t>
        </is>
      </c>
      <c r="E187" s="196" t="n">
        <v>-302.09</v>
      </c>
      <c r="F187" s="204" t="n">
        <v>-0.06484232126</v>
      </c>
      <c r="H187" s="196" t="n">
        <v>-302.09</v>
      </c>
      <c r="J187" s="200" t="inlineStr">
        <is>
          <t>JULY 1 - JULY 31, 2025</t>
        </is>
      </c>
      <c r="K187" s="200" t="inlineStr">
        <is>
          <t>Jul</t>
        </is>
      </c>
      <c r="L187" s="199" t="n">
        <v>2025</v>
      </c>
      <c r="M187" s="199" t="n">
        <v>2025</v>
      </c>
    </row>
    <row r="188" ht="15" customHeight="1" s="104">
      <c r="A188" s="194" t="n">
        <v>45869</v>
      </c>
      <c r="B188" s="195" t="inlineStr">
        <is>
          <t>Shopify</t>
        </is>
      </c>
      <c r="D188" s="195" t="inlineStr">
        <is>
          <t>Advertising cost</t>
        </is>
      </c>
      <c r="E188" s="196" t="n">
        <v>-2606.64</v>
      </c>
      <c r="F188" s="204" t="n">
        <v>-0.4614869829</v>
      </c>
      <c r="H188" s="196" t="n">
        <v>-2606.64</v>
      </c>
      <c r="J188" s="200" t="inlineStr">
        <is>
          <t>JULY 1 - JULY 31, 2025</t>
        </is>
      </c>
      <c r="K188" s="200" t="inlineStr">
        <is>
          <t>Jul</t>
        </is>
      </c>
      <c r="L188" s="199" t="n">
        <v>2025</v>
      </c>
      <c r="M188" s="199" t="n">
        <v>2025</v>
      </c>
    </row>
    <row r="189" ht="15" customHeight="1" s="104">
      <c r="A189" s="194" t="n">
        <v>45869</v>
      </c>
      <c r="B189" s="195" t="inlineStr">
        <is>
          <t>Shopify</t>
        </is>
      </c>
      <c r="D189" s="195" t="inlineStr">
        <is>
          <t>Payment fees</t>
        </is>
      </c>
      <c r="E189" s="196" t="n">
        <v>-188.79</v>
      </c>
      <c r="F189" s="204" t="n">
        <v>-0.03342392026</v>
      </c>
      <c r="H189" s="196" t="n">
        <v>-188.79</v>
      </c>
      <c r="J189" s="200" t="inlineStr">
        <is>
          <t>JULY 1 - JULY 31, 2025</t>
        </is>
      </c>
      <c r="K189" s="200" t="inlineStr">
        <is>
          <t>Jul</t>
        </is>
      </c>
      <c r="L189" s="199" t="n">
        <v>2025</v>
      </c>
      <c r="M189" s="199" t="n">
        <v>2025</v>
      </c>
    </row>
    <row r="190" ht="15" customHeight="1" s="104">
      <c r="A190" s="194" t="n">
        <v>45869</v>
      </c>
      <c r="B190" s="195" t="inlineStr">
        <is>
          <t>Shopify</t>
        </is>
      </c>
      <c r="D190" s="195" t="inlineStr">
        <is>
          <t>Cost of goods</t>
        </is>
      </c>
      <c r="E190" s="196" t="n">
        <v>-1681.69</v>
      </c>
      <c r="F190" s="204" t="n">
        <v>-0.2977311958</v>
      </c>
      <c r="H190" s="196" t="n">
        <v>-1681.69</v>
      </c>
      <c r="J190" s="200" t="inlineStr">
        <is>
          <t>JULY 1 - JULY 31, 2025</t>
        </is>
      </c>
      <c r="K190" s="200" t="inlineStr">
        <is>
          <t>Jul</t>
        </is>
      </c>
      <c r="L190" s="199" t="n">
        <v>2025</v>
      </c>
      <c r="M190" s="199" t="n">
        <v>2025</v>
      </c>
    </row>
    <row r="191" ht="15" customHeight="1" s="104">
      <c r="A191" s="194" t="n">
        <v>45869</v>
      </c>
      <c r="B191" s="195" t="inlineStr">
        <is>
          <t>Shopify</t>
        </is>
      </c>
      <c r="D191" s="195" t="inlineStr">
        <is>
          <t>Tax</t>
        </is>
      </c>
      <c r="E191" s="196" t="n">
        <v>-42.84</v>
      </c>
      <c r="F191" s="204" t="n">
        <v>-0.007584515832</v>
      </c>
      <c r="H191" s="196" t="n">
        <v>-42.84</v>
      </c>
      <c r="J191" s="200" t="inlineStr">
        <is>
          <t>JULY 1 - JULY 31, 2025</t>
        </is>
      </c>
      <c r="K191" s="200" t="inlineStr">
        <is>
          <t>Jul</t>
        </is>
      </c>
      <c r="L191" s="199" t="n">
        <v>2025</v>
      </c>
      <c r="M191" s="199" t="n">
        <v>2025</v>
      </c>
    </row>
    <row r="192" ht="15" customHeight="1" s="104">
      <c r="A192" s="194" t="n">
        <v>45869</v>
      </c>
      <c r="B192" s="195" t="inlineStr">
        <is>
          <t>Shopify</t>
        </is>
      </c>
      <c r="D192" s="195" t="inlineStr">
        <is>
          <t>MCF Shipping fees</t>
        </is>
      </c>
      <c r="E192" s="196" t="n">
        <v>-1245.12</v>
      </c>
      <c r="F192" s="204" t="n">
        <v>-0.2204395974</v>
      </c>
      <c r="H192" s="196" t="n">
        <v>-1245.12</v>
      </c>
      <c r="J192" s="200" t="inlineStr">
        <is>
          <t>JULY 1 - JULY 31, 2025</t>
        </is>
      </c>
      <c r="K192" s="200" t="inlineStr">
        <is>
          <t>Jul</t>
        </is>
      </c>
      <c r="L192" s="199" t="n">
        <v>2025</v>
      </c>
      <c r="M192" s="199" t="n">
        <v>2025</v>
      </c>
    </row>
    <row r="193" ht="15" customHeight="1" s="104">
      <c r="A193" s="194" t="n">
        <v>45869</v>
      </c>
      <c r="B193" s="195" t="inlineStr">
        <is>
          <t>Shopify</t>
        </is>
      </c>
      <c r="D193" s="195" t="inlineStr">
        <is>
          <t>Shipping Cost</t>
        </is>
      </c>
      <c r="E193" s="198" t="n">
        <v>0</v>
      </c>
      <c r="F193" s="201" t="n">
        <v>0</v>
      </c>
      <c r="H193" s="198" t="n">
        <v>0</v>
      </c>
      <c r="J193" s="200" t="inlineStr">
        <is>
          <t>JULY 1 - JULY 31, 2025</t>
        </is>
      </c>
      <c r="K193" s="200" t="inlineStr">
        <is>
          <t>Jul</t>
        </is>
      </c>
      <c r="L193" s="199" t="n">
        <v>2025</v>
      </c>
      <c r="M193" s="199" t="n">
        <v>2025</v>
      </c>
    </row>
    <row r="194" ht="15" customHeight="1" s="104">
      <c r="A194" s="194" t="n">
        <v>45900</v>
      </c>
      <c r="B194" s="195" t="inlineStr">
        <is>
          <t>Amazon US</t>
        </is>
      </c>
      <c r="D194" s="195" t="inlineStr">
        <is>
          <t>Promo</t>
        </is>
      </c>
      <c r="E194" s="196" t="n">
        <v>-621.3</v>
      </c>
      <c r="F194" s="204" t="n">
        <v>-0.006320916373</v>
      </c>
      <c r="H194" s="196" t="n">
        <v>-621.3</v>
      </c>
      <c r="J194" s="200" t="inlineStr">
        <is>
          <t>AUG 1 - AUG 31, 2025</t>
        </is>
      </c>
      <c r="K194" s="200" t="inlineStr">
        <is>
          <t>Aug</t>
        </is>
      </c>
      <c r="L194" s="199" t="n">
        <v>2025</v>
      </c>
      <c r="M194" s="199" t="n">
        <v>2025</v>
      </c>
    </row>
    <row r="195" ht="15" customHeight="1" s="104">
      <c r="A195" s="194" t="n">
        <v>45900</v>
      </c>
      <c r="B195" s="195" t="inlineStr">
        <is>
          <t>Amazon US</t>
        </is>
      </c>
      <c r="D195" s="195" t="inlineStr">
        <is>
          <t>Advertising cost</t>
        </is>
      </c>
      <c r="E195" s="196" t="n">
        <v>-6142.14</v>
      </c>
      <c r="F195" s="204" t="n">
        <v>-0.06248825574</v>
      </c>
      <c r="H195" s="196" t="n">
        <v>-6142.14</v>
      </c>
      <c r="J195" s="200" t="inlineStr">
        <is>
          <t>AUG 1 - AUG 31, 2025</t>
        </is>
      </c>
      <c r="K195" s="200" t="inlineStr">
        <is>
          <t>Aug</t>
        </is>
      </c>
      <c r="L195" s="199" t="n">
        <v>2025</v>
      </c>
      <c r="M195" s="199" t="n">
        <v>2025</v>
      </c>
    </row>
    <row r="196" ht="15" customHeight="1" s="104">
      <c r="A196" s="194" t="n">
        <v>45900</v>
      </c>
      <c r="B196" s="195" t="inlineStr">
        <is>
          <t>Amazon US</t>
        </is>
      </c>
      <c r="D196" s="195" t="inlineStr">
        <is>
          <t>Refund cost</t>
        </is>
      </c>
      <c r="E196" s="196" t="n">
        <v>-8881.030000000001</v>
      </c>
      <c r="F196" s="204" t="n">
        <v>-0.09035288578</v>
      </c>
      <c r="H196" s="196" t="n">
        <v>-8881.030000000001</v>
      </c>
      <c r="J196" s="200" t="inlineStr">
        <is>
          <t>AUG 1 - AUG 31, 2025</t>
        </is>
      </c>
      <c r="K196" s="200" t="inlineStr">
        <is>
          <t>Aug</t>
        </is>
      </c>
      <c r="L196" s="199" t="n">
        <v>2025</v>
      </c>
      <c r="M196" s="199" t="n">
        <v>2025</v>
      </c>
    </row>
    <row r="197" ht="15" customHeight="1" s="104">
      <c r="A197" s="194" t="n">
        <v>45900</v>
      </c>
      <c r="B197" s="195" t="inlineStr">
        <is>
          <t>Amazon US</t>
        </is>
      </c>
      <c r="D197" s="195" t="inlineStr">
        <is>
          <t>Amazon fees</t>
        </is>
      </c>
      <c r="E197" s="196" t="n">
        <v>-32865.93</v>
      </c>
      <c r="F197" s="204" t="n">
        <v>-0.3343679302</v>
      </c>
      <c r="H197" s="196" t="n">
        <v>-32865.93</v>
      </c>
      <c r="J197" s="200" t="inlineStr">
        <is>
          <t>AUG 1 - AUG 31, 2025</t>
        </is>
      </c>
      <c r="K197" s="200" t="inlineStr">
        <is>
          <t>Aug</t>
        </is>
      </c>
      <c r="L197" s="199" t="n">
        <v>2025</v>
      </c>
      <c r="M197" s="199" t="n">
        <v>2025</v>
      </c>
    </row>
    <row r="198" ht="15" customHeight="1" s="104">
      <c r="A198" s="194" t="n">
        <v>45900</v>
      </c>
      <c r="B198" s="195" t="inlineStr">
        <is>
          <t>Amazon US</t>
        </is>
      </c>
      <c r="D198" s="195" t="inlineStr">
        <is>
          <t>Cost of goods</t>
        </is>
      </c>
      <c r="E198" s="196" t="n">
        <v>-25928.03</v>
      </c>
      <c r="F198" s="204" t="n">
        <v>-0.2637838554</v>
      </c>
      <c r="H198" s="196" t="n">
        <v>-25928.03</v>
      </c>
      <c r="J198" s="200" t="inlineStr">
        <is>
          <t>AUG 1 - AUG 31, 2025</t>
        </is>
      </c>
      <c r="K198" s="200" t="inlineStr">
        <is>
          <t>Aug</t>
        </is>
      </c>
      <c r="L198" s="199" t="n">
        <v>2025</v>
      </c>
      <c r="M198" s="199" t="n">
        <v>2025</v>
      </c>
    </row>
    <row r="199" ht="15" customHeight="1" s="104">
      <c r="A199" s="194" t="n">
        <v>45900</v>
      </c>
      <c r="B199" s="195" t="inlineStr">
        <is>
          <t>Amazon CA</t>
        </is>
      </c>
      <c r="D199" s="195" t="inlineStr">
        <is>
          <t>Promo</t>
        </is>
      </c>
      <c r="E199" s="198" t="n">
        <v>0</v>
      </c>
      <c r="F199" s="201" t="n">
        <v>0</v>
      </c>
      <c r="H199" s="198" t="n">
        <v>0</v>
      </c>
      <c r="J199" s="200" t="inlineStr">
        <is>
          <t>AUG 1 - AUG 31, 2025</t>
        </is>
      </c>
      <c r="K199" s="200" t="inlineStr">
        <is>
          <t>Aug</t>
        </is>
      </c>
      <c r="L199" s="199" t="n">
        <v>2025</v>
      </c>
      <c r="M199" s="199" t="n">
        <v>2025</v>
      </c>
    </row>
    <row r="200" ht="15" customHeight="1" s="104">
      <c r="A200" s="194" t="n">
        <v>45900</v>
      </c>
      <c r="B200" s="195" t="inlineStr">
        <is>
          <t>Amazon CA</t>
        </is>
      </c>
      <c r="D200" s="195" t="inlineStr">
        <is>
          <t>Advertising cost</t>
        </is>
      </c>
      <c r="E200" s="196" t="n">
        <v>-507.06</v>
      </c>
      <c r="F200" s="204" t="n">
        <v>-0.03552775952</v>
      </c>
      <c r="H200" s="196" t="n">
        <v>-507.06</v>
      </c>
      <c r="J200" s="200" t="inlineStr">
        <is>
          <t>AUG 1 - AUG 31, 2025</t>
        </is>
      </c>
      <c r="K200" s="200" t="inlineStr">
        <is>
          <t>Aug</t>
        </is>
      </c>
      <c r="L200" s="199" t="n">
        <v>2025</v>
      </c>
      <c r="M200" s="199" t="n">
        <v>2025</v>
      </c>
    </row>
    <row r="201" ht="15" customHeight="1" s="104">
      <c r="A201" s="194" t="n">
        <v>45900</v>
      </c>
      <c r="B201" s="195" t="inlineStr">
        <is>
          <t>Amazon CA</t>
        </is>
      </c>
      <c r="D201" s="195" t="inlineStr">
        <is>
          <t>Refund cost</t>
        </is>
      </c>
      <c r="E201" s="196" t="n">
        <v>-2282.35</v>
      </c>
      <c r="F201" s="204" t="n">
        <v>-0.1599155562</v>
      </c>
      <c r="H201" s="196" t="n">
        <v>-2282.35</v>
      </c>
      <c r="J201" s="200" t="inlineStr">
        <is>
          <t>AUG 1 - AUG 31, 2025</t>
        </is>
      </c>
      <c r="K201" s="200" t="inlineStr">
        <is>
          <t>Aug</t>
        </is>
      </c>
      <c r="L201" s="199" t="n">
        <v>2025</v>
      </c>
      <c r="M201" s="199" t="n">
        <v>2025</v>
      </c>
    </row>
    <row r="202" ht="15" customHeight="1" s="104">
      <c r="A202" s="194" t="n">
        <v>45900</v>
      </c>
      <c r="B202" s="195" t="inlineStr">
        <is>
          <t>Amazon CA</t>
        </is>
      </c>
      <c r="D202" s="195" t="inlineStr">
        <is>
          <t>Amazon fees</t>
        </is>
      </c>
      <c r="E202" s="196" t="n">
        <v>-4992.95</v>
      </c>
      <c r="F202" s="204" t="n">
        <v>-0.349836956</v>
      </c>
      <c r="H202" s="196" t="n">
        <v>-4992.95</v>
      </c>
      <c r="J202" s="200" t="inlineStr">
        <is>
          <t>AUG 1 - AUG 31, 2025</t>
        </is>
      </c>
      <c r="K202" s="200" t="inlineStr">
        <is>
          <t>Aug</t>
        </is>
      </c>
      <c r="L202" s="199" t="n">
        <v>2025</v>
      </c>
      <c r="M202" s="199" t="n">
        <v>2025</v>
      </c>
    </row>
    <row r="203" ht="15" customHeight="1" s="104">
      <c r="A203" s="194" t="n">
        <v>45900</v>
      </c>
      <c r="B203" s="195" t="inlineStr">
        <is>
          <t>Amazon CA</t>
        </is>
      </c>
      <c r="D203" s="195" t="inlineStr">
        <is>
          <t>Cost of goods</t>
        </is>
      </c>
      <c r="E203" s="196" t="n">
        <v>-3736.26</v>
      </c>
      <c r="F203" s="204" t="n">
        <v>-0.2617854826</v>
      </c>
      <c r="H203" s="196" t="n">
        <v>-3736.26</v>
      </c>
      <c r="J203" s="200" t="inlineStr">
        <is>
          <t>AUG 1 - AUG 31, 2025</t>
        </is>
      </c>
      <c r="K203" s="200" t="inlineStr">
        <is>
          <t>Aug</t>
        </is>
      </c>
      <c r="L203" s="199" t="n">
        <v>2025</v>
      </c>
      <c r="M203" s="199" t="n">
        <v>2025</v>
      </c>
    </row>
    <row r="204" ht="15" customHeight="1" s="104">
      <c r="A204" s="194" t="n">
        <v>45900</v>
      </c>
      <c r="B204" s="195" t="inlineStr">
        <is>
          <t>Walmart</t>
        </is>
      </c>
      <c r="D204" s="195" t="inlineStr">
        <is>
          <t>Advertising cost</t>
        </is>
      </c>
      <c r="E204" s="196" t="n">
        <v>-18.13</v>
      </c>
      <c r="F204" s="204" t="n">
        <v>-0.0176798705</v>
      </c>
      <c r="H204" s="196" t="n">
        <v>-18.13</v>
      </c>
      <c r="J204" s="200" t="inlineStr">
        <is>
          <t>AUG 1 - AUG 31, 2025</t>
        </is>
      </c>
      <c r="K204" s="200" t="inlineStr">
        <is>
          <t>Aug</t>
        </is>
      </c>
      <c r="L204" s="199" t="n">
        <v>2025</v>
      </c>
      <c r="M204" s="199" t="n">
        <v>2025</v>
      </c>
    </row>
    <row r="205" ht="15" customHeight="1" s="104">
      <c r="A205" s="194" t="n">
        <v>45900</v>
      </c>
      <c r="B205" s="195" t="inlineStr">
        <is>
          <t>Walmart</t>
        </is>
      </c>
      <c r="D205" s="195" t="inlineStr">
        <is>
          <t>Shipping costs</t>
        </is>
      </c>
      <c r="E205" s="196" t="n">
        <v>-147.1</v>
      </c>
      <c r="F205" s="204" t="n">
        <v>-0.1434478185</v>
      </c>
      <c r="H205" s="196" t="n">
        <v>-147.1</v>
      </c>
      <c r="J205" s="200" t="inlineStr">
        <is>
          <t>AUG 1 - AUG 31, 2025</t>
        </is>
      </c>
      <c r="K205" s="200" t="inlineStr">
        <is>
          <t>Aug</t>
        </is>
      </c>
      <c r="L205" s="199" t="n">
        <v>2025</v>
      </c>
      <c r="M205" s="199" t="n">
        <v>2025</v>
      </c>
    </row>
    <row r="206" ht="15" customHeight="1" s="104">
      <c r="A206" s="194" t="n">
        <v>45900</v>
      </c>
      <c r="B206" s="195" t="inlineStr">
        <is>
          <t>Walmart</t>
        </is>
      </c>
      <c r="D206" s="195" t="inlineStr">
        <is>
          <t>Fees</t>
        </is>
      </c>
      <c r="E206" s="196" t="n">
        <v>-225.12</v>
      </c>
      <c r="F206" s="204" t="n">
        <v>-0.2195307472</v>
      </c>
      <c r="H206" s="196" t="n">
        <v>-225.12</v>
      </c>
      <c r="J206" s="200" t="inlineStr">
        <is>
          <t>AUG 1 - AUG 31, 2025</t>
        </is>
      </c>
      <c r="K206" s="200" t="inlineStr">
        <is>
          <t>Aug</t>
        </is>
      </c>
      <c r="L206" s="199" t="n">
        <v>2025</v>
      </c>
      <c r="M206" s="199" t="n">
        <v>2025</v>
      </c>
    </row>
    <row r="207" ht="15" customHeight="1" s="104">
      <c r="A207" s="194" t="n">
        <v>45900</v>
      </c>
      <c r="B207" s="195" t="inlineStr">
        <is>
          <t>Walmart</t>
        </is>
      </c>
      <c r="D207" s="195" t="inlineStr">
        <is>
          <t>Cost of goods</t>
        </is>
      </c>
      <c r="E207" s="196" t="n">
        <v>-337.4</v>
      </c>
      <c r="F207" s="204" t="n">
        <v>-0.3290230726</v>
      </c>
      <c r="H207" s="196" t="n">
        <v>-337.4</v>
      </c>
      <c r="J207" s="200" t="inlineStr">
        <is>
          <t>AUG 1 - AUG 31, 2025</t>
        </is>
      </c>
      <c r="K207" s="200" t="inlineStr">
        <is>
          <t>Aug</t>
        </is>
      </c>
      <c r="L207" s="199" t="n">
        <v>2025</v>
      </c>
      <c r="M207" s="199" t="n">
        <v>2025</v>
      </c>
    </row>
    <row r="208" ht="15" customHeight="1" s="104">
      <c r="A208" s="194" t="n">
        <v>45900</v>
      </c>
      <c r="B208" s="195" t="inlineStr">
        <is>
          <t>Tiktok</t>
        </is>
      </c>
      <c r="D208" s="195" t="inlineStr">
        <is>
          <t>Tiktok Shipping</t>
        </is>
      </c>
      <c r="E208" s="196" t="n">
        <v>-11.71</v>
      </c>
      <c r="F208" s="204" t="n">
        <v>-0.002947291059</v>
      </c>
      <c r="H208" s="196" t="n">
        <v>-11.71</v>
      </c>
      <c r="J208" s="200" t="inlineStr">
        <is>
          <t>AUG 1 - AUG 31, 2025</t>
        </is>
      </c>
      <c r="K208" s="200" t="inlineStr">
        <is>
          <t>Aug</t>
        </is>
      </c>
      <c r="L208" s="199" t="n">
        <v>2025</v>
      </c>
      <c r="M208" s="199" t="n">
        <v>2025</v>
      </c>
    </row>
    <row r="209" ht="15" customHeight="1" s="104">
      <c r="A209" s="194" t="n">
        <v>45900</v>
      </c>
      <c r="B209" s="195" t="inlineStr">
        <is>
          <t>Tiktok</t>
        </is>
      </c>
      <c r="D209" s="195" t="inlineStr">
        <is>
          <t>MCF Shipping fees</t>
        </is>
      </c>
      <c r="E209" s="196" t="n">
        <v>-970.7</v>
      </c>
      <c r="F209" s="204" t="n">
        <v>-0.2443155791</v>
      </c>
      <c r="H209" s="196" t="n">
        <v>-970.7</v>
      </c>
      <c r="J209" s="200" t="inlineStr">
        <is>
          <t>AUG 1 - AUG 31, 2025</t>
        </is>
      </c>
      <c r="K209" s="200" t="inlineStr">
        <is>
          <t>Aug</t>
        </is>
      </c>
      <c r="L209" s="199" t="n">
        <v>2025</v>
      </c>
      <c r="M209" s="199" t="n">
        <v>2025</v>
      </c>
    </row>
    <row r="210" ht="15" customHeight="1" s="104">
      <c r="A210" s="194" t="n">
        <v>45900</v>
      </c>
      <c r="B210" s="195" t="inlineStr">
        <is>
          <t>Tiktok</t>
        </is>
      </c>
      <c r="D210" s="195" t="inlineStr">
        <is>
          <t>Fees</t>
        </is>
      </c>
      <c r="E210" s="196" t="n">
        <v>-22.6</v>
      </c>
      <c r="F210" s="204" t="n">
        <v>-0.005688196238</v>
      </c>
      <c r="H210" s="196" t="n">
        <v>-22.6</v>
      </c>
      <c r="J210" s="200" t="inlineStr">
        <is>
          <t>AUG 1 - AUG 31, 2025</t>
        </is>
      </c>
      <c r="K210" s="200" t="inlineStr">
        <is>
          <t>Aug</t>
        </is>
      </c>
      <c r="L210" s="199" t="n">
        <v>2025</v>
      </c>
      <c r="M210" s="199" t="n">
        <v>2025</v>
      </c>
    </row>
    <row r="211" ht="15" customHeight="1" s="104">
      <c r="A211" s="194" t="n">
        <v>45900</v>
      </c>
      <c r="B211" s="195" t="inlineStr">
        <is>
          <t>Tiktok</t>
        </is>
      </c>
      <c r="D211" s="195" t="inlineStr">
        <is>
          <t>Referral fee</t>
        </is>
      </c>
      <c r="E211" s="196" t="n">
        <v>-238.44</v>
      </c>
      <c r="F211" s="204" t="n">
        <v>-0.06001298721</v>
      </c>
      <c r="H211" s="196" t="n">
        <v>-238.44</v>
      </c>
      <c r="J211" s="200" t="inlineStr">
        <is>
          <t>AUG 1 - AUG 31, 2025</t>
        </is>
      </c>
      <c r="K211" s="200" t="inlineStr">
        <is>
          <t>Aug</t>
        </is>
      </c>
      <c r="L211" s="199" t="n">
        <v>2025</v>
      </c>
      <c r="M211" s="199" t="n">
        <v>2025</v>
      </c>
    </row>
    <row r="212" ht="15" customHeight="1" s="104">
      <c r="A212" s="194" t="n">
        <v>45900</v>
      </c>
      <c r="B212" s="195" t="inlineStr">
        <is>
          <t>Tiktok</t>
        </is>
      </c>
      <c r="D212" s="195" t="inlineStr">
        <is>
          <t>Affiliate commission</t>
        </is>
      </c>
      <c r="E212" s="196" t="n">
        <v>-271.1</v>
      </c>
      <c r="F212" s="204" t="n">
        <v>-0.06823318584</v>
      </c>
      <c r="H212" s="196" t="n">
        <v>-271.1</v>
      </c>
      <c r="J212" s="200" t="inlineStr">
        <is>
          <t>AUG 1 - AUG 31, 2025</t>
        </is>
      </c>
      <c r="K212" s="200" t="inlineStr">
        <is>
          <t>Aug</t>
        </is>
      </c>
      <c r="L212" s="199" t="n">
        <v>2025</v>
      </c>
      <c r="M212" s="199" t="n">
        <v>2025</v>
      </c>
    </row>
    <row r="213" ht="15" customHeight="1" s="104">
      <c r="A213" s="194" t="n">
        <v>45900</v>
      </c>
      <c r="B213" s="195" t="inlineStr">
        <is>
          <t>Tiktok</t>
        </is>
      </c>
      <c r="D213" s="195" t="inlineStr">
        <is>
          <t xml:space="preserve">Adjustments
</t>
        </is>
      </c>
      <c r="E213" s="196" t="n">
        <v>-2.79</v>
      </c>
      <c r="F213" s="204" t="n">
        <v>-0.0007022153763</v>
      </c>
      <c r="H213" s="196" t="n">
        <v>-2.79</v>
      </c>
      <c r="J213" s="200" t="inlineStr">
        <is>
          <t>AUG 1 - AUG 31, 2025</t>
        </is>
      </c>
      <c r="K213" s="200" t="inlineStr">
        <is>
          <t>Aug</t>
        </is>
      </c>
      <c r="L213" s="199" t="n">
        <v>2025</v>
      </c>
      <c r="M213" s="199" t="n">
        <v>2025</v>
      </c>
    </row>
    <row r="214" ht="15" customHeight="1" s="104">
      <c r="A214" s="194" t="n">
        <v>45900</v>
      </c>
      <c r="B214" s="195" t="inlineStr">
        <is>
          <t>Tiktok</t>
        </is>
      </c>
      <c r="D214" s="195" t="inlineStr">
        <is>
          <t>Cost of goods</t>
        </is>
      </c>
      <c r="E214" s="196" t="n">
        <v>-1208.87</v>
      </c>
      <c r="F214" s="204" t="n">
        <v>-0.30426061</v>
      </c>
      <c r="H214" s="196" t="n">
        <v>-1208.87</v>
      </c>
      <c r="J214" s="200" t="inlineStr">
        <is>
          <t>AUG 1 - AUG 31, 2025</t>
        </is>
      </c>
      <c r="K214" s="200" t="inlineStr">
        <is>
          <t>Aug</t>
        </is>
      </c>
      <c r="L214" s="199" t="n">
        <v>2025</v>
      </c>
      <c r="M214" s="199" t="n">
        <v>2025</v>
      </c>
    </row>
    <row r="215" ht="15" customHeight="1" s="104">
      <c r="A215" s="194" t="n">
        <v>45900</v>
      </c>
      <c r="B215" s="195" t="inlineStr">
        <is>
          <t>Tiktok</t>
        </is>
      </c>
      <c r="D215" s="195" t="inlineStr">
        <is>
          <t>Advertising cost</t>
        </is>
      </c>
      <c r="E215" s="196" t="n">
        <v>-290.9</v>
      </c>
      <c r="F215" s="204" t="n">
        <v>-0.07321664980000001</v>
      </c>
      <c r="H215" s="196" t="n">
        <v>-290.9</v>
      </c>
      <c r="J215" s="200" t="inlineStr">
        <is>
          <t>AUG 1 - AUG 31, 2025</t>
        </is>
      </c>
      <c r="K215" s="200" t="inlineStr">
        <is>
          <t>Aug</t>
        </is>
      </c>
      <c r="L215" s="199" t="n">
        <v>2025</v>
      </c>
      <c r="M215" s="199" t="n">
        <v>2025</v>
      </c>
    </row>
    <row r="216" ht="15" customHeight="1" s="104">
      <c r="A216" s="194" t="n">
        <v>45900</v>
      </c>
      <c r="B216" s="195" t="inlineStr">
        <is>
          <t>Shopify</t>
        </is>
      </c>
      <c r="D216" s="195" t="inlineStr">
        <is>
          <t>Advertising cost</t>
        </is>
      </c>
      <c r="E216" s="196" t="n">
        <v>-4254.9</v>
      </c>
      <c r="F216" s="204" t="n">
        <v>-0.4394000886</v>
      </c>
      <c r="H216" s="196" t="n">
        <v>-4254.9</v>
      </c>
      <c r="J216" s="200" t="inlineStr">
        <is>
          <t>AUG 1 - AUG 31, 2025</t>
        </is>
      </c>
      <c r="K216" s="200" t="inlineStr">
        <is>
          <t>Aug</t>
        </is>
      </c>
      <c r="L216" s="199" t="n">
        <v>2025</v>
      </c>
      <c r="M216" s="199" t="n">
        <v>2025</v>
      </c>
    </row>
    <row r="217" ht="15" customHeight="1" s="104">
      <c r="A217" s="194" t="n">
        <v>45900</v>
      </c>
      <c r="B217" s="195" t="inlineStr">
        <is>
          <t>Shopify</t>
        </is>
      </c>
      <c r="D217" s="195" t="inlineStr">
        <is>
          <t>Payment fees</t>
        </is>
      </c>
      <c r="E217" s="196" t="n">
        <v>-320.62</v>
      </c>
      <c r="F217" s="204" t="n">
        <v>-0.03311016861</v>
      </c>
      <c r="H217" s="196" t="n">
        <v>-320.62</v>
      </c>
      <c r="J217" s="200" t="inlineStr">
        <is>
          <t>AUG 1 - AUG 31, 2025</t>
        </is>
      </c>
      <c r="K217" s="200" t="inlineStr">
        <is>
          <t>Aug</t>
        </is>
      </c>
      <c r="L217" s="199" t="n">
        <v>2025</v>
      </c>
      <c r="M217" s="199" t="n">
        <v>2025</v>
      </c>
    </row>
    <row r="218" ht="15" customHeight="1" s="104">
      <c r="A218" s="194" t="n">
        <v>45900</v>
      </c>
      <c r="B218" s="195" t="inlineStr">
        <is>
          <t>Shopify</t>
        </is>
      </c>
      <c r="D218" s="195" t="inlineStr">
        <is>
          <t>Cost of goods</t>
        </is>
      </c>
      <c r="E218" s="196" t="n">
        <v>-2949.1</v>
      </c>
      <c r="F218" s="204" t="n">
        <v>-0.3045511766</v>
      </c>
      <c r="H218" s="196" t="n">
        <v>-2949.1</v>
      </c>
      <c r="J218" s="200" t="inlineStr">
        <is>
          <t>AUG 1 - AUG 31, 2025</t>
        </is>
      </c>
      <c r="K218" s="200" t="inlineStr">
        <is>
          <t>Aug</t>
        </is>
      </c>
      <c r="L218" s="199" t="n">
        <v>2025</v>
      </c>
      <c r="M218" s="199" t="n">
        <v>2025</v>
      </c>
    </row>
    <row r="219" ht="15" customHeight="1" s="104">
      <c r="A219" s="194" t="n">
        <v>45900</v>
      </c>
      <c r="B219" s="195" t="inlineStr">
        <is>
          <t>Shopify</t>
        </is>
      </c>
      <c r="D219" s="195" t="inlineStr">
        <is>
          <t>Tax</t>
        </is>
      </c>
      <c r="E219" s="196" t="n">
        <v>-57.57</v>
      </c>
      <c r="F219" s="204" t="n">
        <v>-0.005945207432</v>
      </c>
      <c r="H219" s="196" t="n">
        <v>-57.57</v>
      </c>
      <c r="J219" s="200" t="inlineStr">
        <is>
          <t>AUG 1 - AUG 31, 2025</t>
        </is>
      </c>
      <c r="K219" s="200" t="inlineStr">
        <is>
          <t>Aug</t>
        </is>
      </c>
      <c r="L219" s="199" t="n">
        <v>2025</v>
      </c>
      <c r="M219" s="199" t="n">
        <v>2025</v>
      </c>
    </row>
    <row r="220" ht="15" customHeight="1" s="104">
      <c r="A220" s="194" t="n">
        <v>45900</v>
      </c>
      <c r="B220" s="195" t="inlineStr">
        <is>
          <t>Shopify</t>
        </is>
      </c>
      <c r="D220" s="195" t="inlineStr">
        <is>
          <t>MCF Shipping fees</t>
        </is>
      </c>
      <c r="E220" s="196" t="n">
        <v>-2864.17</v>
      </c>
      <c r="F220" s="204" t="n">
        <v>-0.295780524</v>
      </c>
      <c r="H220" s="196" t="n">
        <v>-2864.17</v>
      </c>
      <c r="J220" s="200" t="inlineStr">
        <is>
          <t>AUG 1 - AUG 31, 2025</t>
        </is>
      </c>
      <c r="K220" s="200" t="inlineStr">
        <is>
          <t>Aug</t>
        </is>
      </c>
      <c r="L220" s="199" t="n">
        <v>2025</v>
      </c>
      <c r="M220" s="199" t="n">
        <v>2025</v>
      </c>
    </row>
    <row r="221" ht="15" customHeight="1" s="104">
      <c r="A221" s="194" t="n">
        <v>45900</v>
      </c>
      <c r="B221" s="195" t="inlineStr">
        <is>
          <t>Shopify</t>
        </is>
      </c>
      <c r="D221" s="195" t="inlineStr">
        <is>
          <t>Shipping Cost</t>
        </is>
      </c>
      <c r="E221" s="198" t="n">
        <v>0</v>
      </c>
      <c r="F221" s="201" t="n">
        <v>0</v>
      </c>
      <c r="H221" s="198" t="n">
        <v>0</v>
      </c>
      <c r="J221" s="200" t="inlineStr">
        <is>
          <t>AUG 1 - AUG 31, 2025</t>
        </is>
      </c>
      <c r="K221" s="200" t="inlineStr">
        <is>
          <t>Aug</t>
        </is>
      </c>
      <c r="L221" s="199" t="n">
        <v>2025</v>
      </c>
      <c r="M221" s="199" t="n">
        <v>2025</v>
      </c>
    </row>
    <row r="222" ht="15" customHeight="1" s="104">
      <c r="A222" s="194" t="n">
        <v>45930</v>
      </c>
      <c r="B222" s="195" t="inlineStr">
        <is>
          <t>Amazon US</t>
        </is>
      </c>
      <c r="D222" s="195" t="inlineStr">
        <is>
          <t>Promo</t>
        </is>
      </c>
      <c r="E222" s="196" t="n">
        <v>-422.59</v>
      </c>
      <c r="F222" s="204" t="n">
        <v>-0.004157189964</v>
      </c>
      <c r="H222" s="196" t="n">
        <v>-422.59</v>
      </c>
      <c r="J222" s="200" t="inlineStr">
        <is>
          <t>SEP 1- SEP 30, 2025</t>
        </is>
      </c>
      <c r="K222" s="200" t="inlineStr">
        <is>
          <t>Sep</t>
        </is>
      </c>
      <c r="L222" s="199" t="n">
        <v>2025</v>
      </c>
      <c r="M222" s="199" t="n">
        <v>2025</v>
      </c>
    </row>
    <row r="223" ht="15" customHeight="1" s="104">
      <c r="A223" s="194" t="n">
        <v>45930</v>
      </c>
      <c r="B223" s="195" t="inlineStr">
        <is>
          <t>Amazon US</t>
        </is>
      </c>
      <c r="D223" s="195" t="inlineStr">
        <is>
          <t>Advertising cost</t>
        </is>
      </c>
      <c r="E223" s="196" t="n">
        <v>-8029.51</v>
      </c>
      <c r="F223" s="204" t="n">
        <v>-0.07898956054</v>
      </c>
      <c r="H223" s="196" t="n">
        <v>-8029.51</v>
      </c>
      <c r="J223" s="200" t="inlineStr">
        <is>
          <t>SEP 1- SEP 30, 2025</t>
        </is>
      </c>
      <c r="K223" s="200" t="inlineStr">
        <is>
          <t>Sep</t>
        </is>
      </c>
      <c r="L223" s="199" t="n">
        <v>2025</v>
      </c>
      <c r="M223" s="199" t="n">
        <v>2025</v>
      </c>
    </row>
    <row r="224" ht="15" customHeight="1" s="104">
      <c r="A224" s="194" t="n">
        <v>45930</v>
      </c>
      <c r="B224" s="195" t="inlineStr">
        <is>
          <t>Amazon US</t>
        </is>
      </c>
      <c r="D224" s="195" t="inlineStr">
        <is>
          <t>Refund cost</t>
        </is>
      </c>
      <c r="E224" s="196" t="n">
        <v>-8751.83</v>
      </c>
      <c r="F224" s="204" t="n">
        <v>-0.08609531661</v>
      </c>
      <c r="H224" s="196" t="n">
        <v>-8751.83</v>
      </c>
      <c r="J224" s="200" t="inlineStr">
        <is>
          <t>SEP 1- SEP 30, 2025</t>
        </is>
      </c>
      <c r="K224" s="200" t="inlineStr">
        <is>
          <t>Sep</t>
        </is>
      </c>
      <c r="L224" s="199" t="n">
        <v>2025</v>
      </c>
      <c r="M224" s="199" t="n">
        <v>2025</v>
      </c>
    </row>
    <row r="225" ht="15" customHeight="1" s="104">
      <c r="A225" s="194" t="n">
        <v>45930</v>
      </c>
      <c r="B225" s="195" t="inlineStr">
        <is>
          <t>Amazon US</t>
        </is>
      </c>
      <c r="D225" s="195" t="inlineStr">
        <is>
          <t>Amazon fees</t>
        </is>
      </c>
      <c r="E225" s="196" t="n">
        <v>-35577.1</v>
      </c>
      <c r="F225" s="204" t="n">
        <v>-0.3499864244</v>
      </c>
      <c r="H225" s="196" t="n">
        <v>-35577.1</v>
      </c>
      <c r="J225" s="200" t="inlineStr">
        <is>
          <t>SEP 1- SEP 30, 2025</t>
        </is>
      </c>
      <c r="K225" s="200" t="inlineStr">
        <is>
          <t>Sep</t>
        </is>
      </c>
      <c r="L225" s="199" t="n">
        <v>2025</v>
      </c>
      <c r="M225" s="199" t="n">
        <v>2025</v>
      </c>
    </row>
    <row r="226" ht="15" customHeight="1" s="104">
      <c r="A226" s="194" t="n">
        <v>45930</v>
      </c>
      <c r="B226" s="195" t="inlineStr">
        <is>
          <t>Amazon US</t>
        </is>
      </c>
      <c r="D226" s="195" t="inlineStr">
        <is>
          <t>Cost of goods</t>
        </is>
      </c>
      <c r="E226" s="196" t="n">
        <v>-27848.23</v>
      </c>
      <c r="F226" s="204" t="n">
        <v>-0.273954382</v>
      </c>
      <c r="H226" s="196" t="n">
        <v>-27848.23</v>
      </c>
      <c r="J226" s="200" t="inlineStr">
        <is>
          <t>SEP 1- SEP 30, 2025</t>
        </is>
      </c>
      <c r="K226" s="200" t="inlineStr">
        <is>
          <t>Sep</t>
        </is>
      </c>
      <c r="L226" s="199" t="n">
        <v>2025</v>
      </c>
      <c r="M226" s="199" t="n">
        <v>2025</v>
      </c>
    </row>
    <row r="227" ht="15" customHeight="1" s="104">
      <c r="A227" s="194" t="n">
        <v>45930</v>
      </c>
      <c r="B227" s="195" t="inlineStr">
        <is>
          <t>Amazon CA</t>
        </is>
      </c>
      <c r="D227" s="195" t="inlineStr">
        <is>
          <t>Promo</t>
        </is>
      </c>
      <c r="E227" s="198" t="n">
        <v>0</v>
      </c>
      <c r="F227" s="201" t="n">
        <v>0</v>
      </c>
      <c r="H227" s="198" t="n">
        <v>0</v>
      </c>
      <c r="J227" s="200" t="inlineStr">
        <is>
          <t>SEP 1- SEP 30, 2025</t>
        </is>
      </c>
      <c r="K227" s="200" t="inlineStr">
        <is>
          <t>Sep</t>
        </is>
      </c>
      <c r="L227" s="199" t="n">
        <v>2025</v>
      </c>
      <c r="M227" s="199" t="n">
        <v>2025</v>
      </c>
    </row>
    <row r="228" ht="15" customHeight="1" s="104">
      <c r="A228" s="194" t="n">
        <v>45930</v>
      </c>
      <c r="B228" s="195" t="inlineStr">
        <is>
          <t>Amazon CA</t>
        </is>
      </c>
      <c r="D228" s="195" t="inlineStr">
        <is>
          <t>Advertising cost</t>
        </is>
      </c>
      <c r="E228" s="196" t="n">
        <v>-552.86</v>
      </c>
      <c r="F228" s="204" t="n">
        <v>-0.056254935</v>
      </c>
      <c r="H228" s="196" t="n">
        <v>-552.86</v>
      </c>
      <c r="J228" s="200" t="inlineStr">
        <is>
          <t>SEP 1- SEP 30, 2025</t>
        </is>
      </c>
      <c r="K228" s="200" t="inlineStr">
        <is>
          <t>Sep</t>
        </is>
      </c>
      <c r="L228" s="199" t="n">
        <v>2025</v>
      </c>
      <c r="M228" s="199" t="n">
        <v>2025</v>
      </c>
    </row>
    <row r="229" ht="15" customHeight="1" s="104">
      <c r="A229" s="194" t="n">
        <v>45930</v>
      </c>
      <c r="B229" s="195" t="inlineStr">
        <is>
          <t>Amazon CA</t>
        </is>
      </c>
      <c r="D229" s="195" t="inlineStr">
        <is>
          <t>Refund cost</t>
        </is>
      </c>
      <c r="E229" s="196" t="n">
        <v>-1283.12</v>
      </c>
      <c r="F229" s="204" t="n">
        <v>-0.1305607789</v>
      </c>
      <c r="H229" s="196" t="n">
        <v>-1283.12</v>
      </c>
      <c r="J229" s="200" t="inlineStr">
        <is>
          <t>SEP 1- SEP 30, 2025</t>
        </is>
      </c>
      <c r="K229" s="200" t="inlineStr">
        <is>
          <t>Sep</t>
        </is>
      </c>
      <c r="L229" s="199" t="n">
        <v>2025</v>
      </c>
      <c r="M229" s="199" t="n">
        <v>2025</v>
      </c>
    </row>
    <row r="230" ht="15" customHeight="1" s="104">
      <c r="A230" s="194" t="n">
        <v>45930</v>
      </c>
      <c r="B230" s="195" t="inlineStr">
        <is>
          <t>Amazon CA</t>
        </is>
      </c>
      <c r="D230" s="195" t="inlineStr">
        <is>
          <t>Amazon fees</t>
        </is>
      </c>
      <c r="E230" s="196" t="n">
        <v>-3606.15</v>
      </c>
      <c r="F230" s="204" t="n">
        <v>-0.36693509</v>
      </c>
      <c r="H230" s="196" t="n">
        <v>-3606.15</v>
      </c>
      <c r="J230" s="200" t="inlineStr">
        <is>
          <t>SEP 1- SEP 30, 2025</t>
        </is>
      </c>
      <c r="K230" s="200" t="inlineStr">
        <is>
          <t>Sep</t>
        </is>
      </c>
      <c r="L230" s="199" t="n">
        <v>2025</v>
      </c>
      <c r="M230" s="199" t="n">
        <v>2025</v>
      </c>
    </row>
    <row r="231" ht="15" customHeight="1" s="104">
      <c r="A231" s="194" t="n">
        <v>45930</v>
      </c>
      <c r="B231" s="195" t="inlineStr">
        <is>
          <t>Amazon CA</t>
        </is>
      </c>
      <c r="D231" s="195" t="inlineStr">
        <is>
          <t>Cost of goods</t>
        </is>
      </c>
      <c r="E231" s="196" t="n">
        <v>-2605.71</v>
      </c>
      <c r="F231" s="204" t="n">
        <v>-0.2651377323</v>
      </c>
      <c r="H231" s="196" t="n">
        <v>-2605.71</v>
      </c>
      <c r="J231" s="200" t="inlineStr">
        <is>
          <t>SEP 1- SEP 30, 2025</t>
        </is>
      </c>
      <c r="K231" s="200" t="inlineStr">
        <is>
          <t>Sep</t>
        </is>
      </c>
      <c r="L231" s="199" t="n">
        <v>2025</v>
      </c>
      <c r="M231" s="199" t="n">
        <v>2025</v>
      </c>
    </row>
    <row r="232" ht="15" customHeight="1" s="104">
      <c r="A232" s="194" t="n">
        <v>45930</v>
      </c>
      <c r="B232" s="195" t="inlineStr">
        <is>
          <t>Walmart</t>
        </is>
      </c>
      <c r="D232" s="195" t="inlineStr">
        <is>
          <t>Advertising cost</t>
        </is>
      </c>
      <c r="E232" s="196" t="n">
        <v>-51.04</v>
      </c>
      <c r="F232" s="204" t="n">
        <v>-0.02404190376</v>
      </c>
      <c r="H232" s="196" t="n">
        <v>-51.04</v>
      </c>
      <c r="J232" s="200" t="inlineStr">
        <is>
          <t>SEP 1- SEP 30, 2025</t>
        </is>
      </c>
      <c r="K232" s="200" t="inlineStr">
        <is>
          <t>Sep</t>
        </is>
      </c>
      <c r="L232" s="199" t="n">
        <v>2025</v>
      </c>
      <c r="M232" s="199" t="n">
        <v>2025</v>
      </c>
    </row>
    <row r="233" ht="15" customHeight="1" s="104">
      <c r="A233" s="194" t="n">
        <v>45930</v>
      </c>
      <c r="B233" s="195" t="inlineStr">
        <is>
          <t>Walmart</t>
        </is>
      </c>
      <c r="D233" s="195" t="inlineStr">
        <is>
          <t>Shipping costs</t>
        </is>
      </c>
      <c r="E233" s="196" t="n">
        <v>-239.78</v>
      </c>
      <c r="F233" s="204" t="n">
        <v>-0.1129460753</v>
      </c>
      <c r="H233" s="196" t="n">
        <v>-239.78</v>
      </c>
      <c r="J233" s="200" t="inlineStr">
        <is>
          <t>SEP 1- SEP 30, 2025</t>
        </is>
      </c>
      <c r="K233" s="200" t="inlineStr">
        <is>
          <t>Sep</t>
        </is>
      </c>
      <c r="L233" s="199" t="n">
        <v>2025</v>
      </c>
      <c r="M233" s="199" t="n">
        <v>2025</v>
      </c>
    </row>
    <row r="234" ht="15" customHeight="1" s="104">
      <c r="A234" s="194" t="n">
        <v>45930</v>
      </c>
      <c r="B234" s="195" t="inlineStr">
        <is>
          <t>Walmart</t>
        </is>
      </c>
      <c r="D234" s="195" t="inlineStr">
        <is>
          <t>Fees</t>
        </is>
      </c>
      <c r="E234" s="196" t="n">
        <v>-340.12</v>
      </c>
      <c r="F234" s="204" t="n">
        <v>-0.1602102724</v>
      </c>
      <c r="H234" s="196" t="n">
        <v>-340.12</v>
      </c>
      <c r="J234" s="200" t="inlineStr">
        <is>
          <t>SEP 1- SEP 30, 2025</t>
        </is>
      </c>
      <c r="K234" s="200" t="inlineStr">
        <is>
          <t>Sep</t>
        </is>
      </c>
      <c r="L234" s="199" t="n">
        <v>2025</v>
      </c>
      <c r="M234" s="199" t="n">
        <v>2025</v>
      </c>
    </row>
    <row r="235" ht="15" customHeight="1" s="104">
      <c r="A235" s="194" t="n">
        <v>45930</v>
      </c>
      <c r="B235" s="195" t="inlineStr">
        <is>
          <t>Walmart</t>
        </is>
      </c>
      <c r="D235" s="195" t="inlineStr">
        <is>
          <t>Cost of goods</t>
        </is>
      </c>
      <c r="E235" s="196" t="n">
        <v>-638</v>
      </c>
      <c r="F235" s="204" t="n">
        <v>-0.300523797</v>
      </c>
      <c r="H235" s="196" t="n">
        <v>-638</v>
      </c>
      <c r="J235" s="200" t="inlineStr">
        <is>
          <t>SEP 1- SEP 30, 2025</t>
        </is>
      </c>
      <c r="K235" s="200" t="inlineStr">
        <is>
          <t>Sep</t>
        </is>
      </c>
      <c r="L235" s="199" t="n">
        <v>2025</v>
      </c>
      <c r="M235" s="199" t="n">
        <v>2025</v>
      </c>
    </row>
    <row r="236" ht="15" customHeight="1" s="104">
      <c r="A236" s="194" t="n">
        <v>45930</v>
      </c>
      <c r="B236" s="195" t="inlineStr">
        <is>
          <t>Tiktok</t>
        </is>
      </c>
      <c r="D236" s="195" t="inlineStr">
        <is>
          <t>Tiktok Shipping</t>
        </is>
      </c>
      <c r="E236" s="196" t="n">
        <v>-9.73</v>
      </c>
      <c r="F236" s="204" t="n">
        <v>-0.003542948695</v>
      </c>
      <c r="H236" s="196" t="n">
        <v>-9.73</v>
      </c>
      <c r="J236" s="200" t="inlineStr">
        <is>
          <t>SEP 1- SEP 30, 2025</t>
        </is>
      </c>
      <c r="K236" s="200" t="inlineStr">
        <is>
          <t>Sep</t>
        </is>
      </c>
      <c r="L236" s="199" t="n">
        <v>2025</v>
      </c>
      <c r="M236" s="199" t="n">
        <v>2025</v>
      </c>
    </row>
    <row r="237" ht="15" customHeight="1" s="104">
      <c r="A237" s="194" t="n">
        <v>45930</v>
      </c>
      <c r="B237" s="195" t="inlineStr">
        <is>
          <t>Tiktok</t>
        </is>
      </c>
      <c r="D237" s="195" t="inlineStr">
        <is>
          <t>MCF Shipping fees</t>
        </is>
      </c>
      <c r="E237" s="196" t="n">
        <v>-967.29</v>
      </c>
      <c r="F237" s="204" t="n">
        <v>-0.3522157084</v>
      </c>
      <c r="H237" s="196" t="n">
        <v>-967.29</v>
      </c>
      <c r="J237" s="200" t="inlineStr">
        <is>
          <t>SEP 1- SEP 30, 2025</t>
        </is>
      </c>
      <c r="K237" s="200" t="inlineStr">
        <is>
          <t>Sep</t>
        </is>
      </c>
      <c r="L237" s="199" t="n">
        <v>2025</v>
      </c>
      <c r="M237" s="199" t="n">
        <v>2025</v>
      </c>
    </row>
    <row r="238" ht="15" customHeight="1" s="104">
      <c r="A238" s="194" t="n">
        <v>45930</v>
      </c>
      <c r="B238" s="195" t="inlineStr">
        <is>
          <t>Tiktok</t>
        </is>
      </c>
      <c r="D238" s="195" t="inlineStr">
        <is>
          <t>Fees</t>
        </is>
      </c>
      <c r="E238" s="196" t="n">
        <v>-6.1</v>
      </c>
      <c r="F238" s="204" t="n">
        <v>-0.002221170302</v>
      </c>
      <c r="H238" s="196" t="n">
        <v>-6.1</v>
      </c>
      <c r="J238" s="200" t="inlineStr">
        <is>
          <t>SEP 1- SEP 30, 2025</t>
        </is>
      </c>
      <c r="K238" s="200" t="inlineStr">
        <is>
          <t>Sep</t>
        </is>
      </c>
      <c r="L238" s="199" t="n">
        <v>2025</v>
      </c>
      <c r="M238" s="199" t="n">
        <v>2025</v>
      </c>
    </row>
    <row r="239" ht="15" customHeight="1" s="104">
      <c r="A239" s="194" t="n">
        <v>45930</v>
      </c>
      <c r="B239" s="195" t="inlineStr">
        <is>
          <t>Tiktok</t>
        </is>
      </c>
      <c r="D239" s="195" t="inlineStr">
        <is>
          <t>Referral fee</t>
        </is>
      </c>
      <c r="E239" s="196" t="n">
        <v>-164.82</v>
      </c>
      <c r="F239" s="204" t="n">
        <v>-0.0600152933</v>
      </c>
      <c r="H239" s="196" t="n">
        <v>-164.82</v>
      </c>
      <c r="J239" s="200" t="inlineStr">
        <is>
          <t>SEP 1- SEP 30, 2025</t>
        </is>
      </c>
      <c r="K239" s="200" t="inlineStr">
        <is>
          <t>Sep</t>
        </is>
      </c>
      <c r="L239" s="199" t="n">
        <v>2025</v>
      </c>
      <c r="M239" s="199" t="n">
        <v>2025</v>
      </c>
    </row>
    <row r="240" ht="15" customHeight="1" s="104">
      <c r="A240" s="194" t="n">
        <v>45930</v>
      </c>
      <c r="B240" s="195" t="inlineStr">
        <is>
          <t>Tiktok</t>
        </is>
      </c>
      <c r="D240" s="195" t="inlineStr">
        <is>
          <t>Affiliate commission</t>
        </is>
      </c>
      <c r="E240" s="196" t="n">
        <v>-184.1</v>
      </c>
      <c r="F240" s="204" t="n">
        <v>-0.06703564796</v>
      </c>
      <c r="H240" s="196" t="n">
        <v>-184.1</v>
      </c>
      <c r="J240" s="200" t="inlineStr">
        <is>
          <t>SEP 1- SEP 30, 2025</t>
        </is>
      </c>
      <c r="K240" s="200" t="inlineStr">
        <is>
          <t>Sep</t>
        </is>
      </c>
      <c r="L240" s="199" t="n">
        <v>2025</v>
      </c>
      <c r="M240" s="199" t="n">
        <v>2025</v>
      </c>
    </row>
    <row r="241" ht="15" customHeight="1" s="104">
      <c r="A241" s="194" t="n">
        <v>45930</v>
      </c>
      <c r="B241" s="195" t="inlineStr">
        <is>
          <t>Tiktok</t>
        </is>
      </c>
      <c r="D241" s="195" t="inlineStr">
        <is>
          <t xml:space="preserve">Adjustments
</t>
        </is>
      </c>
      <c r="E241" s="196" t="n">
        <v>-2.62</v>
      </c>
      <c r="F241" s="204" t="n">
        <v>-0.000954010851</v>
      </c>
      <c r="H241" s="196" t="n">
        <v>-2.62</v>
      </c>
      <c r="J241" s="200" t="inlineStr">
        <is>
          <t>SEP 1- SEP 30, 2025</t>
        </is>
      </c>
      <c r="K241" s="200" t="inlineStr">
        <is>
          <t>Sep</t>
        </is>
      </c>
      <c r="L241" s="199" t="n">
        <v>2025</v>
      </c>
      <c r="M241" s="199" t="n">
        <v>2025</v>
      </c>
    </row>
    <row r="242" ht="15" customHeight="1" s="104">
      <c r="A242" s="194" t="n">
        <v>45930</v>
      </c>
      <c r="B242" s="195" t="inlineStr">
        <is>
          <t>Tiktok</t>
        </is>
      </c>
      <c r="D242" s="195" t="inlineStr">
        <is>
          <t>Cost of goods</t>
        </is>
      </c>
      <c r="E242" s="196" t="n">
        <v>-925.14</v>
      </c>
      <c r="F242" s="204" t="n">
        <v>-0.3368677857</v>
      </c>
      <c r="H242" s="196" t="n">
        <v>-925.14</v>
      </c>
      <c r="J242" s="200" t="inlineStr">
        <is>
          <t>SEP 1- SEP 30, 2025</t>
        </is>
      </c>
      <c r="K242" s="200" t="inlineStr">
        <is>
          <t>Sep</t>
        </is>
      </c>
      <c r="L242" s="199" t="n">
        <v>2025</v>
      </c>
      <c r="M242" s="199" t="n">
        <v>2025</v>
      </c>
    </row>
    <row r="243" ht="15" customHeight="1" s="104">
      <c r="A243" s="194" t="n">
        <v>45930</v>
      </c>
      <c r="B243" s="195" t="inlineStr">
        <is>
          <t>Tiktok</t>
        </is>
      </c>
      <c r="D243" s="195" t="inlineStr">
        <is>
          <t>Advertising cost</t>
        </is>
      </c>
      <c r="E243" s="196" t="n">
        <v>-360.57</v>
      </c>
      <c r="F243" s="204" t="n">
        <v>-0.1312930124</v>
      </c>
      <c r="H243" s="196" t="n">
        <v>-360.57</v>
      </c>
      <c r="J243" s="200" t="inlineStr">
        <is>
          <t>SEP 1- SEP 30, 2025</t>
        </is>
      </c>
      <c r="K243" s="200" t="inlineStr">
        <is>
          <t>Sep</t>
        </is>
      </c>
      <c r="L243" s="199" t="n">
        <v>2025</v>
      </c>
      <c r="M243" s="199" t="n">
        <v>2025</v>
      </c>
    </row>
    <row r="244" ht="15" customHeight="1" s="104">
      <c r="A244" s="194" t="n">
        <v>45930</v>
      </c>
      <c r="B244" s="195" t="inlineStr">
        <is>
          <t>Shopify</t>
        </is>
      </c>
      <c r="D244" s="195" t="inlineStr">
        <is>
          <t>Advertising cost</t>
        </is>
      </c>
      <c r="E244" s="196" t="n">
        <v>-6894.29</v>
      </c>
      <c r="F244" s="204" t="n">
        <v>-0.5926111529</v>
      </c>
      <c r="H244" s="196" t="n">
        <v>-6894.29</v>
      </c>
      <c r="J244" s="200" t="inlineStr">
        <is>
          <t>SEP 1- SEP 30, 2025</t>
        </is>
      </c>
      <c r="K244" s="200" t="inlineStr">
        <is>
          <t>Sep</t>
        </is>
      </c>
      <c r="L244" s="199" t="n">
        <v>2025</v>
      </c>
      <c r="M244" s="199" t="n">
        <v>2025</v>
      </c>
    </row>
    <row r="245" ht="15" customHeight="1" s="104">
      <c r="A245" s="194" t="n">
        <v>45930</v>
      </c>
      <c r="B245" s="195" t="inlineStr">
        <is>
          <t>Shopify</t>
        </is>
      </c>
      <c r="D245" s="195" t="inlineStr">
        <is>
          <t>Payment fees</t>
        </is>
      </c>
      <c r="E245" s="196" t="n">
        <v>-374.76</v>
      </c>
      <c r="F245" s="204" t="n">
        <v>-0.03221317288</v>
      </c>
      <c r="H245" s="196" t="n">
        <v>-374.76</v>
      </c>
      <c r="J245" s="200" t="inlineStr">
        <is>
          <t>SEP 1- SEP 30, 2025</t>
        </is>
      </c>
      <c r="K245" s="200" t="inlineStr">
        <is>
          <t>Sep</t>
        </is>
      </c>
      <c r="L245" s="199" t="n">
        <v>2025</v>
      </c>
      <c r="M245" s="199" t="n">
        <v>2025</v>
      </c>
    </row>
    <row r="246" ht="15" customHeight="1" s="104">
      <c r="A246" s="194" t="n">
        <v>45930</v>
      </c>
      <c r="B246" s="195" t="inlineStr">
        <is>
          <t>Shopify</t>
        </is>
      </c>
      <c r="D246" s="195" t="inlineStr">
        <is>
          <t>Cost of goods</t>
        </is>
      </c>
      <c r="E246" s="196" t="n">
        <v>-3375.91</v>
      </c>
      <c r="F246" s="204" t="n">
        <v>-0.2901824433</v>
      </c>
      <c r="H246" s="196" t="n">
        <v>-3375.91</v>
      </c>
      <c r="J246" s="200" t="inlineStr">
        <is>
          <t>SEP 1- SEP 30, 2025</t>
        </is>
      </c>
      <c r="K246" s="200" t="inlineStr">
        <is>
          <t>Sep</t>
        </is>
      </c>
      <c r="L246" s="199" t="n">
        <v>2025</v>
      </c>
      <c r="M246" s="199" t="n">
        <v>2025</v>
      </c>
    </row>
    <row r="247" ht="15" customHeight="1" s="104">
      <c r="A247" s="194" t="n">
        <v>45930</v>
      </c>
      <c r="B247" s="195" t="inlineStr">
        <is>
          <t>Shopify</t>
        </is>
      </c>
      <c r="D247" s="195" t="inlineStr">
        <is>
          <t>Tax</t>
        </is>
      </c>
      <c r="E247" s="196" t="n">
        <v>-111.81</v>
      </c>
      <c r="F247" s="204" t="n">
        <v>-0.009610830557999999</v>
      </c>
      <c r="H247" s="196" t="n">
        <v>-111.81</v>
      </c>
      <c r="J247" s="200" t="inlineStr">
        <is>
          <t>SEP 1- SEP 30, 2025</t>
        </is>
      </c>
      <c r="K247" s="200" t="inlineStr">
        <is>
          <t>Sep</t>
        </is>
      </c>
      <c r="L247" s="199" t="n">
        <v>2025</v>
      </c>
      <c r="M247" s="199" t="n">
        <v>2025</v>
      </c>
    </row>
    <row r="248" ht="15" customHeight="1" s="104">
      <c r="A248" s="194" t="n">
        <v>45930</v>
      </c>
      <c r="B248" s="195" t="inlineStr">
        <is>
          <t>Shopify</t>
        </is>
      </c>
      <c r="D248" s="195" t="inlineStr">
        <is>
          <t>MCF Shipping fees</t>
        </is>
      </c>
      <c r="E248" s="196" t="n">
        <v>-3370</v>
      </c>
      <c r="F248" s="204" t="n">
        <v>-0.2896744386</v>
      </c>
      <c r="H248" s="196" t="n">
        <v>-3370</v>
      </c>
      <c r="J248" s="200" t="inlineStr">
        <is>
          <t>SEP 1- SEP 30, 2025</t>
        </is>
      </c>
      <c r="K248" s="200" t="inlineStr">
        <is>
          <t>Sep</t>
        </is>
      </c>
      <c r="L248" s="199" t="n">
        <v>2025</v>
      </c>
      <c r="M248" s="199" t="n">
        <v>2025</v>
      </c>
    </row>
    <row r="249" ht="15" customHeight="1" s="104">
      <c r="A249" s="194" t="n">
        <v>45930</v>
      </c>
      <c r="B249" s="195" t="inlineStr">
        <is>
          <t>Shopify</t>
        </is>
      </c>
      <c r="D249" s="195" t="inlineStr">
        <is>
          <t>Shipping Cost</t>
        </is>
      </c>
      <c r="E249" s="198" t="n">
        <v>0</v>
      </c>
      <c r="F249" s="201" t="n">
        <v>0</v>
      </c>
      <c r="H249" s="198" t="n">
        <v>0</v>
      </c>
      <c r="J249" s="200" t="inlineStr">
        <is>
          <t>SEP 1- SEP 30, 2025</t>
        </is>
      </c>
      <c r="K249" s="200" t="inlineStr">
        <is>
          <t>Sep</t>
        </is>
      </c>
      <c r="L249" s="199" t="n">
        <v>2025</v>
      </c>
      <c r="M249" s="199" t="n">
        <v>2025</v>
      </c>
    </row>
    <row r="250" ht="15" customHeight="1" s="104">
      <c r="A250" s="194" t="n">
        <v>45961</v>
      </c>
      <c r="B250" s="195" t="inlineStr">
        <is>
          <t>Amazon US</t>
        </is>
      </c>
      <c r="D250" s="195" t="inlineStr">
        <is>
          <t>Promo</t>
        </is>
      </c>
      <c r="E250" s="196" t="n">
        <v>-821.24</v>
      </c>
      <c r="F250" s="204" t="n">
        <v>-0.008566124401</v>
      </c>
      <c r="H250" s="196" t="n">
        <v>-821.24</v>
      </c>
      <c r="J250" s="200" t="inlineStr">
        <is>
          <t>OCT 1 - OCT 31, 2025</t>
        </is>
      </c>
      <c r="K250" s="200" t="inlineStr">
        <is>
          <t>Oct</t>
        </is>
      </c>
      <c r="L250" s="199" t="n">
        <v>2025</v>
      </c>
      <c r="M250" s="199" t="n">
        <v>2025</v>
      </c>
    </row>
    <row r="251" ht="15" customHeight="1" s="104">
      <c r="A251" s="194" t="n">
        <v>45961</v>
      </c>
      <c r="B251" s="195" t="inlineStr">
        <is>
          <t>Amazon US</t>
        </is>
      </c>
      <c r="D251" s="195" t="inlineStr">
        <is>
          <t>Advertising cost</t>
        </is>
      </c>
      <c r="E251" s="196" t="n">
        <v>-8074.58</v>
      </c>
      <c r="F251" s="204" t="n">
        <v>-0.0842236822</v>
      </c>
      <c r="H251" s="196" t="n">
        <v>-8074.58</v>
      </c>
      <c r="J251" s="200" t="inlineStr">
        <is>
          <t>OCT 1 - OCT 31, 2025</t>
        </is>
      </c>
      <c r="K251" s="200" t="inlineStr">
        <is>
          <t>Oct</t>
        </is>
      </c>
      <c r="L251" s="199" t="n">
        <v>2025</v>
      </c>
      <c r="M251" s="199" t="n">
        <v>2025</v>
      </c>
    </row>
    <row r="252" ht="15" customHeight="1" s="104">
      <c r="A252" s="194" t="n">
        <v>45961</v>
      </c>
      <c r="B252" s="195" t="inlineStr">
        <is>
          <t>Amazon US</t>
        </is>
      </c>
      <c r="D252" s="195" t="inlineStr">
        <is>
          <t>Refund cost</t>
        </is>
      </c>
      <c r="E252" s="196" t="n">
        <v>-9184.110000000001</v>
      </c>
      <c r="F252" s="204" t="n">
        <v>-0.09579687884</v>
      </c>
      <c r="H252" s="196" t="n">
        <v>-9184.110000000001</v>
      </c>
      <c r="J252" s="200" t="inlineStr">
        <is>
          <t>OCT 1 - OCT 31, 2025</t>
        </is>
      </c>
      <c r="K252" s="200" t="inlineStr">
        <is>
          <t>Oct</t>
        </is>
      </c>
      <c r="L252" s="199" t="n">
        <v>2025</v>
      </c>
      <c r="M252" s="199" t="n">
        <v>2025</v>
      </c>
    </row>
    <row r="253" ht="15" customHeight="1" s="104">
      <c r="A253" s="194" t="n">
        <v>45961</v>
      </c>
      <c r="B253" s="195" t="inlineStr">
        <is>
          <t>Amazon US</t>
        </is>
      </c>
      <c r="D253" s="195" t="inlineStr">
        <is>
          <t>Amazon fees</t>
        </is>
      </c>
      <c r="E253" s="196" t="n">
        <v>-33923.85</v>
      </c>
      <c r="F253" s="204" t="n">
        <v>-0.3538501769</v>
      </c>
      <c r="H253" s="196" t="n">
        <v>-33923.85</v>
      </c>
      <c r="J253" s="200" t="inlineStr">
        <is>
          <t>OCT 1 - OCT 31, 2025</t>
        </is>
      </c>
      <c r="K253" s="200" t="inlineStr">
        <is>
          <t>Oct</t>
        </is>
      </c>
      <c r="L253" s="199" t="n">
        <v>2025</v>
      </c>
      <c r="M253" s="199" t="n">
        <v>2025</v>
      </c>
    </row>
    <row r="254" ht="15" customHeight="1" s="104">
      <c r="A254" s="194" t="n">
        <v>45961</v>
      </c>
      <c r="B254" s="195" t="inlineStr">
        <is>
          <t>Amazon US</t>
        </is>
      </c>
      <c r="D254" s="195" t="inlineStr">
        <is>
          <t>Cost of goods</t>
        </is>
      </c>
      <c r="E254" s="196" t="n">
        <v>-26515.58</v>
      </c>
      <c r="F254" s="204" t="n">
        <v>-0.2765765877</v>
      </c>
      <c r="H254" s="196" t="n">
        <v>-26515.58</v>
      </c>
      <c r="J254" s="200" t="inlineStr">
        <is>
          <t>OCT 1 - OCT 31, 2025</t>
        </is>
      </c>
      <c r="K254" s="200" t="inlineStr">
        <is>
          <t>Oct</t>
        </is>
      </c>
      <c r="L254" s="199" t="n">
        <v>2025</v>
      </c>
      <c r="M254" s="199" t="n">
        <v>2025</v>
      </c>
    </row>
    <row r="255" ht="15" customHeight="1" s="104">
      <c r="A255" s="194" t="n">
        <v>45961</v>
      </c>
      <c r="B255" s="195" t="inlineStr">
        <is>
          <t>Amazon CA</t>
        </is>
      </c>
      <c r="D255" s="195" t="inlineStr">
        <is>
          <t>Promo</t>
        </is>
      </c>
      <c r="E255" s="198" t="n">
        <v>0</v>
      </c>
      <c r="F255" s="201" t="n">
        <v>0</v>
      </c>
      <c r="H255" s="198" t="n">
        <v>0</v>
      </c>
      <c r="J255" s="200" t="inlineStr">
        <is>
          <t>OCT 1 - OCT 31, 2025</t>
        </is>
      </c>
      <c r="K255" s="200" t="inlineStr">
        <is>
          <t>Oct</t>
        </is>
      </c>
      <c r="L255" s="199" t="n">
        <v>2025</v>
      </c>
      <c r="M255" s="199" t="n">
        <v>2025</v>
      </c>
    </row>
    <row r="256" ht="15" customHeight="1" s="104">
      <c r="A256" s="194" t="n">
        <v>45961</v>
      </c>
      <c r="B256" s="195" t="inlineStr">
        <is>
          <t>Amazon CA</t>
        </is>
      </c>
      <c r="D256" s="195" t="inlineStr">
        <is>
          <t>Advertising cost</t>
        </is>
      </c>
      <c r="E256" s="196" t="n">
        <v>-687.97</v>
      </c>
      <c r="F256" s="204" t="n">
        <v>-0.09762289243</v>
      </c>
      <c r="H256" s="196" t="n">
        <v>-687.97</v>
      </c>
      <c r="J256" s="200" t="inlineStr">
        <is>
          <t>OCT 1 - OCT 31, 2025</t>
        </is>
      </c>
      <c r="K256" s="200" t="inlineStr">
        <is>
          <t>Oct</t>
        </is>
      </c>
      <c r="L256" s="199" t="n">
        <v>2025</v>
      </c>
      <c r="M256" s="199" t="n">
        <v>2025</v>
      </c>
    </row>
    <row r="257" ht="15" customHeight="1" s="104">
      <c r="A257" s="194" t="n">
        <v>45961</v>
      </c>
      <c r="B257" s="195" t="inlineStr">
        <is>
          <t>Amazon CA</t>
        </is>
      </c>
      <c r="D257" s="195" t="inlineStr">
        <is>
          <t>Refund cost</t>
        </is>
      </c>
      <c r="E257" s="196" t="n">
        <v>-1036.17</v>
      </c>
      <c r="F257" s="204" t="n">
        <v>-0.1470324468</v>
      </c>
      <c r="H257" s="196" t="n">
        <v>-1036.17</v>
      </c>
      <c r="J257" s="200" t="inlineStr">
        <is>
          <t>OCT 1 - OCT 31, 2025</t>
        </is>
      </c>
      <c r="K257" s="200" t="inlineStr">
        <is>
          <t>Oct</t>
        </is>
      </c>
      <c r="L257" s="199" t="n">
        <v>2025</v>
      </c>
      <c r="M257" s="199" t="n">
        <v>2025</v>
      </c>
    </row>
    <row r="258" ht="15" customHeight="1" s="104">
      <c r="A258" s="194" t="n">
        <v>45961</v>
      </c>
      <c r="B258" s="195" t="inlineStr">
        <is>
          <t>Amazon CA</t>
        </is>
      </c>
      <c r="D258" s="195" t="inlineStr">
        <is>
          <t>Amazon fees</t>
        </is>
      </c>
      <c r="E258" s="196" t="n">
        <v>-2720.8</v>
      </c>
      <c r="F258" s="204" t="n">
        <v>-0.38608132</v>
      </c>
      <c r="H258" s="196" t="n">
        <v>-2720.8</v>
      </c>
      <c r="J258" s="200" t="inlineStr">
        <is>
          <t>OCT 1 - OCT 31, 2025</t>
        </is>
      </c>
      <c r="K258" s="200" t="inlineStr">
        <is>
          <t>Oct</t>
        </is>
      </c>
      <c r="L258" s="199" t="n">
        <v>2025</v>
      </c>
      <c r="M258" s="199" t="n">
        <v>2025</v>
      </c>
    </row>
    <row r="259" ht="15" customHeight="1" s="104">
      <c r="A259" s="194" t="n">
        <v>45961</v>
      </c>
      <c r="B259" s="195" t="inlineStr">
        <is>
          <t>Amazon CA</t>
        </is>
      </c>
      <c r="D259" s="195" t="inlineStr">
        <is>
          <t>Cost of goods</t>
        </is>
      </c>
      <c r="E259" s="196" t="n">
        <v>-1993.27</v>
      </c>
      <c r="F259" s="204" t="n">
        <v>-0.2828448665</v>
      </c>
      <c r="H259" s="196" t="n">
        <v>-1993.27</v>
      </c>
      <c r="J259" s="200" t="inlineStr">
        <is>
          <t>OCT 1 - OCT 31, 2025</t>
        </is>
      </c>
      <c r="K259" s="200" t="inlineStr">
        <is>
          <t>Oct</t>
        </is>
      </c>
      <c r="L259" s="199" t="n">
        <v>2025</v>
      </c>
      <c r="M259" s="199" t="n">
        <v>2025</v>
      </c>
    </row>
    <row r="260" ht="15" customHeight="1" s="104">
      <c r="A260" s="194" t="n">
        <v>45961</v>
      </c>
      <c r="B260" s="195" t="inlineStr">
        <is>
          <t>Walmart</t>
        </is>
      </c>
      <c r="D260" s="195" t="inlineStr">
        <is>
          <t>Advertising cost</t>
        </is>
      </c>
      <c r="E260" s="196" t="n">
        <v>-156.44</v>
      </c>
      <c r="F260" s="204" t="n">
        <v>-0.09210642518999999</v>
      </c>
      <c r="H260" s="196" t="n">
        <v>-156.44</v>
      </c>
      <c r="J260" s="200" t="inlineStr">
        <is>
          <t>OCT 1 - OCT 31, 2025</t>
        </is>
      </c>
      <c r="K260" s="200" t="inlineStr">
        <is>
          <t>Oct</t>
        </is>
      </c>
      <c r="L260" s="199" t="n">
        <v>2025</v>
      </c>
      <c r="M260" s="199" t="n">
        <v>2025</v>
      </c>
    </row>
    <row r="261" ht="15" customHeight="1" s="104">
      <c r="A261" s="194" t="n">
        <v>45961</v>
      </c>
      <c r="B261" s="195" t="inlineStr">
        <is>
          <t>Walmart</t>
        </is>
      </c>
      <c r="D261" s="195" t="inlineStr">
        <is>
          <t>Shipping costs</t>
        </is>
      </c>
      <c r="E261" s="196" t="n">
        <v>-256.15</v>
      </c>
      <c r="F261" s="204" t="n">
        <v>-0.1508122016</v>
      </c>
      <c r="H261" s="196" t="n">
        <v>-256.15</v>
      </c>
      <c r="J261" s="200" t="inlineStr">
        <is>
          <t>OCT 1 - OCT 31, 2025</t>
        </is>
      </c>
      <c r="K261" s="200" t="inlineStr">
        <is>
          <t>Oct</t>
        </is>
      </c>
      <c r="L261" s="199" t="n">
        <v>2025</v>
      </c>
      <c r="M261" s="199" t="n">
        <v>2025</v>
      </c>
    </row>
    <row r="262" ht="15" customHeight="1" s="104">
      <c r="A262" s="194" t="n">
        <v>45961</v>
      </c>
      <c r="B262" s="195" t="inlineStr">
        <is>
          <t>Walmart</t>
        </is>
      </c>
      <c r="D262" s="195" t="inlineStr">
        <is>
          <t>Fees</t>
        </is>
      </c>
      <c r="E262" s="196" t="n">
        <v>-293.82</v>
      </c>
      <c r="F262" s="204" t="n">
        <v>-0.172990986</v>
      </c>
      <c r="H262" s="196" t="n">
        <v>-293.82</v>
      </c>
      <c r="J262" s="200" t="inlineStr">
        <is>
          <t>OCT 1 - OCT 31, 2025</t>
        </is>
      </c>
      <c r="K262" s="200" t="inlineStr">
        <is>
          <t>Oct</t>
        </is>
      </c>
      <c r="L262" s="199" t="n">
        <v>2025</v>
      </c>
      <c r="M262" s="199" t="n">
        <v>2025</v>
      </c>
    </row>
    <row r="263" ht="15" customHeight="1" s="104">
      <c r="A263" s="194" t="n">
        <v>45961</v>
      </c>
      <c r="B263" s="195" t="inlineStr">
        <is>
          <t>Walmart</t>
        </is>
      </c>
      <c r="D263" s="195" t="inlineStr">
        <is>
          <t>Cost of goods</t>
        </is>
      </c>
      <c r="E263" s="196" t="n">
        <v>-525.52</v>
      </c>
      <c r="F263" s="204" t="n">
        <v>-0.3094078789</v>
      </c>
      <c r="H263" s="196" t="n">
        <v>-525.52</v>
      </c>
      <c r="J263" s="200" t="inlineStr">
        <is>
          <t>OCT 1 - OCT 31, 2025</t>
        </is>
      </c>
      <c r="K263" s="200" t="inlineStr">
        <is>
          <t>Oct</t>
        </is>
      </c>
      <c r="L263" s="199" t="n">
        <v>2025</v>
      </c>
      <c r="M263" s="199" t="n">
        <v>2025</v>
      </c>
    </row>
    <row r="264" ht="15" customHeight="1" s="104">
      <c r="A264" s="194" t="n">
        <v>45961</v>
      </c>
      <c r="B264" s="195" t="inlineStr">
        <is>
          <t>Tiktok</t>
        </is>
      </c>
      <c r="D264" s="195" t="inlineStr">
        <is>
          <t>Tiktok Shipping</t>
        </is>
      </c>
      <c r="E264" s="196" t="n">
        <v>-21.59</v>
      </c>
      <c r="F264" s="204" t="n">
        <v>-0.005578782539</v>
      </c>
      <c r="H264" s="196" t="n">
        <v>-21.59</v>
      </c>
      <c r="J264" s="200" t="inlineStr">
        <is>
          <t>OCT 1 - OCT 31, 2025</t>
        </is>
      </c>
      <c r="K264" s="200" t="inlineStr">
        <is>
          <t>Oct</t>
        </is>
      </c>
      <c r="L264" s="199" t="n">
        <v>2025</v>
      </c>
      <c r="M264" s="199" t="n">
        <v>2025</v>
      </c>
    </row>
    <row r="265" ht="15" customHeight="1" s="104">
      <c r="A265" s="194" t="n">
        <v>45961</v>
      </c>
      <c r="B265" s="195" t="inlineStr">
        <is>
          <t>Tiktok</t>
        </is>
      </c>
      <c r="D265" s="195" t="inlineStr">
        <is>
          <t>MCF Shipping fees</t>
        </is>
      </c>
      <c r="E265" s="196" t="n">
        <v>-1449.42</v>
      </c>
      <c r="F265" s="204" t="n">
        <v>-0.3745251963</v>
      </c>
      <c r="H265" s="196" t="n">
        <v>-1449.42</v>
      </c>
      <c r="J265" s="200" t="inlineStr">
        <is>
          <t>OCT 1 - OCT 31, 2025</t>
        </is>
      </c>
      <c r="K265" s="200" t="inlineStr">
        <is>
          <t>Oct</t>
        </is>
      </c>
      <c r="L265" s="199" t="n">
        <v>2025</v>
      </c>
      <c r="M265" s="199" t="n">
        <v>2025</v>
      </c>
    </row>
    <row r="266" ht="15" customHeight="1" s="104">
      <c r="A266" s="194" t="n">
        <v>45961</v>
      </c>
      <c r="B266" s="195" t="inlineStr">
        <is>
          <t>Tiktok</t>
        </is>
      </c>
      <c r="D266" s="195" t="inlineStr">
        <is>
          <t>Fees</t>
        </is>
      </c>
      <c r="E266" s="196" t="n">
        <v>-48.42</v>
      </c>
      <c r="F266" s="204" t="n">
        <v>-0.01251156325</v>
      </c>
      <c r="H266" s="196" t="n">
        <v>-48.42</v>
      </c>
      <c r="J266" s="200" t="inlineStr">
        <is>
          <t>OCT 1 - OCT 31, 2025</t>
        </is>
      </c>
      <c r="K266" s="200" t="inlineStr">
        <is>
          <t>Oct</t>
        </is>
      </c>
      <c r="L266" s="199" t="n">
        <v>2025</v>
      </c>
      <c r="M266" s="199" t="n">
        <v>2025</v>
      </c>
    </row>
    <row r="267" ht="15" customHeight="1" s="104">
      <c r="A267" s="194" t="n">
        <v>45961</v>
      </c>
      <c r="B267" s="195" t="inlineStr">
        <is>
          <t>Tiktok</t>
        </is>
      </c>
      <c r="D267" s="195" t="inlineStr">
        <is>
          <t>Referral fee</t>
        </is>
      </c>
      <c r="E267" s="196" t="n">
        <v>-232.26</v>
      </c>
      <c r="F267" s="204" t="n">
        <v>-0.06001519372</v>
      </c>
      <c r="H267" s="196" t="n">
        <v>-232.26</v>
      </c>
      <c r="J267" s="200" t="inlineStr">
        <is>
          <t>OCT 1 - OCT 31, 2025</t>
        </is>
      </c>
      <c r="K267" s="200" t="inlineStr">
        <is>
          <t>Oct</t>
        </is>
      </c>
      <c r="L267" s="199" t="n">
        <v>2025</v>
      </c>
      <c r="M267" s="199" t="n">
        <v>2025</v>
      </c>
    </row>
    <row r="268" ht="15" customHeight="1" s="104">
      <c r="A268" s="194" t="n">
        <v>45961</v>
      </c>
      <c r="B268" s="195" t="inlineStr">
        <is>
          <t>Tiktok</t>
        </is>
      </c>
      <c r="D268" s="195" t="inlineStr">
        <is>
          <t>Affiliate commission</t>
        </is>
      </c>
      <c r="E268" s="196" t="n">
        <v>-192.1</v>
      </c>
      <c r="F268" s="204" t="n">
        <v>-0.04963798637</v>
      </c>
      <c r="H268" s="196" t="n">
        <v>-192.1</v>
      </c>
      <c r="J268" s="200" t="inlineStr">
        <is>
          <t>OCT 1 - OCT 31, 2025</t>
        </is>
      </c>
      <c r="K268" s="200" t="inlineStr">
        <is>
          <t>Oct</t>
        </is>
      </c>
      <c r="L268" s="199" t="n">
        <v>2025</v>
      </c>
      <c r="M268" s="199" t="n">
        <v>2025</v>
      </c>
    </row>
    <row r="269" ht="15" customHeight="1" s="104">
      <c r="A269" s="194" t="n">
        <v>45961</v>
      </c>
      <c r="B269" s="195" t="inlineStr">
        <is>
          <t>Tiktok</t>
        </is>
      </c>
      <c r="D269" s="195" t="inlineStr">
        <is>
          <t xml:space="preserve">Adjustments
</t>
        </is>
      </c>
      <c r="E269" s="196" t="n">
        <v>-3.04</v>
      </c>
      <c r="F269" s="204" t="n">
        <v>-0.0007855256562</v>
      </c>
      <c r="H269" s="196" t="n">
        <v>-3.04</v>
      </c>
      <c r="J269" s="200" t="inlineStr">
        <is>
          <t>OCT 1 - OCT 31, 2025</t>
        </is>
      </c>
      <c r="K269" s="200" t="inlineStr">
        <is>
          <t>Oct</t>
        </is>
      </c>
      <c r="L269" s="199" t="n">
        <v>2025</v>
      </c>
      <c r="M269" s="199" t="n">
        <v>2025</v>
      </c>
    </row>
    <row r="270" ht="15" customHeight="1" s="104">
      <c r="A270" s="194" t="n">
        <v>45961</v>
      </c>
      <c r="B270" s="195" t="inlineStr">
        <is>
          <t>Tiktok</t>
        </is>
      </c>
      <c r="D270" s="195" t="inlineStr">
        <is>
          <t>Cost of goods</t>
        </is>
      </c>
      <c r="E270" s="196" t="n">
        <v>-1315.46</v>
      </c>
      <c r="F270" s="204" t="n">
        <v>-0.3399103881</v>
      </c>
      <c r="H270" s="196" t="n">
        <v>-1315.46</v>
      </c>
      <c r="J270" s="200" t="inlineStr">
        <is>
          <t>OCT 1 - OCT 31, 2025</t>
        </is>
      </c>
      <c r="K270" s="200" t="inlineStr">
        <is>
          <t>Oct</t>
        </is>
      </c>
      <c r="L270" s="199" t="n">
        <v>2025</v>
      </c>
      <c r="M270" s="199" t="n">
        <v>2025</v>
      </c>
    </row>
    <row r="271" ht="15" customHeight="1" s="104">
      <c r="A271" s="194" t="n">
        <v>45961</v>
      </c>
      <c r="B271" s="195" t="inlineStr">
        <is>
          <t>Tiktok</t>
        </is>
      </c>
      <c r="D271" s="195" t="inlineStr">
        <is>
          <t>Advertising cost</t>
        </is>
      </c>
      <c r="E271" s="196" t="n">
        <v>-586.48</v>
      </c>
      <c r="F271" s="204" t="n">
        <v>-0.1515444365</v>
      </c>
      <c r="H271" s="196" t="n">
        <v>-586.48</v>
      </c>
      <c r="J271" s="200" t="inlineStr">
        <is>
          <t>OCT 1 - OCT 31, 2025</t>
        </is>
      </c>
      <c r="K271" s="200" t="inlineStr">
        <is>
          <t>Oct</t>
        </is>
      </c>
      <c r="L271" s="199" t="n">
        <v>2025</v>
      </c>
      <c r="M271" s="199" t="n">
        <v>2025</v>
      </c>
    </row>
    <row r="272" ht="15" customHeight="1" s="104">
      <c r="A272" s="194" t="n">
        <v>45961</v>
      </c>
      <c r="B272" s="195" t="inlineStr">
        <is>
          <t>Shopify</t>
        </is>
      </c>
      <c r="D272" s="195" t="inlineStr">
        <is>
          <t>Advertising cost</t>
        </is>
      </c>
      <c r="E272" s="196" t="n">
        <v>-1846.8</v>
      </c>
      <c r="F272" s="204" t="n">
        <v>-0.3880883685</v>
      </c>
      <c r="H272" s="196" t="n">
        <v>-1846.8</v>
      </c>
      <c r="J272" s="200" t="inlineStr">
        <is>
          <t>OCT 1 - OCT 31, 2025</t>
        </is>
      </c>
      <c r="K272" s="200" t="inlineStr">
        <is>
          <t>Oct</t>
        </is>
      </c>
      <c r="L272" s="199" t="n">
        <v>2025</v>
      </c>
      <c r="M272" s="199" t="n">
        <v>2025</v>
      </c>
    </row>
    <row r="273" ht="15" customHeight="1" s="104">
      <c r="A273" s="194" t="n">
        <v>45961</v>
      </c>
      <c r="B273" s="195" t="inlineStr">
        <is>
          <t>Shopify</t>
        </is>
      </c>
      <c r="D273" s="195" t="inlineStr">
        <is>
          <t>Payment fees</t>
        </is>
      </c>
      <c r="E273" s="196" t="n">
        <v>-147.97</v>
      </c>
      <c r="F273" s="204" t="n">
        <v>-0.03109456134</v>
      </c>
      <c r="H273" s="196" t="n">
        <v>-147.97</v>
      </c>
      <c r="J273" s="200" t="inlineStr">
        <is>
          <t>OCT 1 - OCT 31, 2025</t>
        </is>
      </c>
      <c r="K273" s="200" t="inlineStr">
        <is>
          <t>Oct</t>
        </is>
      </c>
      <c r="L273" s="199" t="n">
        <v>2025</v>
      </c>
      <c r="M273" s="199" t="n">
        <v>2025</v>
      </c>
    </row>
    <row r="274" ht="15" customHeight="1" s="104">
      <c r="A274" s="194" t="n">
        <v>45961</v>
      </c>
      <c r="B274" s="195" t="inlineStr">
        <is>
          <t>Shopify</t>
        </is>
      </c>
      <c r="D274" s="195" t="inlineStr">
        <is>
          <t>Cost of goods</t>
        </is>
      </c>
      <c r="E274" s="196" t="n">
        <v>-1476.28</v>
      </c>
      <c r="F274" s="204" t="n">
        <v>-0.3102269312</v>
      </c>
      <c r="H274" s="196" t="n">
        <v>-1476.28</v>
      </c>
      <c r="J274" s="200" t="inlineStr">
        <is>
          <t>OCT 1 - OCT 31, 2025</t>
        </is>
      </c>
      <c r="K274" s="200" t="inlineStr">
        <is>
          <t>Oct</t>
        </is>
      </c>
      <c r="L274" s="199" t="n">
        <v>2025</v>
      </c>
      <c r="M274" s="199" t="n">
        <v>2025</v>
      </c>
    </row>
    <row r="275" ht="15" customHeight="1" s="104">
      <c r="A275" s="194" t="n">
        <v>45961</v>
      </c>
      <c r="B275" s="195" t="inlineStr">
        <is>
          <t>Shopify</t>
        </is>
      </c>
      <c r="D275" s="195" t="inlineStr">
        <is>
          <t>Tax</t>
        </is>
      </c>
      <c r="E275" s="196" t="n">
        <v>-40.09</v>
      </c>
      <c r="F275" s="204" t="n">
        <v>-0.008424552032</v>
      </c>
      <c r="H275" s="196" t="n">
        <v>-40.09</v>
      </c>
      <c r="J275" s="200" t="inlineStr">
        <is>
          <t>OCT 1 - OCT 31, 2025</t>
        </is>
      </c>
      <c r="K275" s="200" t="inlineStr">
        <is>
          <t>Oct</t>
        </is>
      </c>
      <c r="L275" s="199" t="n">
        <v>2025</v>
      </c>
      <c r="M275" s="199" t="n">
        <v>2025</v>
      </c>
    </row>
    <row r="276" ht="15" customHeight="1" s="104">
      <c r="A276" s="194" t="n">
        <v>45961</v>
      </c>
      <c r="B276" s="195" t="inlineStr">
        <is>
          <t>Shopify</t>
        </is>
      </c>
      <c r="D276" s="195" t="inlineStr">
        <is>
          <t>MCF Shipping fees</t>
        </is>
      </c>
      <c r="E276" s="196" t="n">
        <v>-1122.03</v>
      </c>
      <c r="F276" s="204" t="n">
        <v>-0.2357844878</v>
      </c>
      <c r="H276" s="196" t="n">
        <v>-1122.03</v>
      </c>
      <c r="J276" s="200" t="inlineStr">
        <is>
          <t>OCT 1 - OCT 31, 2025</t>
        </is>
      </c>
      <c r="K276" s="200" t="inlineStr">
        <is>
          <t>Oct</t>
        </is>
      </c>
      <c r="L276" s="199" t="n">
        <v>2025</v>
      </c>
      <c r="M276" s="199" t="n">
        <v>2025</v>
      </c>
    </row>
    <row r="277" ht="15" customHeight="1" s="104">
      <c r="A277" s="194" t="n">
        <v>45961</v>
      </c>
      <c r="B277" s="195" t="inlineStr">
        <is>
          <t>Shopify</t>
        </is>
      </c>
      <c r="D277" s="195" t="inlineStr">
        <is>
          <t>Shipping Cost</t>
        </is>
      </c>
      <c r="E277" s="198" t="n">
        <v>0</v>
      </c>
      <c r="F277" s="201" t="n">
        <v>0</v>
      </c>
      <c r="H277" s="198" t="n">
        <v>0</v>
      </c>
      <c r="J277" s="200" t="inlineStr">
        <is>
          <t>OCT 1 - OCT 31, 2025</t>
        </is>
      </c>
      <c r="K277" s="200" t="inlineStr">
        <is>
          <t>Oct</t>
        </is>
      </c>
      <c r="L277" s="199" t="n">
        <v>2025</v>
      </c>
      <c r="M277" s="199" t="n">
        <v>2025</v>
      </c>
    </row>
    <row r="278" ht="15" customHeight="1" s="104">
      <c r="A278" s="194" t="n">
        <v>45991</v>
      </c>
      <c r="B278" s="195" t="inlineStr">
        <is>
          <t>Tiktok</t>
        </is>
      </c>
      <c r="D278" s="195" t="inlineStr">
        <is>
          <t>Tiktok Shipping</t>
        </is>
      </c>
      <c r="E278" s="196" t="n">
        <v>-4.58</v>
      </c>
      <c r="F278" s="204" t="n">
        <v>-0.000428163031</v>
      </c>
      <c r="H278" s="196" t="n">
        <v>-4.58</v>
      </c>
      <c r="J278" s="200" t="inlineStr">
        <is>
          <t>NOV 1 - NOV 30</t>
        </is>
      </c>
      <c r="K278" s="200" t="inlineStr">
        <is>
          <t>Nov</t>
        </is>
      </c>
      <c r="L278" s="199" t="n">
        <v>2025</v>
      </c>
      <c r="M278" s="199" t="n">
        <v>2025</v>
      </c>
    </row>
    <row r="279" ht="15" customHeight="1" s="104">
      <c r="A279" s="194" t="n">
        <v>45991</v>
      </c>
      <c r="B279" s="195" t="inlineStr">
        <is>
          <t>Tiktok</t>
        </is>
      </c>
      <c r="D279" s="195" t="inlineStr">
        <is>
          <t>MCF Shipping fees</t>
        </is>
      </c>
      <c r="E279" s="196" t="n">
        <v>-3919.62</v>
      </c>
      <c r="F279" s="204" t="n">
        <v>-0.3664271571</v>
      </c>
      <c r="H279" s="196" t="n">
        <v>-3919.62</v>
      </c>
      <c r="J279" s="200" t="inlineStr">
        <is>
          <t>NOV 1 - NOV 30</t>
        </is>
      </c>
      <c r="K279" s="200" t="inlineStr">
        <is>
          <t>Nov</t>
        </is>
      </c>
      <c r="L279" s="199" t="n">
        <v>2025</v>
      </c>
      <c r="M279" s="199" t="n">
        <v>2025</v>
      </c>
    </row>
    <row r="280" ht="15" customHeight="1" s="104">
      <c r="A280" s="194" t="n">
        <v>45991</v>
      </c>
      <c r="B280" s="195" t="inlineStr">
        <is>
          <t>Tiktok</t>
        </is>
      </c>
      <c r="D280" s="195" t="inlineStr">
        <is>
          <t>Fees</t>
        </is>
      </c>
      <c r="E280" s="196" t="n">
        <v>-139.25</v>
      </c>
      <c r="F280" s="204" t="n">
        <v>-0.01301783888</v>
      </c>
      <c r="H280" s="196" t="n">
        <v>-139.25</v>
      </c>
      <c r="J280" s="200" t="inlineStr">
        <is>
          <t>NOV 1 - NOV 30</t>
        </is>
      </c>
      <c r="K280" s="200" t="inlineStr">
        <is>
          <t>Nov</t>
        </is>
      </c>
      <c r="L280" s="199" t="n">
        <v>2025</v>
      </c>
      <c r="M280" s="199" t="n">
        <v>2025</v>
      </c>
    </row>
    <row r="281" ht="15" customHeight="1" s="104">
      <c r="A281" s="194" t="n">
        <v>45991</v>
      </c>
      <c r="B281" s="195" t="inlineStr">
        <is>
          <t>Tiktok</t>
        </is>
      </c>
      <c r="D281" s="195" t="inlineStr">
        <is>
          <t>Referral fee</t>
        </is>
      </c>
      <c r="E281" s="196" t="n">
        <v>-641.74</v>
      </c>
      <c r="F281" s="204" t="n">
        <v>-0.05999330645</v>
      </c>
      <c r="H281" s="196" t="n">
        <v>-641.74</v>
      </c>
      <c r="J281" s="200" t="inlineStr">
        <is>
          <t>NOV 1 - NOV 30</t>
        </is>
      </c>
      <c r="K281" s="200" t="inlineStr">
        <is>
          <t>Nov</t>
        </is>
      </c>
      <c r="L281" s="199" t="n">
        <v>2025</v>
      </c>
      <c r="M281" s="199" t="n">
        <v>2025</v>
      </c>
    </row>
    <row r="282" ht="15" customHeight="1" s="104">
      <c r="A282" s="194" t="n">
        <v>45991</v>
      </c>
      <c r="B282" s="195" t="inlineStr">
        <is>
          <t>Tiktok</t>
        </is>
      </c>
      <c r="D282" s="195" t="inlineStr">
        <is>
          <t>Affiliate commission</t>
        </is>
      </c>
      <c r="E282" s="196" t="n">
        <v>-521.03</v>
      </c>
      <c r="F282" s="204" t="n">
        <v>-0.04870868647</v>
      </c>
      <c r="H282" s="196" t="n">
        <v>-521.03</v>
      </c>
      <c r="J282" s="200" t="inlineStr">
        <is>
          <t>NOV 1 - NOV 30</t>
        </is>
      </c>
      <c r="K282" s="200" t="inlineStr">
        <is>
          <t>Nov</t>
        </is>
      </c>
      <c r="L282" s="199" t="n">
        <v>2025</v>
      </c>
      <c r="M282" s="199" t="n">
        <v>2025</v>
      </c>
    </row>
    <row r="283" ht="15" customHeight="1" s="104">
      <c r="A283" s="194" t="n">
        <v>45991</v>
      </c>
      <c r="B283" s="195" t="inlineStr">
        <is>
          <t>Tiktok</t>
        </is>
      </c>
      <c r="D283" s="195" t="inlineStr">
        <is>
          <t xml:space="preserve">Adjustments
</t>
        </is>
      </c>
      <c r="E283" s="196" t="n">
        <v>-3</v>
      </c>
      <c r="F283" s="204" t="n">
        <v>-0.0002804561339</v>
      </c>
      <c r="H283" s="196" t="n">
        <v>-3</v>
      </c>
      <c r="J283" s="200" t="inlineStr">
        <is>
          <t>NOV 1 - NOV 30</t>
        </is>
      </c>
      <c r="K283" s="200" t="inlineStr">
        <is>
          <t>Nov</t>
        </is>
      </c>
      <c r="L283" s="199" t="n">
        <v>2025</v>
      </c>
      <c r="M283" s="199" t="n">
        <v>2025</v>
      </c>
    </row>
    <row r="284" ht="15" customHeight="1" s="104">
      <c r="A284" s="194" t="n">
        <v>45991</v>
      </c>
      <c r="B284" s="195" t="inlineStr">
        <is>
          <t>Tiktok</t>
        </is>
      </c>
      <c r="D284" s="195" t="inlineStr">
        <is>
          <t>Cost of goods</t>
        </is>
      </c>
      <c r="E284" s="196" t="n">
        <v>-3329.94</v>
      </c>
      <c r="F284" s="204" t="n">
        <v>-0.3113006995</v>
      </c>
      <c r="H284" s="196" t="n">
        <v>-3329.94</v>
      </c>
      <c r="J284" s="200" t="inlineStr">
        <is>
          <t>NOV 1 - NOV 30</t>
        </is>
      </c>
      <c r="K284" s="200" t="inlineStr">
        <is>
          <t>Nov</t>
        </is>
      </c>
      <c r="L284" s="199" t="n">
        <v>2025</v>
      </c>
      <c r="M284" s="199" t="n">
        <v>2025</v>
      </c>
    </row>
    <row r="285" ht="15" customHeight="1" s="104">
      <c r="A285" s="194" t="n">
        <v>45991</v>
      </c>
      <c r="B285" s="195" t="inlineStr">
        <is>
          <t>Tiktok</t>
        </is>
      </c>
      <c r="D285" s="195" t="inlineStr">
        <is>
          <t>Advertising cost</t>
        </is>
      </c>
      <c r="E285" s="196" t="n">
        <v>-1412.5</v>
      </c>
      <c r="F285" s="204" t="n">
        <v>-0.1320480964</v>
      </c>
      <c r="H285" s="196" t="n">
        <v>-1412.5</v>
      </c>
      <c r="J285" s="200" t="inlineStr">
        <is>
          <t>NOV 1 - NOV 30</t>
        </is>
      </c>
      <c r="K285" s="200" t="inlineStr">
        <is>
          <t>Nov</t>
        </is>
      </c>
      <c r="L285" s="199" t="n">
        <v>2025</v>
      </c>
      <c r="M285" s="199" t="n">
        <v>2025</v>
      </c>
    </row>
    <row r="286" ht="15" customHeight="1" s="104">
      <c r="A286" s="194" t="n">
        <v>45991</v>
      </c>
      <c r="B286" s="195" t="inlineStr">
        <is>
          <t>Walmart</t>
        </is>
      </c>
      <c r="D286" s="195" t="inlineStr">
        <is>
          <t>Advertising cost</t>
        </is>
      </c>
      <c r="E286" s="196" t="n">
        <v>-271.12</v>
      </c>
      <c r="F286" s="204" t="n">
        <v>-0.1350616226</v>
      </c>
      <c r="H286" s="196" t="n">
        <v>-271.12</v>
      </c>
      <c r="J286" s="200" t="inlineStr">
        <is>
          <t>NOV 1 - NOV 30</t>
        </is>
      </c>
      <c r="K286" s="200" t="inlineStr">
        <is>
          <t>Nov</t>
        </is>
      </c>
      <c r="L286" s="199" t="n">
        <v>2025</v>
      </c>
      <c r="M286" s="199" t="n">
        <v>2025</v>
      </c>
    </row>
    <row r="287" ht="15" customHeight="1" s="104">
      <c r="A287" s="194" t="n">
        <v>45991</v>
      </c>
      <c r="B287" s="195" t="inlineStr">
        <is>
          <t>Walmart</t>
        </is>
      </c>
      <c r="D287" s="195" t="inlineStr">
        <is>
          <t>Shipping costs</t>
        </is>
      </c>
      <c r="E287" s="196" t="n">
        <v>-646.73</v>
      </c>
      <c r="F287" s="204" t="n">
        <v>-0.3221761699</v>
      </c>
      <c r="H287" s="196" t="n">
        <v>-646.73</v>
      </c>
      <c r="J287" s="200" t="inlineStr">
        <is>
          <t>NOV 1 - NOV 30</t>
        </is>
      </c>
      <c r="K287" s="200" t="inlineStr">
        <is>
          <t>Nov</t>
        </is>
      </c>
      <c r="L287" s="199" t="n">
        <v>2025</v>
      </c>
      <c r="M287" s="199" t="n">
        <v>2025</v>
      </c>
    </row>
    <row r="288" ht="15" customHeight="1" s="104">
      <c r="A288" s="194" t="n">
        <v>45991</v>
      </c>
      <c r="B288" s="195" t="inlineStr">
        <is>
          <t>Walmart</t>
        </is>
      </c>
      <c r="D288" s="195" t="inlineStr">
        <is>
          <t>Fees</t>
        </is>
      </c>
      <c r="E288" s="196" t="n">
        <v>-351.32</v>
      </c>
      <c r="F288" s="204" t="n">
        <v>-0.1750141976</v>
      </c>
      <c r="H288" s="196" t="n">
        <v>-351.32</v>
      </c>
      <c r="J288" s="200" t="inlineStr">
        <is>
          <t>NOV 1 - NOV 30</t>
        </is>
      </c>
      <c r="K288" s="200" t="inlineStr">
        <is>
          <t>Nov</t>
        </is>
      </c>
      <c r="L288" s="199" t="n">
        <v>2025</v>
      </c>
      <c r="M288" s="199" t="n">
        <v>2025</v>
      </c>
    </row>
    <row r="289" ht="15" customHeight="1" s="104">
      <c r="A289" s="194" t="n">
        <v>45991</v>
      </c>
      <c r="B289" s="195" t="inlineStr">
        <is>
          <t>Walmart</t>
        </is>
      </c>
      <c r="D289" s="195" t="inlineStr">
        <is>
          <t>Cost of goods</t>
        </is>
      </c>
      <c r="E289" s="196" t="n">
        <v>-646.9</v>
      </c>
      <c r="F289" s="204" t="n">
        <v>-0.3222608574</v>
      </c>
      <c r="H289" s="196" t="n">
        <v>-646.9</v>
      </c>
      <c r="J289" s="200" t="inlineStr">
        <is>
          <t>NOV 1 - NOV 30</t>
        </is>
      </c>
      <c r="K289" s="200" t="inlineStr">
        <is>
          <t>Nov</t>
        </is>
      </c>
      <c r="L289" s="199" t="n">
        <v>2025</v>
      </c>
      <c r="M289" s="199" t="n">
        <v>2025</v>
      </c>
    </row>
    <row r="290" ht="15" customHeight="1" s="104">
      <c r="A290" s="194" t="n">
        <v>45991</v>
      </c>
      <c r="B290" s="195" t="inlineStr">
        <is>
          <t>Amazon US</t>
        </is>
      </c>
      <c r="D290" s="195" t="inlineStr">
        <is>
          <t>Promo</t>
        </is>
      </c>
      <c r="E290" s="196" t="n">
        <v>-1217.59</v>
      </c>
      <c r="F290" s="204" t="n">
        <v>-0.009322731242999999</v>
      </c>
      <c r="H290" s="196" t="n">
        <v>-1217.59</v>
      </c>
      <c r="J290" s="200" t="inlineStr">
        <is>
          <t>NOV 1- NOV 30, 2025</t>
        </is>
      </c>
      <c r="K290" s="200" t="inlineStr">
        <is>
          <t>Nov</t>
        </is>
      </c>
      <c r="L290" s="199" t="n">
        <v>2025</v>
      </c>
      <c r="M290" s="199" t="n">
        <v>2025</v>
      </c>
    </row>
    <row r="291" ht="15" customHeight="1" s="104">
      <c r="A291" s="194" t="n">
        <v>45991</v>
      </c>
      <c r="B291" s="195" t="inlineStr">
        <is>
          <t>Amazon US</t>
        </is>
      </c>
      <c r="D291" s="195" t="inlineStr">
        <is>
          <t>Advertising cost</t>
        </is>
      </c>
      <c r="E291" s="196" t="n">
        <v>-11116.41</v>
      </c>
      <c r="F291" s="204" t="n">
        <v>-0.08511510674</v>
      </c>
      <c r="H291" s="196" t="n">
        <v>-11116.41</v>
      </c>
      <c r="J291" s="200" t="inlineStr">
        <is>
          <t>NOV 1- NOV 30, 2025</t>
        </is>
      </c>
      <c r="K291" s="200" t="inlineStr">
        <is>
          <t>Nov</t>
        </is>
      </c>
      <c r="L291" s="199" t="n">
        <v>2025</v>
      </c>
      <c r="M291" s="199" t="n">
        <v>2025</v>
      </c>
    </row>
    <row r="292" ht="15" customHeight="1" s="104">
      <c r="A292" s="194" t="n">
        <v>45991</v>
      </c>
      <c r="B292" s="195" t="inlineStr">
        <is>
          <t>Amazon US</t>
        </is>
      </c>
      <c r="D292" s="195" t="inlineStr">
        <is>
          <t>Refund cost</t>
        </is>
      </c>
      <c r="E292" s="196" t="n">
        <v>-7498</v>
      </c>
      <c r="F292" s="204" t="n">
        <v>-0.0574099975</v>
      </c>
      <c r="H292" s="196" t="n">
        <v>-7498</v>
      </c>
      <c r="J292" s="200" t="inlineStr">
        <is>
          <t>NOV 1- NOV 30, 2025</t>
        </is>
      </c>
      <c r="K292" s="200" t="inlineStr">
        <is>
          <t>Nov</t>
        </is>
      </c>
      <c r="L292" s="199" t="n">
        <v>2025</v>
      </c>
      <c r="M292" s="199" t="n">
        <v>2025</v>
      </c>
    </row>
    <row r="293" ht="15" customHeight="1" s="104">
      <c r="A293" s="194" t="n">
        <v>45991</v>
      </c>
      <c r="B293" s="195" t="inlineStr">
        <is>
          <t>Amazon US</t>
        </is>
      </c>
      <c r="D293" s="195" t="inlineStr">
        <is>
          <t>Amazon fees</t>
        </is>
      </c>
      <c r="E293" s="196" t="n">
        <v>-52977.74</v>
      </c>
      <c r="F293" s="204" t="n">
        <v>-0.4056350922</v>
      </c>
      <c r="H293" s="196" t="n">
        <v>-52977.74</v>
      </c>
      <c r="J293" s="200" t="inlineStr">
        <is>
          <t>NOV 1- NOV 30, 2025</t>
        </is>
      </c>
      <c r="K293" s="200" t="inlineStr">
        <is>
          <t>Nov</t>
        </is>
      </c>
      <c r="L293" s="199" t="n">
        <v>2025</v>
      </c>
      <c r="M293" s="199" t="n">
        <v>2025</v>
      </c>
    </row>
    <row r="294" ht="15" customHeight="1" s="104">
      <c r="A294" s="194" t="n">
        <v>45991</v>
      </c>
      <c r="B294" s="195" t="inlineStr">
        <is>
          <t>Amazon US</t>
        </is>
      </c>
      <c r="D294" s="195" t="inlineStr">
        <is>
          <t>Cost of goods</t>
        </is>
      </c>
      <c r="E294" s="196" t="n">
        <v>-37875.64</v>
      </c>
      <c r="F294" s="204" t="n">
        <v>-0.2900027204</v>
      </c>
      <c r="H294" s="196" t="n">
        <v>-37875.64</v>
      </c>
      <c r="J294" s="200" t="inlineStr">
        <is>
          <t>NOV 1- NOV 30, 2025</t>
        </is>
      </c>
      <c r="K294" s="200" t="inlineStr">
        <is>
          <t>Nov</t>
        </is>
      </c>
      <c r="L294" s="199" t="n">
        <v>2025</v>
      </c>
      <c r="M294" s="199" t="n">
        <v>2025</v>
      </c>
    </row>
    <row r="295" ht="15" customHeight="1" s="104">
      <c r="A295" s="194" t="n">
        <v>45991</v>
      </c>
      <c r="B295" s="195" t="inlineStr">
        <is>
          <t>Amazon CA</t>
        </is>
      </c>
      <c r="D295" s="195" t="inlineStr">
        <is>
          <t>Promo</t>
        </is>
      </c>
      <c r="E295" s="198" t="n">
        <v>0</v>
      </c>
      <c r="F295" s="201" t="n">
        <v>0</v>
      </c>
      <c r="H295" s="198" t="n">
        <v>0</v>
      </c>
      <c r="K295" s="200" t="inlineStr">
        <is>
          <t>Nov</t>
        </is>
      </c>
      <c r="L295" s="199" t="n">
        <v>2025</v>
      </c>
      <c r="M295" s="199" t="n">
        <v>2025</v>
      </c>
    </row>
    <row r="296" ht="15" customHeight="1" s="104">
      <c r="A296" s="194" t="n">
        <v>45991</v>
      </c>
      <c r="B296" s="195" t="inlineStr">
        <is>
          <t>Amazon CA</t>
        </is>
      </c>
      <c r="D296" s="195" t="inlineStr">
        <is>
          <t>Advertising cost</t>
        </is>
      </c>
      <c r="E296" s="196" t="n">
        <v>-1064.98</v>
      </c>
      <c r="F296" s="204" t="n">
        <v>-0.06609851906</v>
      </c>
      <c r="H296" s="196" t="n">
        <v>-1064.98</v>
      </c>
      <c r="K296" s="200" t="inlineStr">
        <is>
          <t>Nov</t>
        </is>
      </c>
      <c r="L296" s="199" t="n">
        <v>2025</v>
      </c>
      <c r="M296" s="199" t="n">
        <v>2025</v>
      </c>
    </row>
    <row r="297" ht="15" customHeight="1" s="104">
      <c r="A297" s="194" t="n">
        <v>45991</v>
      </c>
      <c r="B297" s="195" t="inlineStr">
        <is>
          <t>Amazon CA</t>
        </is>
      </c>
      <c r="D297" s="195" t="inlineStr">
        <is>
          <t>Refund cost</t>
        </is>
      </c>
      <c r="E297" s="196" t="n">
        <v>-1250.59</v>
      </c>
      <c r="F297" s="204" t="n">
        <v>-0.07761849701</v>
      </c>
      <c r="H297" s="196" t="n">
        <v>-1250.59</v>
      </c>
      <c r="K297" s="200" t="inlineStr">
        <is>
          <t>Nov</t>
        </is>
      </c>
      <c r="L297" s="199" t="n">
        <v>2025</v>
      </c>
      <c r="M297" s="199" t="n">
        <v>2025</v>
      </c>
    </row>
    <row r="298" ht="15" customHeight="1" s="104">
      <c r="A298" s="194" t="n">
        <v>45991</v>
      </c>
      <c r="B298" s="195" t="inlineStr">
        <is>
          <t>Amazon CA</t>
        </is>
      </c>
      <c r="D298" s="195" t="inlineStr">
        <is>
          <t>Amazon fees</t>
        </is>
      </c>
      <c r="E298" s="196" t="n">
        <v>-6895.36</v>
      </c>
      <c r="F298" s="204" t="n">
        <v>-0.4279639846</v>
      </c>
      <c r="H298" s="196" t="n">
        <v>-6895.36</v>
      </c>
      <c r="K298" s="200" t="inlineStr">
        <is>
          <t>Nov</t>
        </is>
      </c>
      <c r="L298" s="199" t="n">
        <v>2025</v>
      </c>
      <c r="M298" s="199" t="n">
        <v>2025</v>
      </c>
    </row>
    <row r="299" ht="15" customHeight="1" s="104">
      <c r="A299" s="194" t="n">
        <v>45991</v>
      </c>
      <c r="B299" s="195" t="inlineStr">
        <is>
          <t>Amazon CA</t>
        </is>
      </c>
      <c r="D299" s="195" t="inlineStr">
        <is>
          <t>Cost of goods</t>
        </is>
      </c>
      <c r="E299" s="196" t="n">
        <v>-5089.38</v>
      </c>
      <c r="F299" s="204" t="n">
        <v>-0.3158749281</v>
      </c>
      <c r="H299" s="196" t="n">
        <v>-5089.38</v>
      </c>
      <c r="K299" s="200" t="inlineStr">
        <is>
          <t>Nov</t>
        </is>
      </c>
      <c r="L299" s="199" t="n">
        <v>2025</v>
      </c>
      <c r="M299" s="199" t="n">
        <v>2025</v>
      </c>
    </row>
    <row r="300" ht="15" customHeight="1" s="104">
      <c r="A300" s="194" t="n">
        <v>45991</v>
      </c>
      <c r="B300" s="195" t="inlineStr">
        <is>
          <t>Shopify</t>
        </is>
      </c>
      <c r="D300" s="195" t="inlineStr">
        <is>
          <t>Advertising cost</t>
        </is>
      </c>
      <c r="E300" s="196" t="n">
        <v>-208.82</v>
      </c>
      <c r="F300" s="204" t="n">
        <v>-0.1502799488</v>
      </c>
      <c r="H300" s="196" t="n">
        <v>-208.82</v>
      </c>
      <c r="K300" s="200" t="inlineStr">
        <is>
          <t>Nov</t>
        </is>
      </c>
      <c r="L300" s="199" t="n">
        <v>2025</v>
      </c>
      <c r="M300" s="199" t="n">
        <v>2025</v>
      </c>
    </row>
    <row r="301" ht="15" customHeight="1" s="104">
      <c r="A301" s="194" t="n">
        <v>45991</v>
      </c>
      <c r="B301" s="195" t="inlineStr">
        <is>
          <t>Shopify</t>
        </is>
      </c>
      <c r="D301" s="195" t="inlineStr">
        <is>
          <t>Payment fees</t>
        </is>
      </c>
      <c r="E301" s="196" t="n">
        <v>-27.14</v>
      </c>
      <c r="F301" s="204" t="n">
        <v>-0.01953164357</v>
      </c>
      <c r="H301" s="196" t="n">
        <v>-27.14</v>
      </c>
      <c r="K301" s="200" t="inlineStr">
        <is>
          <t>Nov</t>
        </is>
      </c>
      <c r="L301" s="199" t="n">
        <v>2025</v>
      </c>
      <c r="M301" s="199" t="n">
        <v>2025</v>
      </c>
    </row>
    <row r="302" ht="15" customHeight="1" s="104">
      <c r="A302" s="194" t="n">
        <v>45991</v>
      </c>
      <c r="B302" s="195" t="inlineStr">
        <is>
          <t>Shopify</t>
        </is>
      </c>
      <c r="D302" s="195" t="inlineStr">
        <is>
          <t>Cost of goods</t>
        </is>
      </c>
      <c r="E302" s="196" t="n">
        <v>-345.88</v>
      </c>
      <c r="F302" s="204" t="n">
        <v>-0.2489169078</v>
      </c>
      <c r="H302" s="196" t="n">
        <v>-345.88</v>
      </c>
      <c r="K302" s="200" t="inlineStr">
        <is>
          <t>Nov</t>
        </is>
      </c>
      <c r="L302" s="199" t="n">
        <v>2025</v>
      </c>
      <c r="M302" s="199" t="n">
        <v>2025</v>
      </c>
    </row>
    <row r="303" ht="15" customHeight="1" s="104">
      <c r="A303" s="194" t="n">
        <v>45991</v>
      </c>
      <c r="B303" s="195" t="inlineStr">
        <is>
          <t>Shopify</t>
        </is>
      </c>
      <c r="D303" s="195" t="inlineStr">
        <is>
          <t>Tax</t>
        </is>
      </c>
      <c r="E303" s="196" t="n">
        <v>-12.31</v>
      </c>
      <c r="F303" s="204" t="n">
        <v>-0.008859046879</v>
      </c>
      <c r="H303" s="196" t="n">
        <v>-12.31</v>
      </c>
      <c r="K303" s="200" t="inlineStr">
        <is>
          <t>Nov</t>
        </is>
      </c>
      <c r="L303" s="199" t="n">
        <v>2025</v>
      </c>
      <c r="M303" s="199" t="n">
        <v>2025</v>
      </c>
    </row>
    <row r="304" ht="15" customHeight="1" s="104">
      <c r="A304" s="194" t="n">
        <v>45991</v>
      </c>
      <c r="B304" s="195" t="inlineStr">
        <is>
          <t>Shopify</t>
        </is>
      </c>
      <c r="D304" s="195" t="inlineStr">
        <is>
          <t>MCF Shipping fees</t>
        </is>
      </c>
      <c r="E304" s="196" t="n">
        <v>-290.16</v>
      </c>
      <c r="F304" s="204" t="n">
        <v>-0.2088173064</v>
      </c>
      <c r="H304" s="196" t="n">
        <v>-290.16</v>
      </c>
      <c r="K304" s="200" t="inlineStr">
        <is>
          <t>Nov</t>
        </is>
      </c>
      <c r="L304" s="199" t="n">
        <v>2025</v>
      </c>
      <c r="M304" s="199" t="n">
        <v>2025</v>
      </c>
    </row>
    <row r="305" ht="15" customHeight="1" s="104">
      <c r="A305" s="194" t="n">
        <v>45991</v>
      </c>
      <c r="B305" s="195" t="inlineStr">
        <is>
          <t>Shopify</t>
        </is>
      </c>
      <c r="D305" s="195" t="inlineStr">
        <is>
          <t>Shipping Cost</t>
        </is>
      </c>
      <c r="E305" s="198" t="n">
        <v>0</v>
      </c>
      <c r="F305" s="201" t="n">
        <v>0</v>
      </c>
      <c r="H305" s="198" t="n">
        <v>0</v>
      </c>
      <c r="K305" s="200" t="inlineStr">
        <is>
          <t>Nov</t>
        </is>
      </c>
      <c r="L305" s="199" t="n">
        <v>2025</v>
      </c>
      <c r="M305" s="199" t="n">
        <v>2025</v>
      </c>
    </row>
    <row r="306" ht="15" customHeight="1" s="104">
      <c r="A306" s="194" t="n">
        <v>46022</v>
      </c>
      <c r="B306" s="195" t="inlineStr">
        <is>
          <t>Amazon US</t>
        </is>
      </c>
      <c r="D306" s="195" t="inlineStr">
        <is>
          <t>Promo</t>
        </is>
      </c>
      <c r="E306" s="196" t="n">
        <v>-755.28</v>
      </c>
      <c r="F306" s="204" t="n">
        <v>-0.003385407293</v>
      </c>
      <c r="H306" s="196" t="n">
        <v>-755.28</v>
      </c>
      <c r="J306" s="200" t="inlineStr">
        <is>
          <t>DEC 1- DEC 31, 2025</t>
        </is>
      </c>
      <c r="K306" s="200" t="inlineStr">
        <is>
          <t>Dec</t>
        </is>
      </c>
      <c r="L306" s="199" t="n">
        <v>2025</v>
      </c>
      <c r="M306" s="199" t="n">
        <v>2025</v>
      </c>
    </row>
    <row r="307" ht="15" customHeight="1" s="104">
      <c r="A307" s="194" t="n">
        <v>46022</v>
      </c>
      <c r="B307" s="195" t="inlineStr">
        <is>
          <t>Amazon US</t>
        </is>
      </c>
      <c r="D307" s="195" t="inlineStr">
        <is>
          <t>Advertising cost</t>
        </is>
      </c>
      <c r="E307" s="196" t="n">
        <v>-16864.89</v>
      </c>
      <c r="F307" s="204" t="n">
        <v>-0.07559384812</v>
      </c>
      <c r="H307" s="196" t="n">
        <v>-16864.89</v>
      </c>
      <c r="J307" s="200" t="inlineStr">
        <is>
          <t>DEC 1- DEC 31, 2025</t>
        </is>
      </c>
      <c r="K307" s="200" t="inlineStr">
        <is>
          <t>Dec</t>
        </is>
      </c>
      <c r="L307" s="199" t="n">
        <v>2025</v>
      </c>
      <c r="M307" s="199" t="n">
        <v>2025</v>
      </c>
    </row>
    <row r="308" ht="15" customHeight="1" s="104">
      <c r="A308" s="194" t="n">
        <v>46022</v>
      </c>
      <c r="B308" s="195" t="inlineStr">
        <is>
          <t>Amazon US</t>
        </is>
      </c>
      <c r="D308" s="195" t="inlineStr">
        <is>
          <t>Refund cost</t>
        </is>
      </c>
      <c r="E308" s="196" t="n">
        <v>-12603.07</v>
      </c>
      <c r="F308" s="204" t="n">
        <v>-0.05649100347</v>
      </c>
      <c r="H308" s="196" t="n">
        <v>-12603.07</v>
      </c>
      <c r="J308" s="200" t="inlineStr">
        <is>
          <t>DEC 1- DEC 31, 2025</t>
        </is>
      </c>
      <c r="K308" s="200" t="inlineStr">
        <is>
          <t>Dec</t>
        </is>
      </c>
      <c r="L308" s="199" t="n">
        <v>2025</v>
      </c>
      <c r="M308" s="199" t="n">
        <v>2025</v>
      </c>
    </row>
    <row r="309" ht="15" customHeight="1" s="104">
      <c r="A309" s="194" t="n">
        <v>46022</v>
      </c>
      <c r="B309" s="195" t="inlineStr">
        <is>
          <t>Amazon US</t>
        </is>
      </c>
      <c r="D309" s="195" t="inlineStr">
        <is>
          <t>Amazon fees</t>
        </is>
      </c>
      <c r="E309" s="196" t="n">
        <v>-87015.24000000001</v>
      </c>
      <c r="F309" s="204" t="n">
        <v>-0.3900302247</v>
      </c>
      <c r="H309" s="196" t="n">
        <v>-87015.24000000001</v>
      </c>
      <c r="J309" s="200" t="inlineStr">
        <is>
          <t>DEC 1- DEC 31, 2025</t>
        </is>
      </c>
      <c r="K309" s="200" t="inlineStr">
        <is>
          <t>Dec</t>
        </is>
      </c>
      <c r="L309" s="199" t="n">
        <v>2025</v>
      </c>
      <c r="M309" s="199" t="n">
        <v>2025</v>
      </c>
    </row>
    <row r="310" ht="15" customHeight="1" s="104">
      <c r="A310" s="194" t="n">
        <v>46022</v>
      </c>
      <c r="B310" s="195" t="inlineStr">
        <is>
          <t>Amazon US</t>
        </is>
      </c>
      <c r="D310" s="195" t="inlineStr">
        <is>
          <t>Cost of goods</t>
        </is>
      </c>
      <c r="E310" s="196" t="n">
        <v>-60209.46</v>
      </c>
      <c r="F310" s="204" t="n">
        <v>-0.2698781181</v>
      </c>
      <c r="H310" s="196" t="n">
        <v>-60209.46</v>
      </c>
      <c r="J310" s="200" t="inlineStr">
        <is>
          <t>DEC 1- DEC 31, 2025</t>
        </is>
      </c>
      <c r="K310" s="200" t="inlineStr">
        <is>
          <t>Dec</t>
        </is>
      </c>
      <c r="L310" s="199" t="n">
        <v>2025</v>
      </c>
      <c r="M310" s="199" t="n">
        <v>2025</v>
      </c>
    </row>
    <row r="311" ht="15" customHeight="1" s="104">
      <c r="A311" s="194" t="n">
        <v>46022</v>
      </c>
      <c r="B311" s="195" t="inlineStr">
        <is>
          <t>Amazon CA</t>
        </is>
      </c>
      <c r="D311" s="195" t="inlineStr">
        <is>
          <t>Promo</t>
        </is>
      </c>
      <c r="E311" s="198" t="n">
        <v>0</v>
      </c>
      <c r="F311" s="201" t="n">
        <v>0</v>
      </c>
      <c r="H311" s="198" t="n">
        <v>0</v>
      </c>
      <c r="K311" s="200" t="inlineStr">
        <is>
          <t>Dec</t>
        </is>
      </c>
      <c r="L311" s="199" t="n">
        <v>2025</v>
      </c>
      <c r="M311" s="199" t="n">
        <v>2025</v>
      </c>
    </row>
    <row r="312" ht="15" customHeight="1" s="104">
      <c r="A312" s="194" t="n">
        <v>46022</v>
      </c>
      <c r="B312" s="195" t="inlineStr">
        <is>
          <t>Amazon CA</t>
        </is>
      </c>
      <c r="D312" s="195" t="inlineStr">
        <is>
          <t>Advertising cost</t>
        </is>
      </c>
      <c r="E312" s="196" t="n">
        <v>-1380.82</v>
      </c>
      <c r="F312" s="204" t="n">
        <v>-0.08952220291</v>
      </c>
      <c r="H312" s="196" t="n">
        <v>-1380.82</v>
      </c>
      <c r="K312" s="200" t="inlineStr">
        <is>
          <t>Dec</t>
        </is>
      </c>
      <c r="L312" s="199" t="n">
        <v>2025</v>
      </c>
      <c r="M312" s="199" t="n">
        <v>2025</v>
      </c>
    </row>
    <row r="313" ht="15" customHeight="1" s="104">
      <c r="A313" s="194" t="n">
        <v>46022</v>
      </c>
      <c r="B313" s="195" t="inlineStr">
        <is>
          <t>Amazon CA</t>
        </is>
      </c>
      <c r="D313" s="195" t="inlineStr">
        <is>
          <t>Refund cost</t>
        </is>
      </c>
      <c r="E313" s="196" t="n">
        <v>-2680.06</v>
      </c>
      <c r="F313" s="204" t="n">
        <v>-0.1737553592</v>
      </c>
      <c r="H313" s="196" t="n">
        <v>-2680.06</v>
      </c>
      <c r="K313" s="200" t="inlineStr">
        <is>
          <t>Dec</t>
        </is>
      </c>
      <c r="L313" s="199" t="n">
        <v>2025</v>
      </c>
      <c r="M313" s="199" t="n">
        <v>2025</v>
      </c>
    </row>
    <row r="314" ht="15" customHeight="1" s="104">
      <c r="A314" s="194" t="n">
        <v>46022</v>
      </c>
      <c r="B314" s="195" t="inlineStr">
        <is>
          <t>Amazon CA</t>
        </is>
      </c>
      <c r="D314" s="195" t="inlineStr">
        <is>
          <t>Amazon fees</t>
        </is>
      </c>
      <c r="E314" s="196" t="n">
        <v>-6953.71</v>
      </c>
      <c r="F314" s="204" t="n">
        <v>-0.4508273617</v>
      </c>
      <c r="H314" s="196" t="n">
        <v>-6953.71</v>
      </c>
      <c r="K314" s="200" t="inlineStr">
        <is>
          <t>Dec</t>
        </is>
      </c>
      <c r="L314" s="199" t="n">
        <v>2025</v>
      </c>
      <c r="M314" s="199" t="n">
        <v>2025</v>
      </c>
    </row>
    <row r="315" ht="15" customHeight="1" s="104">
      <c r="A315" s="194" t="n">
        <v>46022</v>
      </c>
      <c r="B315" s="195" t="inlineStr">
        <is>
          <t>Amazon CA</t>
        </is>
      </c>
      <c r="D315" s="195" t="inlineStr">
        <is>
          <t>Cost of goods</t>
        </is>
      </c>
      <c r="E315" s="196" t="n">
        <v>-4685.64</v>
      </c>
      <c r="F315" s="204" t="n">
        <v>-0.3037824009</v>
      </c>
      <c r="H315" s="196" t="n">
        <v>-4685.64</v>
      </c>
      <c r="K315" s="200" t="inlineStr">
        <is>
          <t>Dec</t>
        </is>
      </c>
      <c r="L315" s="199" t="n">
        <v>2025</v>
      </c>
      <c r="M315" s="199" t="n">
        <v>2025</v>
      </c>
    </row>
    <row r="316" ht="15" customHeight="1" s="104">
      <c r="A316" s="194" t="n">
        <v>46022</v>
      </c>
      <c r="B316" s="195" t="inlineStr">
        <is>
          <t>Tiktok</t>
        </is>
      </c>
      <c r="D316" s="195" t="inlineStr">
        <is>
          <t>Tiktok Shipping</t>
        </is>
      </c>
      <c r="E316" s="196" t="n">
        <v>-70.2</v>
      </c>
      <c r="F316" s="204" t="n">
        <v>-0.0072723807</v>
      </c>
      <c r="H316" s="196" t="n">
        <v>-70.2</v>
      </c>
      <c r="J316" s="200" t="inlineStr">
        <is>
          <t>DEC 1- DEC 31</t>
        </is>
      </c>
      <c r="K316" s="200" t="inlineStr">
        <is>
          <t>Dec</t>
        </is>
      </c>
      <c r="L316" s="199" t="n">
        <v>2025</v>
      </c>
      <c r="M316" s="199" t="n">
        <v>2025</v>
      </c>
    </row>
    <row r="317" ht="15" customHeight="1" s="104">
      <c r="A317" s="194" t="n">
        <v>46022</v>
      </c>
      <c r="B317" s="195" t="inlineStr">
        <is>
          <t>Tiktok</t>
        </is>
      </c>
      <c r="D317" s="195" t="inlineStr">
        <is>
          <t>MCF Shipping fees</t>
        </is>
      </c>
      <c r="E317" s="196" t="n">
        <v>-3869.84</v>
      </c>
      <c r="F317" s="204" t="n">
        <v>-0.4008967198</v>
      </c>
      <c r="H317" s="196" t="n">
        <v>-3869.84</v>
      </c>
      <c r="J317" s="200" t="inlineStr">
        <is>
          <t>DEC 1- DEC 31</t>
        </is>
      </c>
      <c r="K317" s="200" t="inlineStr">
        <is>
          <t>Dec</t>
        </is>
      </c>
      <c r="L317" s="199" t="n">
        <v>2025</v>
      </c>
      <c r="M317" s="199" t="n">
        <v>2025</v>
      </c>
    </row>
    <row r="318" ht="15" customHeight="1" s="104">
      <c r="A318" s="194" t="n">
        <v>46022</v>
      </c>
      <c r="B318" s="195" t="inlineStr">
        <is>
          <t>Tiktok</t>
        </is>
      </c>
      <c r="D318" s="195" t="inlineStr">
        <is>
          <t>Fees</t>
        </is>
      </c>
      <c r="E318" s="196" t="n">
        <v>-119.1</v>
      </c>
      <c r="F318" s="204" t="n">
        <v>-0.01233818435</v>
      </c>
      <c r="H318" s="196" t="n">
        <v>-119.1</v>
      </c>
      <c r="J318" s="200" t="inlineStr">
        <is>
          <t>DEC 1- DEC 31</t>
        </is>
      </c>
      <c r="K318" s="200" t="inlineStr">
        <is>
          <t>Dec</t>
        </is>
      </c>
      <c r="L318" s="199" t="n">
        <v>2025</v>
      </c>
      <c r="M318" s="199" t="n">
        <v>2025</v>
      </c>
    </row>
    <row r="319" ht="15" customHeight="1" s="104">
      <c r="A319" s="194" t="n">
        <v>46022</v>
      </c>
      <c r="B319" s="195" t="inlineStr">
        <is>
          <t>Tiktok</t>
        </is>
      </c>
      <c r="D319" s="195" t="inlineStr">
        <is>
          <t>Referral fee</t>
        </is>
      </c>
      <c r="E319" s="196" t="n">
        <v>-578.8099999999999</v>
      </c>
      <c r="F319" s="204" t="n">
        <v>-0.05996191842</v>
      </c>
      <c r="H319" s="196" t="n">
        <v>-578.8099999999999</v>
      </c>
      <c r="J319" s="200" t="inlineStr">
        <is>
          <t>DEC 1- DEC 31</t>
        </is>
      </c>
      <c r="K319" s="200" t="inlineStr">
        <is>
          <t>Dec</t>
        </is>
      </c>
      <c r="L319" s="199" t="n">
        <v>2025</v>
      </c>
      <c r="M319" s="199" t="n">
        <v>2025</v>
      </c>
    </row>
    <row r="320" ht="15" customHeight="1" s="104">
      <c r="A320" s="194" t="n">
        <v>46022</v>
      </c>
      <c r="B320" s="195" t="inlineStr">
        <is>
          <t>Tiktok</t>
        </is>
      </c>
      <c r="D320" s="195" t="inlineStr">
        <is>
          <t>Affiliate commission</t>
        </is>
      </c>
      <c r="E320" s="196" t="n">
        <v>-436.45</v>
      </c>
      <c r="F320" s="204" t="n">
        <v>-0.04521411049</v>
      </c>
      <c r="H320" s="196" t="n">
        <v>-436.45</v>
      </c>
      <c r="J320" s="200" t="inlineStr">
        <is>
          <t>DEC 1- DEC 31</t>
        </is>
      </c>
      <c r="K320" s="200" t="inlineStr">
        <is>
          <t>Dec</t>
        </is>
      </c>
      <c r="L320" s="199" t="n">
        <v>2025</v>
      </c>
      <c r="M320" s="199" t="n">
        <v>2025</v>
      </c>
    </row>
    <row r="321" ht="15" customHeight="1" s="104">
      <c r="A321" s="194" t="n">
        <v>46022</v>
      </c>
      <c r="B321" s="195" t="inlineStr">
        <is>
          <t>Tiktok</t>
        </is>
      </c>
      <c r="D321" s="195" t="inlineStr">
        <is>
          <t xml:space="preserve">Adjustments
</t>
        </is>
      </c>
      <c r="E321" s="196" t="n">
        <v>-4.01</v>
      </c>
      <c r="F321" s="204" t="n">
        <v>-0.0004154166183</v>
      </c>
      <c r="H321" s="196" t="n">
        <v>-4.01</v>
      </c>
      <c r="J321" s="200" t="inlineStr">
        <is>
          <t>DEC 1- DEC 31</t>
        </is>
      </c>
      <c r="K321" s="200" t="inlineStr">
        <is>
          <t>Dec</t>
        </is>
      </c>
      <c r="L321" s="199" t="n">
        <v>2025</v>
      </c>
      <c r="M321" s="199" t="n">
        <v>2025</v>
      </c>
    </row>
    <row r="322" ht="15" customHeight="1" s="104">
      <c r="A322" s="194" t="n">
        <v>46022</v>
      </c>
      <c r="B322" s="195" t="inlineStr">
        <is>
          <t>Tiktok</t>
        </is>
      </c>
      <c r="D322" s="195" t="inlineStr">
        <is>
          <t>Cost of goods</t>
        </is>
      </c>
      <c r="E322" s="196" t="n">
        <v>-3239.22</v>
      </c>
      <c r="F322" s="204" t="n">
        <v>-0.3355675358</v>
      </c>
      <c r="H322" s="196" t="n">
        <v>-3239.22</v>
      </c>
      <c r="J322" s="200" t="inlineStr">
        <is>
          <t>DEC 1- DEC 31</t>
        </is>
      </c>
      <c r="K322" s="200" t="inlineStr">
        <is>
          <t>Dec</t>
        </is>
      </c>
      <c r="L322" s="199" t="n">
        <v>2025</v>
      </c>
      <c r="M322" s="199" t="n">
        <v>2025</v>
      </c>
    </row>
    <row r="323" ht="15" customHeight="1" s="104">
      <c r="A323" s="194" t="n">
        <v>46022</v>
      </c>
      <c r="B323" s="195" t="inlineStr">
        <is>
          <t>Tiktok</t>
        </is>
      </c>
      <c r="D323" s="195" t="inlineStr">
        <is>
          <t>Advertising cost</t>
        </is>
      </c>
      <c r="E323" s="196" t="n">
        <v>-1365.5</v>
      </c>
      <c r="F323" s="204" t="n">
        <v>-0.1414592001</v>
      </c>
      <c r="H323" s="196" t="n">
        <v>-1365.5</v>
      </c>
      <c r="J323" s="200" t="inlineStr">
        <is>
          <t>DEC 1- DEC 31</t>
        </is>
      </c>
      <c r="K323" s="200" t="inlineStr">
        <is>
          <t>Dec</t>
        </is>
      </c>
      <c r="L323" s="199" t="n">
        <v>2025</v>
      </c>
      <c r="M323" s="199" t="n">
        <v>2025</v>
      </c>
    </row>
    <row r="324" ht="15" customHeight="1" s="104">
      <c r="A324" s="194" t="n">
        <v>46022</v>
      </c>
      <c r="B324" s="195" t="inlineStr">
        <is>
          <t>Walmart</t>
        </is>
      </c>
      <c r="D324" s="195" t="inlineStr">
        <is>
          <t>Advertising cost</t>
        </is>
      </c>
      <c r="E324" s="196" t="n">
        <v>-280.95</v>
      </c>
      <c r="F324" s="204" t="n">
        <v>-0.08730279573999999</v>
      </c>
      <c r="H324" s="196" t="n">
        <v>-280.95</v>
      </c>
      <c r="J324" s="200" t="inlineStr">
        <is>
          <t>DEC 1- DEC 31</t>
        </is>
      </c>
      <c r="K324" s="200" t="inlineStr">
        <is>
          <t>Dec</t>
        </is>
      </c>
      <c r="L324" s="199" t="n">
        <v>2025</v>
      </c>
      <c r="M324" s="199" t="n">
        <v>2025</v>
      </c>
    </row>
    <row r="325" ht="15" customHeight="1" s="104">
      <c r="A325" s="194" t="n">
        <v>46022</v>
      </c>
      <c r="B325" s="195" t="inlineStr">
        <is>
          <t>Walmart</t>
        </is>
      </c>
      <c r="D325" s="195" t="inlineStr">
        <is>
          <t>Shipping costs</t>
        </is>
      </c>
      <c r="E325" s="196" t="n">
        <v>-717.98</v>
      </c>
      <c r="F325" s="204" t="n">
        <v>-0.2231061089</v>
      </c>
      <c r="H325" s="196" t="n">
        <v>-717.98</v>
      </c>
      <c r="J325" s="200" t="inlineStr">
        <is>
          <t>DEC 1- DEC 31</t>
        </is>
      </c>
      <c r="K325" s="200" t="inlineStr">
        <is>
          <t>Dec</t>
        </is>
      </c>
      <c r="L325" s="199" t="n">
        <v>2025</v>
      </c>
      <c r="M325" s="199" t="n">
        <v>2025</v>
      </c>
    </row>
    <row r="326" ht="15" customHeight="1" s="104">
      <c r="A326" s="194" t="n">
        <v>46022</v>
      </c>
      <c r="B326" s="195" t="inlineStr">
        <is>
          <t>Walmart</t>
        </is>
      </c>
      <c r="D326" s="195" t="inlineStr">
        <is>
          <t>Fees</t>
        </is>
      </c>
      <c r="E326" s="196" t="n">
        <v>-559.8200000000001</v>
      </c>
      <c r="F326" s="204" t="n">
        <v>-0.1739592494</v>
      </c>
      <c r="H326" s="196" t="n">
        <v>-559.8200000000001</v>
      </c>
      <c r="J326" s="200" t="inlineStr">
        <is>
          <t>DEC 1- DEC 31</t>
        </is>
      </c>
      <c r="K326" s="200" t="inlineStr">
        <is>
          <t>Dec</t>
        </is>
      </c>
      <c r="L326" s="199" t="n">
        <v>2025</v>
      </c>
      <c r="M326" s="199" t="n">
        <v>2025</v>
      </c>
    </row>
    <row r="327" ht="15" customHeight="1" s="104">
      <c r="A327" s="194" t="n">
        <v>46022</v>
      </c>
      <c r="B327" s="195" t="inlineStr">
        <is>
          <t>Walmart</t>
        </is>
      </c>
      <c r="D327" s="195" t="inlineStr">
        <is>
          <t>Cost of goods</t>
        </is>
      </c>
      <c r="E327" s="196" t="n">
        <v>-1089.2</v>
      </c>
      <c r="F327" s="204" t="n">
        <v>-0.3384595306</v>
      </c>
      <c r="H327" s="196" t="n">
        <v>-1089.2</v>
      </c>
      <c r="J327" s="200" t="inlineStr">
        <is>
          <t>DEC 1- DEC 31</t>
        </is>
      </c>
      <c r="K327" s="200" t="inlineStr">
        <is>
          <t>Dec</t>
        </is>
      </c>
      <c r="L327" s="199" t="n">
        <v>2025</v>
      </c>
      <c r="M327" s="199" t="n">
        <v>2025</v>
      </c>
    </row>
    <row r="328" ht="15" customHeight="1" s="104">
      <c r="A328" s="194" t="n">
        <v>46022</v>
      </c>
      <c r="B328" s="195" t="inlineStr">
        <is>
          <t>Shopify</t>
        </is>
      </c>
      <c r="D328" s="195" t="inlineStr">
        <is>
          <t>Advertising cost</t>
        </is>
      </c>
      <c r="E328" s="196" t="n">
        <v>-271.55</v>
      </c>
      <c r="F328" s="204" t="n">
        <v>-0.4050808521</v>
      </c>
      <c r="H328" s="196" t="n">
        <v>-271.55</v>
      </c>
      <c r="J328" s="200" t="inlineStr">
        <is>
          <t>DEC 1- DEC 31</t>
        </is>
      </c>
      <c r="K328" s="200" t="inlineStr">
        <is>
          <t>Dec</t>
        </is>
      </c>
      <c r="L328" s="199" t="n">
        <v>2025</v>
      </c>
      <c r="M328" s="199" t="n">
        <v>2025</v>
      </c>
    </row>
    <row r="329" ht="15" customHeight="1" s="104">
      <c r="A329" s="194" t="n">
        <v>46022</v>
      </c>
      <c r="B329" s="195" t="inlineStr">
        <is>
          <t>Shopify</t>
        </is>
      </c>
      <c r="D329" s="195" t="inlineStr">
        <is>
          <t>Payment fees</t>
        </is>
      </c>
      <c r="E329" s="196" t="n">
        <v>-18.27</v>
      </c>
      <c r="F329" s="204" t="n">
        <v>-0.02725401277</v>
      </c>
      <c r="H329" s="196" t="n">
        <v>-18.27</v>
      </c>
      <c r="J329" s="200" t="inlineStr">
        <is>
          <t>DEC 1- DEC 31</t>
        </is>
      </c>
      <c r="K329" s="200" t="inlineStr">
        <is>
          <t>Dec</t>
        </is>
      </c>
      <c r="L329" s="199" t="n">
        <v>2025</v>
      </c>
      <c r="M329" s="199" t="n">
        <v>2025</v>
      </c>
    </row>
    <row r="330" ht="15" customHeight="1" s="104">
      <c r="A330" s="194" t="n">
        <v>46022</v>
      </c>
      <c r="B330" s="195" t="inlineStr">
        <is>
          <t>Shopify</t>
        </is>
      </c>
      <c r="D330" s="195" t="inlineStr">
        <is>
          <t>Cost of goods</t>
        </is>
      </c>
      <c r="E330" s="196" t="n">
        <v>-238.3</v>
      </c>
      <c r="F330" s="204" t="n">
        <v>-0.3554806373</v>
      </c>
      <c r="H330" s="196" t="n">
        <v>-238.3</v>
      </c>
      <c r="J330" s="200" t="inlineStr">
        <is>
          <t>DEC 1- DEC 31</t>
        </is>
      </c>
      <c r="K330" s="200" t="inlineStr">
        <is>
          <t>Dec</t>
        </is>
      </c>
      <c r="L330" s="199" t="n">
        <v>2025</v>
      </c>
      <c r="M330" s="199" t="n">
        <v>2025</v>
      </c>
    </row>
    <row r="331" ht="15" customHeight="1" s="104">
      <c r="A331" s="194" t="n">
        <v>46022</v>
      </c>
      <c r="B331" s="195" t="inlineStr">
        <is>
          <t>Shopify</t>
        </is>
      </c>
      <c r="D331" s="195" t="inlineStr">
        <is>
          <t>Tax</t>
        </is>
      </c>
      <c r="E331" s="196" t="n">
        <v>-18.9</v>
      </c>
      <c r="F331" s="204" t="n">
        <v>-0.02819380631</v>
      </c>
      <c r="H331" s="196" t="n">
        <v>-18.9</v>
      </c>
      <c r="J331" s="200" t="inlineStr">
        <is>
          <t>DEC 1- DEC 31</t>
        </is>
      </c>
      <c r="K331" s="200" t="inlineStr">
        <is>
          <t>Dec</t>
        </is>
      </c>
      <c r="L331" s="199" t="n">
        <v>2025</v>
      </c>
      <c r="M331" s="199" t="n">
        <v>2025</v>
      </c>
    </row>
    <row r="332" ht="15" customHeight="1" s="104">
      <c r="A332" s="194" t="n">
        <v>46022</v>
      </c>
      <c r="B332" s="195" t="inlineStr">
        <is>
          <t>Shopify</t>
        </is>
      </c>
      <c r="D332" s="195" t="inlineStr">
        <is>
          <t>MCF Shipping fees</t>
        </is>
      </c>
      <c r="E332" s="196" t="n">
        <v>-246.68</v>
      </c>
      <c r="F332" s="204" t="n">
        <v>-0.3679813831</v>
      </c>
      <c r="H332" s="196" t="n">
        <v>-246.68</v>
      </c>
      <c r="J332" s="200" t="inlineStr">
        <is>
          <t>DEC 1- DEC 31</t>
        </is>
      </c>
      <c r="K332" s="200" t="inlineStr">
        <is>
          <t>Dec</t>
        </is>
      </c>
      <c r="L332" s="199" t="n">
        <v>2025</v>
      </c>
      <c r="M332" s="199" t="n">
        <v>2025</v>
      </c>
    </row>
    <row r="333" ht="15" customHeight="1" s="104">
      <c r="A333" s="194" t="n">
        <v>46022</v>
      </c>
      <c r="B333" s="195" t="inlineStr">
        <is>
          <t>Shopify</t>
        </is>
      </c>
      <c r="D333" s="195" t="inlineStr">
        <is>
          <t>Shipping Cost</t>
        </is>
      </c>
      <c r="E333" s="196" t="n">
        <v>-17.97</v>
      </c>
      <c r="F333" s="204" t="n">
        <v>-0.02680649203</v>
      </c>
      <c r="H333" s="196" t="n">
        <v>-17.97</v>
      </c>
      <c r="J333" s="200" t="inlineStr">
        <is>
          <t>DEC 1- DEC 31</t>
        </is>
      </c>
      <c r="K333" s="200" t="inlineStr">
        <is>
          <t>Dec</t>
        </is>
      </c>
      <c r="L333" s="199" t="n">
        <v>2025</v>
      </c>
      <c r="M333" s="199" t="n">
        <v>2025</v>
      </c>
    </row>
    <row r="334" ht="15" customHeight="1" s="104">
      <c r="A334" s="194" t="n">
        <v>46053</v>
      </c>
      <c r="B334" s="195" t="inlineStr">
        <is>
          <t>Amazon US</t>
        </is>
      </c>
      <c r="D334" s="195" t="inlineStr">
        <is>
          <t>Promo</t>
        </is>
      </c>
      <c r="E334" s="196" t="n">
        <v>-286.79</v>
      </c>
      <c r="F334" s="204" t="n">
        <v>-0.003732316914</v>
      </c>
      <c r="H334" s="196" t="n">
        <v>-286.79</v>
      </c>
      <c r="K334" s="200" t="inlineStr">
        <is>
          <t>Jan</t>
        </is>
      </c>
      <c r="L334" s="199" t="n">
        <v>2026</v>
      </c>
      <c r="M334" s="199" t="n">
        <v>2026</v>
      </c>
    </row>
    <row r="335" ht="15" customHeight="1" s="104">
      <c r="A335" s="194" t="n">
        <v>46053</v>
      </c>
      <c r="B335" s="195" t="inlineStr">
        <is>
          <t>Amazon US</t>
        </is>
      </c>
      <c r="D335" s="195" t="inlineStr">
        <is>
          <t>Advertising cost</t>
        </is>
      </c>
      <c r="E335" s="196" t="n">
        <v>-8647.43</v>
      </c>
      <c r="F335" s="204" t="n">
        <v>-0.1125386145</v>
      </c>
      <c r="H335" s="196" t="n">
        <v>-8647.43</v>
      </c>
      <c r="K335" s="200" t="inlineStr">
        <is>
          <t>Jan</t>
        </is>
      </c>
      <c r="L335" s="199" t="n">
        <v>2026</v>
      </c>
      <c r="M335" s="199" t="n">
        <v>2026</v>
      </c>
    </row>
    <row r="336" ht="15" customHeight="1" s="104">
      <c r="A336" s="194" t="n">
        <v>46053</v>
      </c>
      <c r="B336" s="195" t="inlineStr">
        <is>
          <t>Amazon US</t>
        </is>
      </c>
      <c r="D336" s="195" t="inlineStr">
        <is>
          <t>Refund cost</t>
        </is>
      </c>
      <c r="E336" s="196" t="n">
        <v>-12192.01</v>
      </c>
      <c r="F336" s="204" t="n">
        <v>-0.1586681723</v>
      </c>
      <c r="H336" s="196" t="n">
        <v>-12192.01</v>
      </c>
      <c r="K336" s="200" t="inlineStr">
        <is>
          <t>Jan</t>
        </is>
      </c>
      <c r="L336" s="199" t="n">
        <v>2026</v>
      </c>
      <c r="M336" s="199" t="n">
        <v>2026</v>
      </c>
    </row>
    <row r="337" ht="15" customHeight="1" s="104">
      <c r="A337" s="194" t="n">
        <v>46053</v>
      </c>
      <c r="B337" s="195" t="inlineStr">
        <is>
          <t>Amazon US</t>
        </is>
      </c>
      <c r="D337" s="195" t="inlineStr">
        <is>
          <t>Amazon fees</t>
        </is>
      </c>
      <c r="E337" s="196" t="n">
        <v>-33943.36</v>
      </c>
      <c r="F337" s="204" t="n">
        <v>-0.4417426571</v>
      </c>
      <c r="H337" s="196" t="n">
        <v>-33943.36</v>
      </c>
      <c r="K337" s="200" t="inlineStr">
        <is>
          <t>Jan</t>
        </is>
      </c>
      <c r="L337" s="199" t="n">
        <v>2026</v>
      </c>
      <c r="M337" s="199" t="n">
        <v>2026</v>
      </c>
    </row>
    <row r="338" ht="15" customHeight="1" s="104">
      <c r="A338" s="194" t="n">
        <v>46053</v>
      </c>
      <c r="B338" s="195" t="inlineStr">
        <is>
          <t>Amazon US</t>
        </is>
      </c>
      <c r="D338" s="195" t="inlineStr">
        <is>
          <t>Cost of goods</t>
        </is>
      </c>
      <c r="E338" s="196" t="n">
        <v>-21691.07</v>
      </c>
      <c r="F338" s="204" t="n">
        <v>-0.2822899942</v>
      </c>
      <c r="H338" s="196" t="n">
        <v>-21691.07</v>
      </c>
      <c r="K338" s="200" t="inlineStr">
        <is>
          <t>Jan</t>
        </is>
      </c>
      <c r="L338" s="199" t="n">
        <v>2026</v>
      </c>
      <c r="M338" s="199" t="n">
        <v>2026</v>
      </c>
    </row>
    <row r="339" ht="15" customHeight="1" s="104">
      <c r="A339" s="194" t="n">
        <v>46053</v>
      </c>
      <c r="B339" s="195" t="inlineStr">
        <is>
          <t>Amazon CA</t>
        </is>
      </c>
      <c r="D339" s="195" t="inlineStr">
        <is>
          <t>Promo</t>
        </is>
      </c>
      <c r="E339" s="198" t="n">
        <v>0</v>
      </c>
      <c r="F339" s="201" t="n">
        <v>0</v>
      </c>
      <c r="H339" s="198" t="n">
        <v>0</v>
      </c>
      <c r="K339" s="200" t="inlineStr">
        <is>
          <t>Jan</t>
        </is>
      </c>
      <c r="L339" s="199" t="n">
        <v>2026</v>
      </c>
      <c r="M339" s="199" t="n">
        <v>2026</v>
      </c>
    </row>
    <row r="340" ht="15" customHeight="1" s="104">
      <c r="A340" s="194" t="n">
        <v>46053</v>
      </c>
      <c r="B340" s="195" t="inlineStr">
        <is>
          <t>Amazon CA</t>
        </is>
      </c>
      <c r="D340" s="195" t="inlineStr">
        <is>
          <t>Advertising cost</t>
        </is>
      </c>
      <c r="E340" s="196" t="n">
        <v>-901</v>
      </c>
      <c r="F340" s="204" t="n">
        <v>-0.1213131441</v>
      </c>
      <c r="H340" s="196" t="n">
        <v>-901</v>
      </c>
      <c r="K340" s="200" t="inlineStr">
        <is>
          <t>Jan</t>
        </is>
      </c>
      <c r="L340" s="199" t="n">
        <v>2026</v>
      </c>
      <c r="M340" s="199" t="n">
        <v>2026</v>
      </c>
    </row>
    <row r="341" ht="15" customHeight="1" s="104">
      <c r="A341" s="194" t="n">
        <v>46053</v>
      </c>
      <c r="B341" s="195" t="inlineStr">
        <is>
          <t>Amazon CA</t>
        </is>
      </c>
      <c r="D341" s="195" t="inlineStr">
        <is>
          <t>Refund cost</t>
        </is>
      </c>
      <c r="E341" s="196" t="n">
        <v>-1079.35</v>
      </c>
      <c r="F341" s="204" t="n">
        <v>-0.1453266838</v>
      </c>
      <c r="H341" s="196" t="n">
        <v>-1079.35</v>
      </c>
      <c r="K341" s="200" t="inlineStr">
        <is>
          <t>Jan</t>
        </is>
      </c>
      <c r="L341" s="199" t="n">
        <v>2026</v>
      </c>
      <c r="M341" s="199" t="n">
        <v>2026</v>
      </c>
    </row>
    <row r="342" ht="15" customHeight="1" s="104">
      <c r="A342" s="194" t="n">
        <v>46053</v>
      </c>
      <c r="B342" s="195" t="inlineStr">
        <is>
          <t>Amazon CA</t>
        </is>
      </c>
      <c r="D342" s="195" t="inlineStr">
        <is>
          <t>Amazon fees</t>
        </is>
      </c>
      <c r="E342" s="196" t="n">
        <v>-3412.31</v>
      </c>
      <c r="F342" s="204" t="n">
        <v>-0.459442902</v>
      </c>
      <c r="H342" s="196" t="n">
        <v>-3412.31</v>
      </c>
      <c r="K342" s="200" t="inlineStr">
        <is>
          <t>Jan</t>
        </is>
      </c>
      <c r="L342" s="199" t="n">
        <v>2026</v>
      </c>
      <c r="M342" s="199" t="n">
        <v>2026</v>
      </c>
    </row>
    <row r="343" ht="15" customHeight="1" s="104">
      <c r="A343" s="194" t="n">
        <v>46053</v>
      </c>
      <c r="B343" s="195" t="inlineStr">
        <is>
          <t>Amazon CA</t>
        </is>
      </c>
      <c r="D343" s="195" t="inlineStr">
        <is>
          <t>Cost of goods</t>
        </is>
      </c>
      <c r="E343" s="196" t="n">
        <v>-2211.35</v>
      </c>
      <c r="F343" s="204" t="n">
        <v>-0.2977423099</v>
      </c>
      <c r="H343" s="196" t="n">
        <v>-2211.35</v>
      </c>
      <c r="K343" s="200" t="inlineStr">
        <is>
          <t>Jan</t>
        </is>
      </c>
      <c r="L343" s="199" t="n">
        <v>2026</v>
      </c>
      <c r="M343" s="199" t="n">
        <v>2026</v>
      </c>
    </row>
    <row r="344" ht="15" customHeight="1" s="104">
      <c r="A344" s="194" t="n">
        <v>46053</v>
      </c>
      <c r="B344" s="195" t="inlineStr">
        <is>
          <t>Shopify</t>
        </is>
      </c>
      <c r="D344" s="195" t="inlineStr">
        <is>
          <t>Advertising cost</t>
        </is>
      </c>
      <c r="E344" s="196" t="n">
        <v>-3277.24</v>
      </c>
      <c r="F344" s="204" t="n">
        <v>-0.3880640845</v>
      </c>
      <c r="H344" s="196" t="n">
        <v>-3277.24</v>
      </c>
      <c r="K344" s="200" t="inlineStr">
        <is>
          <t>Jan</t>
        </is>
      </c>
      <c r="L344" s="199" t="n">
        <v>2026</v>
      </c>
      <c r="M344" s="199" t="n">
        <v>2026</v>
      </c>
    </row>
    <row r="345" ht="15" customHeight="1" s="104">
      <c r="A345" s="194" t="n">
        <v>46053</v>
      </c>
      <c r="B345" s="195" t="inlineStr">
        <is>
          <t>Shopify</t>
        </is>
      </c>
      <c r="D345" s="195" t="inlineStr">
        <is>
          <t>Payment fees</t>
        </is>
      </c>
      <c r="E345" s="196" t="n">
        <v>-278.48</v>
      </c>
      <c r="F345" s="204" t="n">
        <v>-0.03297533481</v>
      </c>
      <c r="H345" s="196" t="n">
        <v>-278.48</v>
      </c>
      <c r="K345" s="200" t="inlineStr">
        <is>
          <t>Jan</t>
        </is>
      </c>
      <c r="L345" s="199" t="n">
        <v>2026</v>
      </c>
      <c r="M345" s="199" t="n">
        <v>2026</v>
      </c>
    </row>
    <row r="346" ht="15" customHeight="1" s="104">
      <c r="A346" s="194" t="n">
        <v>46053</v>
      </c>
      <c r="B346" s="195" t="inlineStr">
        <is>
          <t>Shopify</t>
        </is>
      </c>
      <c r="D346" s="195" t="inlineStr">
        <is>
          <t>Cost of goods</t>
        </is>
      </c>
      <c r="E346" s="196" t="n">
        <v>-2427.32</v>
      </c>
      <c r="F346" s="204" t="n">
        <v>-0.2874234763</v>
      </c>
      <c r="H346" s="196" t="n">
        <v>-2427.32</v>
      </c>
      <c r="K346" s="200" t="inlineStr">
        <is>
          <t>Jan</t>
        </is>
      </c>
      <c r="L346" s="199" t="n">
        <v>2026</v>
      </c>
      <c r="M346" s="199" t="n">
        <v>2026</v>
      </c>
    </row>
    <row r="347" ht="15" customHeight="1" s="104">
      <c r="A347" s="194" t="n">
        <v>46053</v>
      </c>
      <c r="B347" s="195" t="inlineStr">
        <is>
          <t>Shopify</t>
        </is>
      </c>
      <c r="D347" s="195" t="inlineStr">
        <is>
          <t>Tax</t>
        </is>
      </c>
      <c r="E347" s="196" t="n">
        <v>-118.26</v>
      </c>
      <c r="F347" s="204" t="n">
        <v>-0.01400338658</v>
      </c>
      <c r="H347" s="196" t="n">
        <v>-118.26</v>
      </c>
      <c r="K347" s="200" t="inlineStr">
        <is>
          <t>Jan</t>
        </is>
      </c>
      <c r="L347" s="199" t="n">
        <v>2026</v>
      </c>
      <c r="M347" s="199" t="n">
        <v>2026</v>
      </c>
    </row>
    <row r="348" ht="15" customHeight="1" s="104">
      <c r="A348" s="194" t="n">
        <v>46053</v>
      </c>
      <c r="B348" s="195" t="inlineStr">
        <is>
          <t>Shopify</t>
        </is>
      </c>
      <c r="D348" s="195" t="inlineStr">
        <is>
          <t>MCF Shipping fees</t>
        </is>
      </c>
      <c r="E348" s="196" t="n">
        <v>-1772.32</v>
      </c>
      <c r="F348" s="204" t="n">
        <v>-0.2098637079</v>
      </c>
      <c r="H348" s="196" t="n">
        <v>-1772.32</v>
      </c>
      <c r="K348" s="200" t="inlineStr">
        <is>
          <t>Jan</t>
        </is>
      </c>
      <c r="L348" s="199" t="n">
        <v>2026</v>
      </c>
      <c r="M348" s="199" t="n">
        <v>2026</v>
      </c>
    </row>
    <row r="349" ht="15" customHeight="1" s="104">
      <c r="A349" s="194" t="n">
        <v>46053</v>
      </c>
      <c r="B349" s="195" t="inlineStr">
        <is>
          <t>Shopify</t>
        </is>
      </c>
      <c r="D349" s="195" t="inlineStr">
        <is>
          <t>Shipping Cost</t>
        </is>
      </c>
      <c r="E349" s="198" t="n">
        <v>0</v>
      </c>
      <c r="F349" s="201" t="n">
        <v>0</v>
      </c>
      <c r="H349" s="198" t="n">
        <v>0</v>
      </c>
      <c r="K349" s="200" t="inlineStr">
        <is>
          <t>Jan</t>
        </is>
      </c>
      <c r="L349" s="199" t="n">
        <v>2026</v>
      </c>
      <c r="M349" s="199" t="n">
        <v>2026</v>
      </c>
    </row>
    <row r="350" ht="15" customHeight="1" s="104">
      <c r="A350" s="194" t="n">
        <v>46053</v>
      </c>
      <c r="B350" s="195" t="inlineStr">
        <is>
          <t>Tiktok</t>
        </is>
      </c>
      <c r="D350" s="195" t="inlineStr">
        <is>
          <t>Tiktok Shipping</t>
        </is>
      </c>
      <c r="E350" s="196" t="n">
        <v>-2204.36</v>
      </c>
      <c r="F350" s="204" t="n">
        <v>-0.22783753</v>
      </c>
      <c r="H350" s="196" t="n">
        <v>-2204.36</v>
      </c>
      <c r="I350" s="200" t="inlineStr">
        <is>
          <t xml:space="preserve">Label/Ship cost from Tanya </t>
        </is>
      </c>
      <c r="K350" s="200" t="inlineStr">
        <is>
          <t>Jan</t>
        </is>
      </c>
      <c r="L350" s="199" t="n">
        <v>2026</v>
      </c>
      <c r="M350" s="199" t="n">
        <v>2026</v>
      </c>
    </row>
    <row r="351" ht="15" customHeight="1" s="104">
      <c r="A351" s="194" t="n">
        <v>46053</v>
      </c>
      <c r="B351" s="195" t="inlineStr">
        <is>
          <t>Tiktok</t>
        </is>
      </c>
      <c r="D351" s="195" t="inlineStr">
        <is>
          <t>MCF Shipping fees</t>
        </is>
      </c>
      <c r="E351" s="196" t="n">
        <v>-360.09</v>
      </c>
      <c r="F351" s="204" t="n">
        <v>-0.0372180661</v>
      </c>
      <c r="H351" s="196" t="n">
        <v>-360.09</v>
      </c>
      <c r="I351" s="200" t="inlineStr">
        <is>
          <t>Amazon MCF</t>
        </is>
      </c>
      <c r="K351" s="200" t="inlineStr">
        <is>
          <t>Jan</t>
        </is>
      </c>
      <c r="L351" s="199" t="n">
        <v>2026</v>
      </c>
      <c r="M351" s="199" t="n">
        <v>2026</v>
      </c>
    </row>
    <row r="352" ht="15" customHeight="1" s="104">
      <c r="A352" s="194" t="n">
        <v>46053</v>
      </c>
      <c r="B352" s="195" t="inlineStr">
        <is>
          <t>Tiktok</t>
        </is>
      </c>
      <c r="D352" s="195" t="inlineStr">
        <is>
          <t>Fees</t>
        </is>
      </c>
      <c r="E352" s="196" t="n">
        <v>-97.54000000000001</v>
      </c>
      <c r="F352" s="204" t="n">
        <v>-0.01008150786</v>
      </c>
      <c r="H352" s="196" t="n">
        <v>-97.54000000000001</v>
      </c>
      <c r="I352" s="200" t="inlineStr">
        <is>
          <t>tiktok downloaded report Jan 1- 31</t>
        </is>
      </c>
      <c r="K352" s="200" t="inlineStr">
        <is>
          <t>Jan</t>
        </is>
      </c>
      <c r="L352" s="199" t="n">
        <v>2026</v>
      </c>
      <c r="M352" s="199" t="n">
        <v>2026</v>
      </c>
    </row>
    <row r="353" ht="15" customHeight="1" s="104">
      <c r="A353" s="194" t="n">
        <v>46053</v>
      </c>
      <c r="B353" s="195" t="inlineStr">
        <is>
          <t>Tiktok</t>
        </is>
      </c>
      <c r="D353" s="195" t="inlineStr">
        <is>
          <t>Referral fee</t>
        </is>
      </c>
      <c r="E353" s="196" t="n">
        <v>-580.74</v>
      </c>
      <c r="F353" s="204" t="n">
        <v>-0.06002393764</v>
      </c>
      <c r="H353" s="196" t="n">
        <v>-580.74</v>
      </c>
      <c r="I353" s="200" t="inlineStr">
        <is>
          <t>tiktok downloaded report Jan 1- 31</t>
        </is>
      </c>
      <c r="K353" s="200" t="inlineStr">
        <is>
          <t>Jan</t>
        </is>
      </c>
      <c r="L353" s="199" t="n">
        <v>2026</v>
      </c>
      <c r="M353" s="199" t="n">
        <v>2026</v>
      </c>
    </row>
    <row r="354" ht="15" customHeight="1" s="104">
      <c r="A354" s="194" t="n">
        <v>46053</v>
      </c>
      <c r="B354" s="195" t="inlineStr">
        <is>
          <t>Tiktok</t>
        </is>
      </c>
      <c r="D354" s="195" t="inlineStr">
        <is>
          <t>Affiliate commission</t>
        </is>
      </c>
      <c r="E354" s="196" t="n">
        <v>-414.15</v>
      </c>
      <c r="F354" s="204" t="n">
        <v>-0.04280558214</v>
      </c>
      <c r="H354" s="196" t="n">
        <v>-414.15</v>
      </c>
      <c r="I354" s="200" t="inlineStr">
        <is>
          <t>tiktok downloaded report Jan 1- 31</t>
        </is>
      </c>
      <c r="K354" s="200" t="inlineStr">
        <is>
          <t>Jan</t>
        </is>
      </c>
      <c r="L354" s="199" t="n">
        <v>2026</v>
      </c>
      <c r="M354" s="199" t="n">
        <v>2026</v>
      </c>
    </row>
    <row r="355" ht="15" customHeight="1" s="104">
      <c r="A355" s="194" t="n">
        <v>46053</v>
      </c>
      <c r="B355" s="195" t="inlineStr">
        <is>
          <t>Tiktok</t>
        </is>
      </c>
      <c r="D355" s="195" t="inlineStr">
        <is>
          <t xml:space="preserve">Adjustments
</t>
        </is>
      </c>
      <c r="E355" s="196" t="n">
        <v>-4.24</v>
      </c>
      <c r="F355" s="204" t="n">
        <v>-0.0004382365526</v>
      </c>
      <c r="H355" s="196" t="n">
        <v>-4.24</v>
      </c>
      <c r="I355" s="200" t="inlineStr">
        <is>
          <t>tiktok downloaded report Jan 1- 31</t>
        </is>
      </c>
      <c r="K355" s="200" t="inlineStr">
        <is>
          <t>Jan</t>
        </is>
      </c>
      <c r="L355" s="199" t="n">
        <v>2026</v>
      </c>
      <c r="M355" s="199" t="n">
        <v>2026</v>
      </c>
    </row>
    <row r="356" ht="15" customHeight="1" s="104">
      <c r="A356" s="194" t="n">
        <v>46053</v>
      </c>
      <c r="B356" s="195" t="inlineStr">
        <is>
          <t>Tiktok</t>
        </is>
      </c>
      <c r="D356" s="195" t="inlineStr">
        <is>
          <t>Cost of goods</t>
        </is>
      </c>
      <c r="E356" s="196" t="n">
        <v>-3425.65</v>
      </c>
      <c r="F356" s="204" t="n">
        <v>-0.354067228</v>
      </c>
      <c r="H356" s="196" t="n">
        <v>-3425.65</v>
      </c>
      <c r="I356" s="200" t="inlineStr">
        <is>
          <t>Cogs data from Seller board but manually computed</t>
        </is>
      </c>
      <c r="K356" s="200" t="inlineStr">
        <is>
          <t>Jan</t>
        </is>
      </c>
      <c r="L356" s="199" t="n">
        <v>2026</v>
      </c>
      <c r="M356" s="199" t="n">
        <v>2026</v>
      </c>
    </row>
    <row r="357" ht="15" customHeight="1" s="104">
      <c r="A357" s="194" t="n">
        <v>46053</v>
      </c>
      <c r="B357" s="195" t="inlineStr">
        <is>
          <t>Tiktok</t>
        </is>
      </c>
      <c r="D357" s="195" t="inlineStr">
        <is>
          <t>Advertising cost</t>
        </is>
      </c>
      <c r="E357" s="196" t="n">
        <v>-2027.76</v>
      </c>
      <c r="F357" s="204" t="n">
        <v>-0.2095845642</v>
      </c>
      <c r="H357" s="196" t="n">
        <v>-2027.76</v>
      </c>
      <c r="I357" s="200" t="inlineStr">
        <is>
          <t>tiktok ads report</t>
        </is>
      </c>
      <c r="K357" s="200" t="inlineStr">
        <is>
          <t>Jan</t>
        </is>
      </c>
      <c r="L357" s="199" t="n">
        <v>2026</v>
      </c>
      <c r="M357" s="199" t="n">
        <v>2026</v>
      </c>
    </row>
    <row r="358" ht="15" customHeight="1" s="104">
      <c r="A358" s="194" t="n">
        <v>46053</v>
      </c>
      <c r="B358" s="195" t="inlineStr">
        <is>
          <t>Walmart</t>
        </is>
      </c>
      <c r="D358" s="195" t="inlineStr">
        <is>
          <t>Advertising cost</t>
        </is>
      </c>
      <c r="E358" s="196" t="n">
        <v>-128.95</v>
      </c>
      <c r="F358" s="204" t="n">
        <v>-0.0430680338</v>
      </c>
      <c r="H358" s="196" t="n">
        <v>-128.95</v>
      </c>
      <c r="K358" s="200" t="inlineStr">
        <is>
          <t>Jan</t>
        </is>
      </c>
      <c r="L358" s="199" t="n">
        <v>2026</v>
      </c>
      <c r="M358" s="199" t="n">
        <v>2026</v>
      </c>
    </row>
    <row r="359" ht="15" customHeight="1" s="104">
      <c r="A359" s="194" t="n">
        <v>46053</v>
      </c>
      <c r="B359" s="195" t="inlineStr">
        <is>
          <t>Walmart</t>
        </is>
      </c>
      <c r="D359" s="195" t="inlineStr">
        <is>
          <t>Shipping costs</t>
        </is>
      </c>
      <c r="E359" s="196" t="n">
        <v>-927.29</v>
      </c>
      <c r="F359" s="204" t="n">
        <v>-0.3097057547</v>
      </c>
      <c r="H359" s="196" t="n">
        <v>-927.29</v>
      </c>
      <c r="K359" s="200" t="inlineStr">
        <is>
          <t>Jan</t>
        </is>
      </c>
      <c r="L359" s="199" t="n">
        <v>2026</v>
      </c>
      <c r="M359" s="199" t="n">
        <v>2026</v>
      </c>
    </row>
    <row r="360" ht="15" customHeight="1" s="104">
      <c r="A360" s="194" t="n">
        <v>46053</v>
      </c>
      <c r="B360" s="195" t="inlineStr">
        <is>
          <t>Walmart</t>
        </is>
      </c>
      <c r="D360" s="195" t="inlineStr">
        <is>
          <t>Fees</t>
        </is>
      </c>
      <c r="E360" s="196" t="n">
        <v>-549.75</v>
      </c>
      <c r="F360" s="204" t="n">
        <v>-0.1836111018</v>
      </c>
      <c r="H360" s="196" t="n">
        <v>-549.75</v>
      </c>
      <c r="K360" s="200" t="inlineStr">
        <is>
          <t>Jan</t>
        </is>
      </c>
      <c r="L360" s="199" t="n">
        <v>2026</v>
      </c>
      <c r="M360" s="199" t="n">
        <v>2026</v>
      </c>
    </row>
    <row r="361" ht="15" customHeight="1" s="104">
      <c r="A361" s="194" t="n">
        <v>46053</v>
      </c>
      <c r="B361" s="195" t="inlineStr">
        <is>
          <t>Walmart</t>
        </is>
      </c>
      <c r="D361" s="195" t="inlineStr">
        <is>
          <t>Cost of goods</t>
        </is>
      </c>
      <c r="E361" s="196" t="n">
        <v>-838.8200000000001</v>
      </c>
      <c r="F361" s="204" t="n">
        <v>-0.2801576434</v>
      </c>
      <c r="H361" s="196" t="n">
        <v>-838.8200000000001</v>
      </c>
      <c r="K361" s="200" t="inlineStr">
        <is>
          <t>Jan</t>
        </is>
      </c>
      <c r="L361" s="199" t="n">
        <v>2026</v>
      </c>
      <c r="M361" s="199" t="n">
        <v>2026</v>
      </c>
    </row>
    <row r="362" ht="15" customHeight="1" s="104">
      <c r="A362" s="194" t="n">
        <v>46081</v>
      </c>
      <c r="B362" s="195" t="inlineStr">
        <is>
          <t>Amazon US</t>
        </is>
      </c>
      <c r="D362" s="195" t="inlineStr">
        <is>
          <t>Promo</t>
        </is>
      </c>
      <c r="E362" s="196" t="n">
        <v>-324</v>
      </c>
      <c r="F362" s="204" t="n">
        <v>-0.003728737994</v>
      </c>
      <c r="H362" s="196" t="n">
        <v>-324</v>
      </c>
      <c r="K362" s="200" t="inlineStr">
        <is>
          <t>Feb</t>
        </is>
      </c>
      <c r="L362" s="199" t="n">
        <v>2026</v>
      </c>
      <c r="M362" s="199" t="n">
        <v>2026</v>
      </c>
    </row>
    <row r="363" ht="15" customHeight="1" s="104">
      <c r="A363" s="194" t="n">
        <v>46081</v>
      </c>
      <c r="B363" s="195" t="inlineStr">
        <is>
          <t>Amazon US</t>
        </is>
      </c>
      <c r="D363" s="195" t="inlineStr">
        <is>
          <t>Advertising cost</t>
        </is>
      </c>
      <c r="E363" s="196" t="n">
        <v>-10934.68</v>
      </c>
      <c r="F363" s="204" t="n">
        <v>-0.1258412246</v>
      </c>
      <c r="H363" s="196" t="n">
        <v>-10934.68</v>
      </c>
      <c r="K363" s="200" t="inlineStr">
        <is>
          <t>Feb</t>
        </is>
      </c>
      <c r="L363" s="199" t="n">
        <v>2026</v>
      </c>
      <c r="M363" s="199" t="n">
        <v>2026</v>
      </c>
    </row>
    <row r="364" ht="15" customHeight="1" s="104">
      <c r="A364" s="194" t="n">
        <v>46081</v>
      </c>
      <c r="B364" s="195" t="inlineStr">
        <is>
          <t>Amazon US</t>
        </is>
      </c>
      <c r="D364" s="195" t="inlineStr">
        <is>
          <t>Refund cost</t>
        </is>
      </c>
      <c r="E364" s="196" t="n">
        <v>-5877.92</v>
      </c>
      <c r="F364" s="204" t="n">
        <v>-0.06764575194</v>
      </c>
      <c r="H364" s="196" t="n">
        <v>-5877.92</v>
      </c>
      <c r="K364" s="200" t="inlineStr">
        <is>
          <t>Feb</t>
        </is>
      </c>
      <c r="L364" s="199" t="n">
        <v>2026</v>
      </c>
      <c r="M364" s="199" t="n">
        <v>2026</v>
      </c>
    </row>
    <row r="365" ht="15" customHeight="1" s="104">
      <c r="A365" s="194" t="n">
        <v>46081</v>
      </c>
      <c r="B365" s="195" t="inlineStr">
        <is>
          <t>Amazon US</t>
        </is>
      </c>
      <c r="D365" s="195" t="inlineStr">
        <is>
          <t>Amazon fees</t>
        </is>
      </c>
      <c r="E365" s="196" t="n">
        <v>-31475.29</v>
      </c>
      <c r="F365" s="204" t="n">
        <v>-0.36223182</v>
      </c>
      <c r="H365" s="196" t="n">
        <v>-31475.29</v>
      </c>
      <c r="K365" s="200" t="inlineStr">
        <is>
          <t>Feb</t>
        </is>
      </c>
      <c r="L365" s="199" t="n">
        <v>2026</v>
      </c>
      <c r="M365" s="199" t="n">
        <v>2026</v>
      </c>
    </row>
    <row r="366" ht="15" customHeight="1" s="104">
      <c r="A366" s="194" t="n">
        <v>46081</v>
      </c>
      <c r="B366" s="195" t="inlineStr">
        <is>
          <t>Amazon US</t>
        </is>
      </c>
      <c r="D366" s="195" t="inlineStr">
        <is>
          <t>Cost of goods</t>
        </is>
      </c>
      <c r="E366" s="196" t="n">
        <v>-25200.67</v>
      </c>
      <c r="F366" s="204" t="n">
        <v>-0.2900206657</v>
      </c>
      <c r="H366" s="196" t="n">
        <v>-25200.67</v>
      </c>
      <c r="K366" s="200" t="inlineStr">
        <is>
          <t>Feb</t>
        </is>
      </c>
      <c r="L366" s="199" t="n">
        <v>2026</v>
      </c>
      <c r="M366" s="199" t="n">
        <v>2026</v>
      </c>
    </row>
    <row r="367" ht="15" customHeight="1" s="104">
      <c r="A367" s="194" t="n">
        <v>46081</v>
      </c>
      <c r="B367" s="195" t="inlineStr">
        <is>
          <t>Amazon CA</t>
        </is>
      </c>
      <c r="D367" s="195" t="inlineStr">
        <is>
          <t>Promo</t>
        </is>
      </c>
      <c r="E367" s="198" t="n">
        <v>0</v>
      </c>
      <c r="F367" s="201" t="n">
        <v>0</v>
      </c>
      <c r="H367" s="198" t="n">
        <v>0</v>
      </c>
      <c r="K367" s="200" t="inlineStr">
        <is>
          <t>Feb</t>
        </is>
      </c>
      <c r="L367" s="199" t="n">
        <v>2026</v>
      </c>
      <c r="M367" s="199" t="n">
        <v>2026</v>
      </c>
    </row>
    <row r="368" ht="15" customHeight="1" s="104">
      <c r="A368" s="194" t="n">
        <v>46081</v>
      </c>
      <c r="B368" s="195" t="inlineStr">
        <is>
          <t>Amazon CA</t>
        </is>
      </c>
      <c r="D368" s="195" t="inlineStr">
        <is>
          <t>Advertising cost</t>
        </is>
      </c>
      <c r="E368" s="196" t="n">
        <v>-661.67</v>
      </c>
      <c r="F368" s="204" t="n">
        <v>-0.2128473362</v>
      </c>
      <c r="H368" s="196" t="n">
        <v>-661.67</v>
      </c>
      <c r="K368" s="200" t="inlineStr">
        <is>
          <t>Feb</t>
        </is>
      </c>
      <c r="L368" s="199" t="n">
        <v>2026</v>
      </c>
      <c r="M368" s="199" t="n">
        <v>2026</v>
      </c>
    </row>
    <row r="369" ht="15" customHeight="1" s="104">
      <c r="A369" s="194" t="n">
        <v>46081</v>
      </c>
      <c r="B369" s="195" t="inlineStr">
        <is>
          <t>Amazon CA</t>
        </is>
      </c>
      <c r="D369" s="195" t="inlineStr">
        <is>
          <t>Refund cost</t>
        </is>
      </c>
      <c r="E369" s="196" t="n">
        <v>-644.14</v>
      </c>
      <c r="F369" s="204" t="n">
        <v>-0.2072082505</v>
      </c>
      <c r="H369" s="196" t="n">
        <v>-644.14</v>
      </c>
      <c r="K369" s="200" t="inlineStr">
        <is>
          <t>Feb</t>
        </is>
      </c>
      <c r="L369" s="199" t="n">
        <v>2026</v>
      </c>
      <c r="M369" s="199" t="n">
        <v>2026</v>
      </c>
    </row>
    <row r="370" ht="15" customHeight="1" s="104">
      <c r="A370" s="194" t="n">
        <v>46081</v>
      </c>
      <c r="B370" s="195" t="inlineStr">
        <is>
          <t>Amazon CA</t>
        </is>
      </c>
      <c r="D370" s="195" t="inlineStr">
        <is>
          <t>Amazon fees</t>
        </is>
      </c>
      <c r="E370" s="196" t="n">
        <v>-1597.34</v>
      </c>
      <c r="F370" s="204" t="n">
        <v>-0.5138355433</v>
      </c>
      <c r="H370" s="196" t="n">
        <v>-1597.34</v>
      </c>
      <c r="K370" s="200" t="inlineStr">
        <is>
          <t>Feb</t>
        </is>
      </c>
      <c r="L370" s="199" t="n">
        <v>2026</v>
      </c>
      <c r="M370" s="199" t="n">
        <v>2026</v>
      </c>
    </row>
    <row r="371" ht="15" customHeight="1" s="104">
      <c r="A371" s="194" t="n">
        <v>46081</v>
      </c>
      <c r="B371" s="195" t="inlineStr">
        <is>
          <t>Amazon CA</t>
        </is>
      </c>
      <c r="D371" s="195" t="inlineStr">
        <is>
          <t>Cost of goods</t>
        </is>
      </c>
      <c r="E371" s="196" t="n">
        <v>-987.36</v>
      </c>
      <c r="F371" s="204" t="n">
        <v>-0.3176159503</v>
      </c>
      <c r="H371" s="196" t="n">
        <v>-987.36</v>
      </c>
      <c r="K371" s="200" t="inlineStr">
        <is>
          <t>Feb</t>
        </is>
      </c>
      <c r="L371" s="199" t="n">
        <v>2026</v>
      </c>
      <c r="M371" s="199" t="n">
        <v>2026</v>
      </c>
    </row>
    <row r="372" ht="15" customHeight="1" s="104">
      <c r="A372" s="194" t="n">
        <v>46081</v>
      </c>
      <c r="B372" s="195" t="inlineStr">
        <is>
          <t>Walmart</t>
        </is>
      </c>
      <c r="D372" s="195" t="inlineStr">
        <is>
          <t>Advertising cost</t>
        </is>
      </c>
      <c r="E372" s="196" t="n">
        <v>-206.97</v>
      </c>
      <c r="F372" s="204" t="n">
        <v>-0.1114263564</v>
      </c>
      <c r="H372" s="196" t="n">
        <v>-206.97</v>
      </c>
      <c r="K372" s="200" t="inlineStr">
        <is>
          <t>Feb</t>
        </is>
      </c>
      <c r="L372" s="199" t="n">
        <v>2026</v>
      </c>
      <c r="M372" s="199" t="n">
        <v>2026</v>
      </c>
    </row>
    <row r="373" ht="15" customHeight="1" s="104">
      <c r="A373" s="194" t="n">
        <v>46081</v>
      </c>
      <c r="B373" s="195" t="inlineStr">
        <is>
          <t>Walmart</t>
        </is>
      </c>
      <c r="D373" s="195" t="inlineStr">
        <is>
          <t>Shipping costs</t>
        </is>
      </c>
      <c r="E373" s="196" t="n">
        <v>-541.96</v>
      </c>
      <c r="F373" s="204" t="n">
        <v>-0.2917747892</v>
      </c>
      <c r="H373" s="196" t="n">
        <v>-541.96</v>
      </c>
      <c r="K373" s="200" t="inlineStr">
        <is>
          <t>Feb</t>
        </is>
      </c>
      <c r="L373" s="199" t="n">
        <v>2026</v>
      </c>
      <c r="M373" s="199" t="n">
        <v>2026</v>
      </c>
    </row>
    <row r="374" ht="15" customHeight="1" s="104">
      <c r="A374" s="194" t="n">
        <v>46081</v>
      </c>
      <c r="B374" s="195" t="inlineStr">
        <is>
          <t>Walmart</t>
        </is>
      </c>
      <c r="D374" s="195" t="inlineStr">
        <is>
          <t>Fees</t>
        </is>
      </c>
      <c r="E374" s="196" t="n">
        <v>-338.35</v>
      </c>
      <c r="F374" s="204" t="n">
        <v>-0.1821573547</v>
      </c>
      <c r="H374" s="196" t="n">
        <v>-338.35</v>
      </c>
      <c r="K374" s="200" t="inlineStr">
        <is>
          <t>Feb</t>
        </is>
      </c>
      <c r="L374" s="199" t="n">
        <v>2026</v>
      </c>
      <c r="M374" s="199" t="n">
        <v>2026</v>
      </c>
    </row>
    <row r="375" ht="15" customHeight="1" s="104">
      <c r="A375" s="194" t="n">
        <v>46081</v>
      </c>
      <c r="B375" s="195" t="inlineStr">
        <is>
          <t>Walmart</t>
        </is>
      </c>
      <c r="D375" s="195" t="inlineStr">
        <is>
          <t>Cost of goods</t>
        </is>
      </c>
      <c r="E375" s="196" t="n">
        <v>-565.4400000000001</v>
      </c>
      <c r="F375" s="204" t="n">
        <v>-0.3044157075</v>
      </c>
      <c r="H375" s="196" t="n">
        <v>-565.4400000000001</v>
      </c>
      <c r="K375" s="200" t="inlineStr">
        <is>
          <t>Feb</t>
        </is>
      </c>
      <c r="L375" s="199" t="n">
        <v>2026</v>
      </c>
      <c r="M375" s="199" t="n">
        <v>2026</v>
      </c>
    </row>
    <row r="376" ht="15" customHeight="1" s="104">
      <c r="A376" s="194" t="n">
        <v>46081</v>
      </c>
      <c r="B376" s="195" t="inlineStr">
        <is>
          <t>Tiktok</t>
        </is>
      </c>
      <c r="D376" s="195" t="inlineStr">
        <is>
          <t>Tiktok Shipping</t>
        </is>
      </c>
      <c r="E376" s="196" t="n">
        <v>-1462.35</v>
      </c>
      <c r="F376" s="204" t="n">
        <v>-0.2369452078</v>
      </c>
      <c r="H376" s="196" t="n">
        <v>-1462.35</v>
      </c>
      <c r="K376" s="200" t="inlineStr">
        <is>
          <t>Feb</t>
        </is>
      </c>
      <c r="L376" s="199" t="n">
        <v>2026</v>
      </c>
      <c r="M376" s="199" t="n">
        <v>2026</v>
      </c>
    </row>
    <row r="377" ht="15" customHeight="1" s="104">
      <c r="A377" s="194" t="n">
        <v>46081</v>
      </c>
      <c r="B377" s="195" t="inlineStr">
        <is>
          <t>Tiktok</t>
        </is>
      </c>
      <c r="D377" s="195" t="inlineStr">
        <is>
          <t>MCF Shipping fees</t>
        </is>
      </c>
      <c r="E377" s="196" t="n">
        <v>-86.2</v>
      </c>
      <c r="F377" s="204" t="n">
        <v>-0.01396702357</v>
      </c>
      <c r="H377" s="196" t="n">
        <v>-86.2</v>
      </c>
      <c r="K377" s="200" t="inlineStr">
        <is>
          <t>Feb</t>
        </is>
      </c>
      <c r="L377" s="199" t="n">
        <v>2026</v>
      </c>
      <c r="M377" s="199" t="n">
        <v>2026</v>
      </c>
    </row>
    <row r="378" ht="15" customHeight="1" s="104">
      <c r="A378" s="194" t="n">
        <v>46081</v>
      </c>
      <c r="B378" s="195" t="inlineStr">
        <is>
          <t>Tiktok</t>
        </is>
      </c>
      <c r="D378" s="195" t="inlineStr">
        <is>
          <t>Fees</t>
        </is>
      </c>
      <c r="E378" s="196" t="n">
        <v>-93.38</v>
      </c>
      <c r="F378" s="204" t="n">
        <v>-0.01513040209</v>
      </c>
      <c r="H378" s="196" t="n">
        <v>-93.38</v>
      </c>
      <c r="K378" s="200" t="inlineStr">
        <is>
          <t>Feb</t>
        </is>
      </c>
      <c r="L378" s="199" t="n">
        <v>2026</v>
      </c>
      <c r="M378" s="199" t="n">
        <v>2026</v>
      </c>
    </row>
    <row r="379" ht="15" customHeight="1" s="104">
      <c r="A379" s="194" t="n">
        <v>46081</v>
      </c>
      <c r="B379" s="195" t="inlineStr">
        <is>
          <t>Tiktok</t>
        </is>
      </c>
      <c r="D379" s="195" t="inlineStr">
        <is>
          <t>Referral fee</t>
        </is>
      </c>
      <c r="E379" s="196" t="n">
        <v>-370.39</v>
      </c>
      <c r="F379" s="204" t="n">
        <v>-0.06001445311</v>
      </c>
      <c r="H379" s="196" t="n">
        <v>-370.39</v>
      </c>
      <c r="K379" s="200" t="inlineStr">
        <is>
          <t>Feb</t>
        </is>
      </c>
      <c r="L379" s="199" t="n">
        <v>2026</v>
      </c>
      <c r="M379" s="199" t="n">
        <v>2026</v>
      </c>
    </row>
    <row r="380" ht="15" customHeight="1" s="104">
      <c r="A380" s="194" t="n">
        <v>46081</v>
      </c>
      <c r="B380" s="195" t="inlineStr">
        <is>
          <t>Tiktok</t>
        </is>
      </c>
      <c r="D380" s="195" t="inlineStr">
        <is>
          <t>Affiliate commission</t>
        </is>
      </c>
      <c r="E380" s="196" t="n">
        <v>-284.6</v>
      </c>
      <c r="F380" s="204" t="n">
        <v>-0.04611386203</v>
      </c>
      <c r="H380" s="202" t="inlineStr">
        <is>
          <t xml:space="preserve"> </t>
        </is>
      </c>
      <c r="K380" s="200" t="inlineStr">
        <is>
          <t>Feb</t>
        </is>
      </c>
      <c r="L380" s="199" t="n">
        <v>2026</v>
      </c>
      <c r="M380" s="199" t="n">
        <v>2026</v>
      </c>
    </row>
    <row r="381" ht="15" customHeight="1" s="104">
      <c r="A381" s="194" t="n">
        <v>46081</v>
      </c>
      <c r="B381" s="195" t="inlineStr">
        <is>
          <t>Tiktok</t>
        </is>
      </c>
      <c r="D381" s="195" t="inlineStr">
        <is>
          <t xml:space="preserve">Adjustments
</t>
        </is>
      </c>
      <c r="E381" s="196" t="n">
        <v>65.98</v>
      </c>
      <c r="F381" s="204" t="n">
        <v>0.01069076815</v>
      </c>
      <c r="H381" s="196" t="n">
        <v>65.98</v>
      </c>
      <c r="K381" s="200" t="inlineStr">
        <is>
          <t>Feb</t>
        </is>
      </c>
      <c r="L381" s="199" t="n">
        <v>2026</v>
      </c>
      <c r="M381" s="199" t="n">
        <v>2026</v>
      </c>
    </row>
    <row r="382" ht="15" customHeight="1" s="104">
      <c r="A382" s="194" t="n">
        <v>46081</v>
      </c>
      <c r="B382" s="195" t="inlineStr">
        <is>
          <t>Tiktok</t>
        </is>
      </c>
      <c r="D382" s="195" t="inlineStr">
        <is>
          <t>Cost of goods</t>
        </is>
      </c>
      <c r="E382" s="196" t="n">
        <v>2194.68</v>
      </c>
      <c r="F382" s="204" t="n">
        <v>0.3556049568</v>
      </c>
      <c r="H382" s="196" t="n">
        <v>2194.68</v>
      </c>
      <c r="K382" s="200" t="inlineStr">
        <is>
          <t>Feb</t>
        </is>
      </c>
      <c r="L382" s="199" t="n">
        <v>2026</v>
      </c>
      <c r="M382" s="199" t="n">
        <v>2026</v>
      </c>
    </row>
    <row r="383" ht="15" customHeight="1" s="104">
      <c r="A383" s="194" t="n">
        <v>46081</v>
      </c>
      <c r="B383" s="195" t="inlineStr">
        <is>
          <t>Tiktok</t>
        </is>
      </c>
      <c r="D383" s="195" t="inlineStr">
        <is>
          <t>Advertising cost</t>
        </is>
      </c>
      <c r="E383" s="196" t="n">
        <v>-2271.81</v>
      </c>
      <c r="F383" s="204" t="n">
        <v>-0.3681023643</v>
      </c>
      <c r="H383" s="196" t="n">
        <v>-2271.81</v>
      </c>
      <c r="K383" s="200" t="inlineStr">
        <is>
          <t>Feb</t>
        </is>
      </c>
      <c r="L383" s="199" t="n">
        <v>2026</v>
      </c>
      <c r="M383" s="199" t="n">
        <v>2026</v>
      </c>
    </row>
    <row r="384" ht="15" customHeight="1" s="104">
      <c r="A384" s="194" t="n">
        <v>46081</v>
      </c>
      <c r="B384" s="195" t="inlineStr">
        <is>
          <t>Shopify</t>
        </is>
      </c>
      <c r="D384" s="195" t="inlineStr">
        <is>
          <t>Advertising cost</t>
        </is>
      </c>
      <c r="E384" s="196" t="n">
        <v>-2781.22</v>
      </c>
      <c r="F384" s="204" t="n">
        <v>-0.3737189281</v>
      </c>
      <c r="H384" s="196" t="n">
        <v>-2781.22</v>
      </c>
      <c r="K384" s="200" t="inlineStr">
        <is>
          <t>Feb</t>
        </is>
      </c>
      <c r="L384" s="199" t="n">
        <v>2026</v>
      </c>
      <c r="M384" s="199" t="n">
        <v>2026</v>
      </c>
    </row>
    <row r="385" ht="15" customHeight="1" s="104">
      <c r="A385" s="194" t="n">
        <v>46081</v>
      </c>
      <c r="B385" s="195" t="inlineStr">
        <is>
          <t>Shopify</t>
        </is>
      </c>
      <c r="D385" s="195" t="inlineStr">
        <is>
          <t>Payment fees</t>
        </is>
      </c>
      <c r="E385" s="196" t="n">
        <v>-269.08</v>
      </c>
      <c r="F385" s="204" t="n">
        <v>-0.03615689847</v>
      </c>
      <c r="H385" s="196" t="n">
        <v>-269.08</v>
      </c>
      <c r="K385" s="200" t="inlineStr">
        <is>
          <t>Feb</t>
        </is>
      </c>
      <c r="L385" s="199" t="n">
        <v>2026</v>
      </c>
      <c r="M385" s="199" t="n">
        <v>2026</v>
      </c>
    </row>
    <row r="386" ht="15" customHeight="1" s="104">
      <c r="A386" s="194" t="n">
        <v>46081</v>
      </c>
      <c r="B386" s="195" t="inlineStr">
        <is>
          <t>Shopify</t>
        </is>
      </c>
      <c r="D386" s="195" t="inlineStr">
        <is>
          <t>Cost of goods</t>
        </is>
      </c>
      <c r="E386" s="196" t="n">
        <v>-2292.17</v>
      </c>
      <c r="F386" s="204" t="n">
        <v>-0.3080041548</v>
      </c>
      <c r="H386" s="196" t="n">
        <v>-2292.17</v>
      </c>
      <c r="K386" s="200" t="inlineStr">
        <is>
          <t>Feb</t>
        </is>
      </c>
      <c r="L386" s="199" t="n">
        <v>2026</v>
      </c>
      <c r="M386" s="199" t="n">
        <v>2026</v>
      </c>
    </row>
    <row r="387" ht="15" customHeight="1" s="104">
      <c r="A387" s="194" t="n">
        <v>46081</v>
      </c>
      <c r="B387" s="195" t="inlineStr">
        <is>
          <t>Shopify</t>
        </is>
      </c>
      <c r="D387" s="195" t="inlineStr">
        <is>
          <t>Tax</t>
        </is>
      </c>
      <c r="E387" s="196" t="n">
        <v>-76.97</v>
      </c>
      <c r="F387" s="204" t="n">
        <v>-0.01034263593</v>
      </c>
      <c r="H387" s="196" t="n">
        <v>-76.97</v>
      </c>
      <c r="K387" s="200" t="inlineStr">
        <is>
          <t>Feb</t>
        </is>
      </c>
      <c r="L387" s="199" t="n">
        <v>2026</v>
      </c>
      <c r="M387" s="199" t="n">
        <v>2026</v>
      </c>
    </row>
    <row r="388" ht="15" customHeight="1" s="104">
      <c r="A388" s="194" t="n">
        <v>46081</v>
      </c>
      <c r="B388" s="195" t="inlineStr">
        <is>
          <t>Shopify</t>
        </is>
      </c>
      <c r="D388" s="195" t="inlineStr">
        <is>
          <t>MCF Shipping fees</t>
        </is>
      </c>
      <c r="E388" s="196" t="n">
        <v>-1086.62</v>
      </c>
      <c r="F388" s="204" t="n">
        <v>-0.1460116286</v>
      </c>
      <c r="H388" s="196" t="n">
        <v>-1086.62</v>
      </c>
      <c r="K388" s="200" t="inlineStr">
        <is>
          <t>Feb</t>
        </is>
      </c>
      <c r="L388" s="199" t="n">
        <v>2026</v>
      </c>
      <c r="M388" s="199" t="n">
        <v>2026</v>
      </c>
    </row>
    <row r="389" ht="15" customHeight="1" s="104">
      <c r="A389" s="194" t="n">
        <v>46081</v>
      </c>
      <c r="B389" s="195" t="inlineStr">
        <is>
          <t>Shopify</t>
        </is>
      </c>
      <c r="D389" s="195" t="inlineStr">
        <is>
          <t>Shipping Cost</t>
        </is>
      </c>
      <c r="E389" s="198" t="n">
        <v>0</v>
      </c>
      <c r="F389" s="201" t="n">
        <v>0</v>
      </c>
      <c r="H389" s="198" t="n">
        <v>0</v>
      </c>
      <c r="K389" s="200" t="inlineStr">
        <is>
          <t>Feb</t>
        </is>
      </c>
      <c r="L389" s="199" t="n">
        <v>2026</v>
      </c>
      <c r="M389" s="199" t="n">
        <v>2026</v>
      </c>
    </row>
    <row r="390" ht="15" customHeight="1" s="104">
      <c r="A390" s="194" t="n">
        <v>46112</v>
      </c>
      <c r="B390" s="195" t="inlineStr">
        <is>
          <t>Amazon US</t>
        </is>
      </c>
      <c r="D390" s="195" t="inlineStr">
        <is>
          <t>Promo</t>
        </is>
      </c>
      <c r="E390" s="196" t="n">
        <v>-1918.71</v>
      </c>
      <c r="F390" s="204" t="n">
        <v>-0.02687181217</v>
      </c>
      <c r="H390" s="196" t="n">
        <v>-1918.71</v>
      </c>
      <c r="K390" s="200" t="inlineStr">
        <is>
          <t>Mar</t>
        </is>
      </c>
      <c r="L390" s="199" t="n">
        <v>2026</v>
      </c>
      <c r="M390" s="199" t="n">
        <v>2026</v>
      </c>
    </row>
    <row r="391" ht="15" customHeight="1" s="104">
      <c r="A391" s="194" t="n">
        <v>46112</v>
      </c>
      <c r="B391" s="195" t="inlineStr">
        <is>
          <t>Amazon US</t>
        </is>
      </c>
      <c r="D391" s="195" t="inlineStr">
        <is>
          <t>Advertising cost</t>
        </is>
      </c>
      <c r="E391" s="196" t="n">
        <v>-9863.4</v>
      </c>
      <c r="F391" s="204" t="n">
        <v>-0.1381383493</v>
      </c>
      <c r="H391" s="196" t="n">
        <v>-9863.4</v>
      </c>
      <c r="K391" s="200" t="inlineStr">
        <is>
          <t>Mar</t>
        </is>
      </c>
      <c r="L391" s="199" t="n">
        <v>2026</v>
      </c>
      <c r="M391" s="199" t="n">
        <v>2026</v>
      </c>
    </row>
    <row r="392" ht="15" customHeight="1" s="104">
      <c r="A392" s="194" t="n">
        <v>46112</v>
      </c>
      <c r="B392" s="195" t="inlineStr">
        <is>
          <t>Amazon US</t>
        </is>
      </c>
      <c r="D392" s="195" t="inlineStr">
        <is>
          <t>Refund cost</t>
        </is>
      </c>
      <c r="E392" s="196" t="n">
        <v>-7216.56</v>
      </c>
      <c r="F392" s="204" t="n">
        <v>-0.1010689707</v>
      </c>
      <c r="H392" s="196" t="n">
        <v>-7216.56</v>
      </c>
      <c r="K392" s="200" t="inlineStr">
        <is>
          <t>Mar</t>
        </is>
      </c>
      <c r="L392" s="199" t="n">
        <v>2026</v>
      </c>
      <c r="M392" s="199" t="n">
        <v>2026</v>
      </c>
    </row>
    <row r="393" ht="15" customHeight="1" s="104">
      <c r="A393" s="194" t="n">
        <v>46112</v>
      </c>
      <c r="B393" s="195" t="inlineStr">
        <is>
          <t>Amazon US</t>
        </is>
      </c>
      <c r="D393" s="195" t="inlineStr">
        <is>
          <t>Amazon fees</t>
        </is>
      </c>
      <c r="E393" s="196" t="n">
        <v>-26466.28</v>
      </c>
      <c r="F393" s="204" t="n">
        <v>-0.3706640946</v>
      </c>
      <c r="H393" s="196" t="n">
        <v>-26466.28</v>
      </c>
      <c r="K393" s="200" t="inlineStr">
        <is>
          <t>Mar</t>
        </is>
      </c>
      <c r="L393" s="199" t="n">
        <v>2026</v>
      </c>
      <c r="M393" s="199" t="n">
        <v>2026</v>
      </c>
    </row>
    <row r="394" ht="15" customHeight="1" s="104">
      <c r="A394" s="194" t="n">
        <v>46112</v>
      </c>
      <c r="B394" s="195" t="inlineStr">
        <is>
          <t>Amazon US</t>
        </is>
      </c>
      <c r="D394" s="195" t="inlineStr">
        <is>
          <t>Cost of goods</t>
        </is>
      </c>
      <c r="E394" s="196" t="n">
        <v>-20631.85</v>
      </c>
      <c r="F394" s="204" t="n">
        <v>-0.2889520552</v>
      </c>
      <c r="H394" s="196" t="n">
        <v>-20631.85</v>
      </c>
      <c r="K394" s="200" t="inlineStr">
        <is>
          <t>Mar</t>
        </is>
      </c>
      <c r="L394" s="199" t="n">
        <v>2026</v>
      </c>
      <c r="M394" s="199" t="n">
        <v>2026</v>
      </c>
    </row>
    <row r="395" ht="15" customHeight="1" s="104">
      <c r="A395" s="194" t="n">
        <v>46112</v>
      </c>
      <c r="B395" s="195" t="inlineStr">
        <is>
          <t>Amazon CA</t>
        </is>
      </c>
      <c r="D395" s="195" t="inlineStr">
        <is>
          <t>Promo</t>
        </is>
      </c>
      <c r="E395" s="196" t="n">
        <v>-7.14</v>
      </c>
      <c r="F395" s="204" t="n">
        <v>-0.001300330911</v>
      </c>
      <c r="H395" s="196" t="n">
        <v>-7.14</v>
      </c>
      <c r="K395" s="200" t="inlineStr">
        <is>
          <t>Mar</t>
        </is>
      </c>
      <c r="L395" s="199" t="n">
        <v>2026</v>
      </c>
      <c r="M395" s="199" t="n">
        <v>2026</v>
      </c>
    </row>
    <row r="396" ht="15" customHeight="1" s="104">
      <c r="A396" s="194" t="n">
        <v>46112</v>
      </c>
      <c r="B396" s="195" t="inlineStr">
        <is>
          <t>Amazon CA</t>
        </is>
      </c>
      <c r="D396" s="195" t="inlineStr">
        <is>
          <t>Advertising cost</t>
        </is>
      </c>
      <c r="E396" s="196" t="n">
        <v>-843.62</v>
      </c>
      <c r="F396" s="204" t="n">
        <v>-0.1536393785</v>
      </c>
      <c r="H396" s="196" t="n">
        <v>-843.62</v>
      </c>
      <c r="K396" s="200" t="inlineStr">
        <is>
          <t>Mar</t>
        </is>
      </c>
      <c r="L396" s="199" t="n">
        <v>2026</v>
      </c>
      <c r="M396" s="199" t="n">
        <v>2026</v>
      </c>
    </row>
    <row r="397" ht="15" customHeight="1" s="104">
      <c r="A397" s="194" t="n">
        <v>46112</v>
      </c>
      <c r="B397" s="195" t="inlineStr">
        <is>
          <t>Amazon CA</t>
        </is>
      </c>
      <c r="D397" s="195" t="inlineStr">
        <is>
          <t>Refund cost</t>
        </is>
      </c>
      <c r="E397" s="196" t="n">
        <v>-318.99</v>
      </c>
      <c r="F397" s="204" t="n">
        <v>-0.05809419568</v>
      </c>
      <c r="H397" s="196" t="n">
        <v>-318.99</v>
      </c>
      <c r="K397" s="200" t="inlineStr">
        <is>
          <t>Mar</t>
        </is>
      </c>
      <c r="L397" s="199" t="n">
        <v>2026</v>
      </c>
      <c r="M397" s="199" t="n">
        <v>2026</v>
      </c>
    </row>
    <row r="398" ht="15" customHeight="1" s="104">
      <c r="A398" s="194" t="n">
        <v>46112</v>
      </c>
      <c r="B398" s="195" t="inlineStr">
        <is>
          <t>Amazon CA</t>
        </is>
      </c>
      <c r="D398" s="195" t="inlineStr">
        <is>
          <t>Amazon fees</t>
        </is>
      </c>
      <c r="E398" s="196" t="n">
        <v>-2712.66</v>
      </c>
      <c r="F398" s="204" t="n">
        <v>-0.4940274017</v>
      </c>
      <c r="H398" s="196" t="n">
        <v>-2712.66</v>
      </c>
      <c r="K398" s="200" t="inlineStr">
        <is>
          <t>Mar</t>
        </is>
      </c>
      <c r="L398" s="199" t="n">
        <v>2026</v>
      </c>
      <c r="M398" s="199" t="n">
        <v>2026</v>
      </c>
    </row>
    <row r="399" ht="15" customHeight="1" s="104">
      <c r="A399" s="194" t="n">
        <v>46112</v>
      </c>
      <c r="B399" s="195" t="inlineStr">
        <is>
          <t>Amazon CA</t>
        </is>
      </c>
      <c r="D399" s="195" t="inlineStr">
        <is>
          <t>Cost of goods</t>
        </is>
      </c>
      <c r="E399" s="196" t="n">
        <v>-2011.65</v>
      </c>
      <c r="F399" s="204" t="n">
        <v>-0.3663600387</v>
      </c>
      <c r="H399" s="196" t="n">
        <v>-2011.65</v>
      </c>
      <c r="K399" s="200" t="inlineStr">
        <is>
          <t>Mar</t>
        </is>
      </c>
      <c r="L399" s="199" t="n">
        <v>2026</v>
      </c>
      <c r="M399" s="199" t="n">
        <v>2026</v>
      </c>
    </row>
    <row r="400" ht="15" customHeight="1" s="104">
      <c r="A400" s="194" t="n">
        <v>46112</v>
      </c>
      <c r="B400" s="195" t="inlineStr">
        <is>
          <t>Shopify</t>
        </is>
      </c>
      <c r="D400" s="195" t="inlineStr">
        <is>
          <t>Advertising cost</t>
        </is>
      </c>
      <c r="E400" s="196" t="n">
        <v>-2998.24</v>
      </c>
      <c r="F400" s="204" t="n">
        <v>-0.4212437075</v>
      </c>
      <c r="H400" s="196" t="n">
        <v>-2998.24</v>
      </c>
      <c r="K400" s="200" t="inlineStr">
        <is>
          <t>Mar</t>
        </is>
      </c>
      <c r="L400" s="199" t="n">
        <v>2026</v>
      </c>
      <c r="M400" s="199" t="n">
        <v>2026</v>
      </c>
    </row>
    <row r="401" ht="15" customHeight="1" s="104">
      <c r="A401" s="194" t="n">
        <v>46112</v>
      </c>
      <c r="B401" s="195" t="inlineStr">
        <is>
          <t>Shopify</t>
        </is>
      </c>
      <c r="D401" s="195" t="inlineStr">
        <is>
          <t>Payment fees</t>
        </is>
      </c>
      <c r="E401" s="196" t="n">
        <v>-206.07</v>
      </c>
      <c r="F401" s="204" t="n">
        <v>-0.02895221557</v>
      </c>
      <c r="H401" s="196" t="n">
        <v>-206.07</v>
      </c>
      <c r="K401" s="200" t="inlineStr">
        <is>
          <t>Mar</t>
        </is>
      </c>
      <c r="L401" s="199" t="n">
        <v>2026</v>
      </c>
      <c r="M401" s="199" t="n">
        <v>2026</v>
      </c>
    </row>
    <row r="402" ht="15" customHeight="1" s="104">
      <c r="A402" s="194" t="n">
        <v>46112</v>
      </c>
      <c r="B402" s="195" t="inlineStr">
        <is>
          <t>Shopify</t>
        </is>
      </c>
      <c r="D402" s="195" t="inlineStr">
        <is>
          <t>Cost of goods</t>
        </is>
      </c>
      <c r="E402" s="196" t="n">
        <v>-2446.23</v>
      </c>
      <c r="F402" s="204" t="n">
        <v>-0.3436879618</v>
      </c>
      <c r="H402" s="196" t="n">
        <v>-2446.23</v>
      </c>
      <c r="K402" s="200" t="inlineStr">
        <is>
          <t>Mar</t>
        </is>
      </c>
      <c r="L402" s="199" t="n">
        <v>2026</v>
      </c>
      <c r="M402" s="199" t="n">
        <v>2026</v>
      </c>
    </row>
    <row r="403" ht="15" customHeight="1" s="104">
      <c r="A403" s="194" t="n">
        <v>46112</v>
      </c>
      <c r="B403" s="195" t="inlineStr">
        <is>
          <t>Shopify</t>
        </is>
      </c>
      <c r="D403" s="195" t="inlineStr">
        <is>
          <t>Tax</t>
        </is>
      </c>
      <c r="E403" s="196" t="n">
        <v>-46.49</v>
      </c>
      <c r="F403" s="204" t="n">
        <v>-0.006531705254</v>
      </c>
      <c r="H403" s="196" t="n">
        <v>-46.49</v>
      </c>
      <c r="K403" s="200" t="inlineStr">
        <is>
          <t>Mar</t>
        </is>
      </c>
      <c r="L403" s="199" t="n">
        <v>2026</v>
      </c>
      <c r="M403" s="199" t="n">
        <v>2026</v>
      </c>
    </row>
    <row r="404" ht="15" customHeight="1" s="104">
      <c r="A404" s="194" t="n">
        <v>46112</v>
      </c>
      <c r="B404" s="195" t="inlineStr">
        <is>
          <t>Shopify</t>
        </is>
      </c>
      <c r="D404" s="195" t="inlineStr">
        <is>
          <t>MCF Shipping fees</t>
        </is>
      </c>
      <c r="E404" s="196" t="n">
        <v>-382.59</v>
      </c>
      <c r="F404" s="204" t="n">
        <v>-0.05375274496</v>
      </c>
      <c r="H404" s="196" t="n">
        <v>-382.59</v>
      </c>
      <c r="K404" s="200" t="inlineStr">
        <is>
          <t>Mar</t>
        </is>
      </c>
      <c r="L404" s="199" t="n">
        <v>2026</v>
      </c>
      <c r="M404" s="199" t="n">
        <v>2026</v>
      </c>
    </row>
    <row r="405" ht="15" customHeight="1" s="104">
      <c r="A405" s="194" t="n">
        <v>46112</v>
      </c>
      <c r="B405" s="195" t="inlineStr">
        <is>
          <t>Shopify</t>
        </is>
      </c>
      <c r="D405" s="195" t="inlineStr">
        <is>
          <t>Shiphero Shipping Cost</t>
        </is>
      </c>
      <c r="E405" s="196" t="n">
        <v>-1042.362143</v>
      </c>
      <c r="F405" s="204" t="n">
        <v>-0.1464487478</v>
      </c>
      <c r="H405" s="196" t="n">
        <v>-1042.362143</v>
      </c>
      <c r="K405" s="200" t="inlineStr">
        <is>
          <t>Mar</t>
        </is>
      </c>
      <c r="L405" s="199" t="n">
        <v>2026</v>
      </c>
      <c r="M405" s="199" t="n">
        <v>2026</v>
      </c>
    </row>
    <row r="406" ht="15" customHeight="1" s="104">
      <c r="A406" s="194" t="n">
        <v>46112</v>
      </c>
      <c r="B406" s="195" t="inlineStr">
        <is>
          <t>Shopify</t>
        </is>
      </c>
      <c r="D406" s="195" t="inlineStr">
        <is>
          <t>Shipping Cost</t>
        </is>
      </c>
      <c r="E406" s="198" t="n">
        <v>0</v>
      </c>
      <c r="F406" s="201" t="n">
        <v>0</v>
      </c>
      <c r="H406" s="198" t="n">
        <v>0</v>
      </c>
      <c r="K406" s="200" t="inlineStr">
        <is>
          <t>Mar</t>
        </is>
      </c>
      <c r="L406" s="199" t="n">
        <v>2026</v>
      </c>
      <c r="M406" s="199" t="n">
        <v>2026</v>
      </c>
    </row>
    <row r="407" ht="15" customHeight="1" s="104">
      <c r="A407" s="194" t="n">
        <v>46112</v>
      </c>
      <c r="B407" s="195" t="inlineStr">
        <is>
          <t>Walmart</t>
        </is>
      </c>
      <c r="D407" s="195" t="inlineStr">
        <is>
          <t>Advertising cost</t>
        </is>
      </c>
      <c r="E407" s="196" t="n">
        <v>-810.0599999999999</v>
      </c>
      <c r="F407" s="204" t="n">
        <v>-0.2213950132</v>
      </c>
      <c r="H407" s="196" t="n">
        <v>-810.0599999999999</v>
      </c>
      <c r="K407" s="200" t="inlineStr">
        <is>
          <t>Mar</t>
        </is>
      </c>
      <c r="L407" s="199" t="n">
        <v>2026</v>
      </c>
      <c r="M407" s="199" t="n">
        <v>2026</v>
      </c>
    </row>
    <row r="408" ht="15" customHeight="1" s="104">
      <c r="A408" s="194" t="n">
        <v>46112</v>
      </c>
      <c r="B408" s="195" t="inlineStr">
        <is>
          <t>Walmart</t>
        </is>
      </c>
      <c r="D408" s="195" t="inlineStr">
        <is>
          <t>Shipping costs</t>
        </is>
      </c>
      <c r="E408" s="196" t="n">
        <v>-864.16</v>
      </c>
      <c r="F408" s="204" t="n">
        <v>-0.2361809183</v>
      </c>
      <c r="H408" s="196" t="n">
        <v>-864.16</v>
      </c>
      <c r="K408" s="200" t="inlineStr">
        <is>
          <t>Mar</t>
        </is>
      </c>
      <c r="L408" s="199" t="n">
        <v>2026</v>
      </c>
      <c r="M408" s="199" t="n">
        <v>2026</v>
      </c>
    </row>
    <row r="409" ht="15" customHeight="1" s="104">
      <c r="A409" s="194" t="n">
        <v>46112</v>
      </c>
      <c r="B409" s="195" t="inlineStr">
        <is>
          <t>Walmart</t>
        </is>
      </c>
      <c r="D409" s="195" t="inlineStr">
        <is>
          <t>Fees</t>
        </is>
      </c>
      <c r="E409" s="196" t="n">
        <v>-628.3200000000001</v>
      </c>
      <c r="F409" s="204" t="n">
        <v>-0.1717242114</v>
      </c>
      <c r="H409" s="196" t="n">
        <v>-628.3200000000001</v>
      </c>
      <c r="K409" s="200" t="inlineStr">
        <is>
          <t>Mar</t>
        </is>
      </c>
      <c r="L409" s="199" t="n">
        <v>2026</v>
      </c>
      <c r="M409" s="199" t="n">
        <v>2026</v>
      </c>
    </row>
    <row r="410" ht="15" customHeight="1" s="104">
      <c r="A410" s="194" t="n">
        <v>46112</v>
      </c>
      <c r="B410" s="195" t="inlineStr">
        <is>
          <t>Walmart</t>
        </is>
      </c>
      <c r="D410" s="195" t="inlineStr">
        <is>
          <t>Cost of goods</t>
        </is>
      </c>
      <c r="E410" s="196" t="n">
        <v>-1407.33</v>
      </c>
      <c r="F410" s="204" t="n">
        <v>-0.3846330444</v>
      </c>
      <c r="H410" s="196" t="n">
        <v>-1407.33</v>
      </c>
      <c r="K410" s="200" t="inlineStr">
        <is>
          <t>Mar</t>
        </is>
      </c>
      <c r="L410" s="199" t="n">
        <v>2026</v>
      </c>
      <c r="M410" s="199" t="n">
        <v>2026</v>
      </c>
    </row>
    <row r="411" ht="15" customHeight="1" s="104">
      <c r="A411" s="194" t="n">
        <v>46112</v>
      </c>
      <c r="B411" s="195" t="inlineStr">
        <is>
          <t>Tiktok</t>
        </is>
      </c>
      <c r="D411" s="195" t="inlineStr">
        <is>
          <t>Tiktok Shipping</t>
        </is>
      </c>
      <c r="E411" s="196" t="n">
        <v>-118.95</v>
      </c>
      <c r="F411" s="204" t="n">
        <v>-0.01359712946</v>
      </c>
      <c r="H411" s="196" t="n">
        <v>-118.95</v>
      </c>
      <c r="K411" s="200" t="inlineStr">
        <is>
          <t>Mar</t>
        </is>
      </c>
      <c r="L411" s="199" t="n">
        <v>2026</v>
      </c>
      <c r="M411" s="199" t="n">
        <v>2026</v>
      </c>
    </row>
    <row r="412" ht="15" customHeight="1" s="104">
      <c r="A412" s="194" t="n">
        <v>46112</v>
      </c>
      <c r="B412" s="195" t="inlineStr">
        <is>
          <t>Tiktok</t>
        </is>
      </c>
      <c r="D412" s="195" t="inlineStr">
        <is>
          <t>Shiphero Shipping Cost</t>
        </is>
      </c>
      <c r="E412" s="196" t="n">
        <v>-2231.21</v>
      </c>
      <c r="F412" s="204" t="n">
        <v>-0.2550487702</v>
      </c>
      <c r="H412" s="196" t="n">
        <v>-2231.21</v>
      </c>
      <c r="K412" s="200" t="inlineStr">
        <is>
          <t>Mar</t>
        </is>
      </c>
      <c r="L412" s="199" t="n">
        <v>2026</v>
      </c>
      <c r="M412" s="199" t="n">
        <v>2026</v>
      </c>
    </row>
    <row r="413" ht="15" customHeight="1" s="104">
      <c r="A413" s="194" t="n">
        <v>46112</v>
      </c>
      <c r="B413" s="195" t="inlineStr">
        <is>
          <t>Tiktok</t>
        </is>
      </c>
      <c r="D413" s="195" t="inlineStr">
        <is>
          <t>MCF Shipping fees</t>
        </is>
      </c>
      <c r="E413" s="196" t="n">
        <v>-235.4</v>
      </c>
      <c r="F413" s="204" t="n">
        <v>-0.02690848486</v>
      </c>
      <c r="H413" s="196" t="n">
        <v>-235.4</v>
      </c>
      <c r="K413" s="200" t="inlineStr">
        <is>
          <t>Mar</t>
        </is>
      </c>
      <c r="L413" s="199" t="n">
        <v>2026</v>
      </c>
      <c r="M413" s="199" t="n">
        <v>2026</v>
      </c>
    </row>
    <row r="414" ht="15" customHeight="1" s="104">
      <c r="A414" s="194" t="n">
        <v>46112</v>
      </c>
      <c r="B414" s="195" t="inlineStr">
        <is>
          <t>Tiktok</t>
        </is>
      </c>
      <c r="D414" s="195" t="inlineStr">
        <is>
          <t>Fees</t>
        </is>
      </c>
      <c r="E414" s="196" t="n">
        <v>-189.01</v>
      </c>
      <c r="F414" s="204" t="n">
        <v>-0.02160566153</v>
      </c>
      <c r="H414" s="196" t="n">
        <v>-189.01</v>
      </c>
      <c r="K414" s="200" t="inlineStr">
        <is>
          <t>Mar</t>
        </is>
      </c>
      <c r="L414" s="199" t="n">
        <v>2026</v>
      </c>
      <c r="M414" s="199" t="n">
        <v>2026</v>
      </c>
    </row>
    <row r="415" ht="15" customHeight="1" s="104">
      <c r="A415" s="194" t="n">
        <v>46112</v>
      </c>
      <c r="B415" s="195" t="inlineStr">
        <is>
          <t>Tiktok</t>
        </is>
      </c>
      <c r="D415" s="195" t="inlineStr">
        <is>
          <t>Referral fee</t>
        </is>
      </c>
      <c r="E415" s="196" t="n">
        <v>-524.9400000000001</v>
      </c>
      <c r="F415" s="204" t="n">
        <v>-0.06000569262</v>
      </c>
      <c r="H415" s="196" t="n">
        <v>-524.9400000000001</v>
      </c>
      <c r="K415" s="200" t="inlineStr">
        <is>
          <t>Mar</t>
        </is>
      </c>
      <c r="L415" s="199" t="n">
        <v>2026</v>
      </c>
      <c r="M415" s="199" t="n">
        <v>2026</v>
      </c>
    </row>
    <row r="416" ht="15" customHeight="1" s="104">
      <c r="A416" s="194" t="n">
        <v>46112</v>
      </c>
      <c r="B416" s="195" t="inlineStr">
        <is>
          <t>Tiktok</t>
        </is>
      </c>
      <c r="D416" s="195" t="inlineStr">
        <is>
          <t>Affiliate commission</t>
        </is>
      </c>
      <c r="E416" s="196" t="n">
        <v>-429.17</v>
      </c>
      <c r="F416" s="204" t="n">
        <v>-0.04905826018</v>
      </c>
      <c r="H416" s="196" t="n">
        <v>-429.17</v>
      </c>
      <c r="K416" s="200" t="inlineStr">
        <is>
          <t>Mar</t>
        </is>
      </c>
      <c r="L416" s="199" t="n">
        <v>2026</v>
      </c>
      <c r="M416" s="199" t="n">
        <v>2026</v>
      </c>
    </row>
    <row r="417" ht="15" customHeight="1" s="104">
      <c r="A417" s="194" t="n">
        <v>46112</v>
      </c>
      <c r="B417" s="195" t="inlineStr">
        <is>
          <t>Tiktok</t>
        </is>
      </c>
      <c r="D417" s="195" t="inlineStr">
        <is>
          <t xml:space="preserve">Adjustments
</t>
        </is>
      </c>
      <c r="E417" s="196" t="n">
        <v>-1.6</v>
      </c>
      <c r="F417" s="204" t="n">
        <v>-0.0001828953941</v>
      </c>
      <c r="H417" s="196" t="n">
        <v>-1.6</v>
      </c>
      <c r="K417" s="200" t="inlineStr">
        <is>
          <t>Mar</t>
        </is>
      </c>
      <c r="L417" s="199" t="n">
        <v>2026</v>
      </c>
      <c r="M417" s="199" t="n">
        <v>2026</v>
      </c>
    </row>
    <row r="418" ht="15" customHeight="1" s="104">
      <c r="A418" s="194" t="n">
        <v>46112</v>
      </c>
      <c r="B418" s="195" t="inlineStr">
        <is>
          <t>Tiktok</t>
        </is>
      </c>
      <c r="D418" s="195" t="inlineStr">
        <is>
          <t>Cost of goods</t>
        </is>
      </c>
      <c r="E418" s="196" t="n">
        <v>-3641.85</v>
      </c>
      <c r="F418" s="204" t="n">
        <v>-0.4162984944</v>
      </c>
      <c r="H418" s="196" t="n">
        <v>-3641.85</v>
      </c>
      <c r="K418" s="200" t="inlineStr">
        <is>
          <t>Mar</t>
        </is>
      </c>
      <c r="L418" s="199" t="n">
        <v>2026</v>
      </c>
      <c r="M418" s="199" t="n">
        <v>2026</v>
      </c>
    </row>
    <row r="419" ht="15" customHeight="1" s="104">
      <c r="A419" s="194" t="n">
        <v>46112</v>
      </c>
      <c r="B419" s="195" t="inlineStr">
        <is>
          <t>Tiktok</t>
        </is>
      </c>
      <c r="D419" s="195" t="inlineStr">
        <is>
          <t>Advertising cost</t>
        </is>
      </c>
      <c r="E419" s="196" t="n">
        <v>-1931.78</v>
      </c>
      <c r="F419" s="204" t="n">
        <v>-0.2208210403</v>
      </c>
      <c r="H419" s="196" t="n">
        <v>-1931.78</v>
      </c>
      <c r="K419" s="200" t="inlineStr">
        <is>
          <t>Mar</t>
        </is>
      </c>
      <c r="L419" s="199" t="n">
        <v>2026</v>
      </c>
      <c r="M419" s="199" t="n">
        <v>2026</v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100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103" min="1" max="2"/>
    <col width="18" customWidth="1" style="103" min="3" max="3"/>
    <col width="24" customWidth="1" style="103" min="4" max="4"/>
    <col width="15" customWidth="1" style="103" min="5" max="12"/>
  </cols>
  <sheetData>
    <row r="1" ht="27.75" customHeight="1" s="104">
      <c r="A1" s="182" t="inlineStr">
        <is>
          <t>SUB-CATEGORY EXPENSES · RAW</t>
        </is>
      </c>
    </row>
    <row r="2" ht="15" customHeight="1" s="104">
      <c r="A2" s="107" t="inlineStr">
        <is>
          <t>Soft-blue cells = where you type new data</t>
        </is>
      </c>
    </row>
    <row r="3" ht="3.75" customHeight="1" s="104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</row>
    <row r="5" ht="30" customHeight="1" s="104">
      <c r="A5" s="203" t="inlineStr">
        <is>
          <t xml:space="preserve">       </t>
        </is>
      </c>
      <c r="B5" s="203" t="inlineStr">
        <is>
          <t>MARKETPLACE</t>
        </is>
      </c>
      <c r="C5" s="203" t="inlineStr">
        <is>
          <t>MAIN CATEGORY</t>
        </is>
      </c>
      <c r="D5" s="203" t="inlineStr">
        <is>
          <t>SUB CATEGORY</t>
        </is>
      </c>
      <c r="E5" s="203" t="inlineStr">
        <is>
          <t>AMOUNT (USD)</t>
        </is>
      </c>
      <c r="F5" s="203" t="inlineStr">
        <is>
          <t>PERCENTAGE</t>
        </is>
      </c>
      <c r="G5" s="203" t="n"/>
      <c r="H5" s="203" t="inlineStr">
        <is>
          <t xml:space="preserve"> EXPENSE (UDS)</t>
        </is>
      </c>
      <c r="I5" s="203" t="inlineStr">
        <is>
          <t>NOTES</t>
        </is>
      </c>
      <c r="J5" s="203" t="inlineStr">
        <is>
          <t>M</t>
        </is>
      </c>
      <c r="K5" s="203" t="inlineStr">
        <is>
          <t>Y</t>
        </is>
      </c>
      <c r="L5" s="203" t="inlineStr">
        <is>
          <t xml:space="preserve"> </t>
        </is>
      </c>
    </row>
    <row r="6" ht="15" customHeight="1" s="104">
      <c r="A6" s="194" t="n">
        <v>45688</v>
      </c>
      <c r="B6" s="195" t="inlineStr">
        <is>
          <t>Amazon US</t>
        </is>
      </c>
      <c r="C6" s="195" t="inlineStr">
        <is>
          <t>Advertising cost</t>
        </is>
      </c>
      <c r="D6" s="195" t="inlineStr">
        <is>
          <t>Sponsored Products</t>
        </is>
      </c>
      <c r="E6" s="196" t="n">
        <v>-8666.290000000001</v>
      </c>
      <c r="F6" s="204" t="n">
        <v>-0.09685478359999999</v>
      </c>
      <c r="H6" s="196" t="n">
        <v>-8666.290000000001</v>
      </c>
      <c r="J6" s="200" t="inlineStr">
        <is>
          <t>Jan</t>
        </is>
      </c>
      <c r="K6" s="199" t="n">
        <v>2025</v>
      </c>
      <c r="L6" s="199" t="n">
        <v>2025</v>
      </c>
    </row>
    <row r="7" ht="15" customHeight="1" s="104">
      <c r="A7" s="194" t="n">
        <v>45688</v>
      </c>
      <c r="B7" s="195" t="inlineStr">
        <is>
          <t>Amazon US</t>
        </is>
      </c>
      <c r="C7" s="195" t="inlineStr">
        <is>
          <t>Advertising cost</t>
        </is>
      </c>
      <c r="D7" s="195" t="inlineStr">
        <is>
          <t>Sponsored Brands Video</t>
        </is>
      </c>
      <c r="E7" s="198" t="n">
        <v>0</v>
      </c>
      <c r="F7" s="201" t="n">
        <v>0</v>
      </c>
      <c r="H7" s="198" t="n">
        <v>0</v>
      </c>
      <c r="J7" s="200" t="inlineStr">
        <is>
          <t>Jan</t>
        </is>
      </c>
      <c r="K7" s="199" t="n">
        <v>2025</v>
      </c>
      <c r="L7" s="199" t="n">
        <v>2025</v>
      </c>
    </row>
    <row r="8" ht="15" customHeight="1" s="104">
      <c r="A8" s="194" t="n">
        <v>45688</v>
      </c>
      <c r="B8" s="195" t="inlineStr">
        <is>
          <t>Amazon US</t>
        </is>
      </c>
      <c r="C8" s="195" t="inlineStr">
        <is>
          <t>Advertising cost</t>
        </is>
      </c>
      <c r="D8" s="195" t="inlineStr">
        <is>
          <t>Sponsored Display</t>
        </is>
      </c>
      <c r="E8" s="198" t="n">
        <v>0</v>
      </c>
      <c r="F8" s="201" t="n">
        <v>0</v>
      </c>
      <c r="H8" s="198" t="n">
        <v>0</v>
      </c>
      <c r="J8" s="200" t="inlineStr">
        <is>
          <t>Jan</t>
        </is>
      </c>
      <c r="K8" s="199" t="n">
        <v>2025</v>
      </c>
      <c r="L8" s="199" t="n">
        <v>2025</v>
      </c>
    </row>
    <row r="9" ht="15" customHeight="1" s="104">
      <c r="A9" s="194" t="n">
        <v>45688</v>
      </c>
      <c r="B9" s="195" t="inlineStr">
        <is>
          <t>Amazon US</t>
        </is>
      </c>
      <c r="C9" s="195" t="inlineStr">
        <is>
          <t>Advertising cost</t>
        </is>
      </c>
      <c r="D9" s="195" t="inlineStr">
        <is>
          <t>Sponsored Brands</t>
        </is>
      </c>
      <c r="E9" s="198" t="n">
        <v>0</v>
      </c>
      <c r="F9" s="201" t="n">
        <v>0</v>
      </c>
      <c r="H9" s="198" t="n">
        <v>0</v>
      </c>
      <c r="J9" s="200" t="inlineStr">
        <is>
          <t>Jan</t>
        </is>
      </c>
      <c r="K9" s="199" t="n">
        <v>2025</v>
      </c>
      <c r="L9" s="199" t="n">
        <v>2025</v>
      </c>
    </row>
    <row r="10" ht="15" customHeight="1" s="104">
      <c r="A10" s="194" t="n">
        <v>45688</v>
      </c>
      <c r="B10" s="195" t="inlineStr">
        <is>
          <t>Amazon US</t>
        </is>
      </c>
      <c r="C10" s="195" t="inlineStr">
        <is>
          <t>Refund cost</t>
        </is>
      </c>
      <c r="D10" s="195" t="inlineStr">
        <is>
          <t>Refunded amount</t>
        </is>
      </c>
      <c r="E10" s="196" t="n">
        <v>-10457.63</v>
      </c>
      <c r="F10" s="204" t="n">
        <v>-0.1168748669</v>
      </c>
      <c r="H10" s="196" t="n">
        <v>-10457.63</v>
      </c>
      <c r="J10" s="200" t="inlineStr">
        <is>
          <t>Jan</t>
        </is>
      </c>
      <c r="K10" s="199" t="n">
        <v>2025</v>
      </c>
      <c r="L10" s="199" t="n">
        <v>2025</v>
      </c>
    </row>
    <row r="11" ht="15" customHeight="1" s="104">
      <c r="A11" s="194" t="n">
        <v>45688</v>
      </c>
      <c r="B11" s="195" t="inlineStr">
        <is>
          <t>Amazon US</t>
        </is>
      </c>
      <c r="C11" s="195" t="inlineStr">
        <is>
          <t>Refund cost</t>
        </is>
      </c>
      <c r="D11" s="195" t="inlineStr">
        <is>
          <t>Refund commission</t>
        </is>
      </c>
      <c r="E11" s="196" t="n">
        <v>-311.27</v>
      </c>
      <c r="F11" s="204" t="n">
        <v>-0.003478765249</v>
      </c>
      <c r="H11" s="196" t="n">
        <v>-311.27</v>
      </c>
      <c r="J11" s="200" t="inlineStr">
        <is>
          <t>Jan</t>
        </is>
      </c>
      <c r="K11" s="199" t="n">
        <v>2025</v>
      </c>
      <c r="L11" s="199" t="n">
        <v>2025</v>
      </c>
    </row>
    <row r="12" ht="15" customHeight="1" s="104">
      <c r="A12" s="194" t="n">
        <v>45688</v>
      </c>
      <c r="B12" s="195" t="inlineStr">
        <is>
          <t>Amazon US</t>
        </is>
      </c>
      <c r="C12" s="195" t="inlineStr">
        <is>
          <t>Refund cost</t>
        </is>
      </c>
      <c r="D12" s="195" t="inlineStr">
        <is>
          <t>Promotion</t>
        </is>
      </c>
      <c r="E12" s="196" t="n">
        <v>83.8</v>
      </c>
      <c r="F12" s="204" t="n">
        <v>0.0009365519577</v>
      </c>
      <c r="H12" s="196" t="n">
        <v>83.8</v>
      </c>
      <c r="J12" s="200" t="inlineStr">
        <is>
          <t>Jan</t>
        </is>
      </c>
      <c r="K12" s="199" t="n">
        <v>2025</v>
      </c>
      <c r="L12" s="199" t="n">
        <v>2025</v>
      </c>
    </row>
    <row r="13" ht="15" customHeight="1" s="104">
      <c r="A13" s="194" t="n">
        <v>45688</v>
      </c>
      <c r="B13" s="195" t="inlineStr">
        <is>
          <t>Amazon US</t>
        </is>
      </c>
      <c r="C13" s="195" t="inlineStr">
        <is>
          <t>Refund cost</t>
        </is>
      </c>
      <c r="D13" s="195" t="inlineStr">
        <is>
          <t>Refunded referral fee</t>
        </is>
      </c>
      <c r="E13" s="196" t="n">
        <v>1556.41</v>
      </c>
      <c r="F13" s="204" t="n">
        <v>0.01739449681</v>
      </c>
      <c r="H13" s="196" t="n">
        <v>1556.41</v>
      </c>
      <c r="J13" s="200" t="inlineStr">
        <is>
          <t>Jan</t>
        </is>
      </c>
      <c r="K13" s="199" t="n">
        <v>2025</v>
      </c>
      <c r="L13" s="199" t="n">
        <v>2025</v>
      </c>
    </row>
    <row r="14" ht="15" customHeight="1" s="104">
      <c r="A14" s="194" t="n">
        <v>45688</v>
      </c>
      <c r="B14" s="195" t="inlineStr">
        <is>
          <t>Amazon US</t>
        </is>
      </c>
      <c r="C14" s="195" t="inlineStr">
        <is>
          <t>Refund cost</t>
        </is>
      </c>
      <c r="D14" s="195" t="inlineStr">
        <is>
          <t>Value of returned items</t>
        </is>
      </c>
      <c r="E14" s="196" t="n">
        <v>1574.14</v>
      </c>
      <c r="F14" s="204" t="n">
        <v>0.01759264796</v>
      </c>
      <c r="H14" s="196" t="n">
        <v>1574.14</v>
      </c>
      <c r="J14" s="200" t="inlineStr">
        <is>
          <t>Jan</t>
        </is>
      </c>
      <c r="K14" s="199" t="n">
        <v>2025</v>
      </c>
      <c r="L14" s="199" t="n">
        <v>2025</v>
      </c>
    </row>
    <row r="15" ht="15" customHeight="1" s="104">
      <c r="A15" s="194" t="n">
        <v>45688</v>
      </c>
      <c r="B15" s="195" t="inlineStr">
        <is>
          <t>Amazon US</t>
        </is>
      </c>
      <c r="C15" s="195" t="inlineStr">
        <is>
          <t>Amazon fees</t>
        </is>
      </c>
      <c r="D15" s="195" t="inlineStr">
        <is>
          <t>FBA per unit fulfilment fee</t>
        </is>
      </c>
      <c r="E15" s="196" t="n">
        <v>-16950.99</v>
      </c>
      <c r="F15" s="204" t="n">
        <v>-0.189444903</v>
      </c>
      <c r="H15" s="196" t="n">
        <v>-16950.99</v>
      </c>
      <c r="J15" s="200" t="inlineStr">
        <is>
          <t>Jan</t>
        </is>
      </c>
      <c r="K15" s="199" t="n">
        <v>2025</v>
      </c>
      <c r="L15" s="199" t="n">
        <v>2025</v>
      </c>
    </row>
    <row r="16" ht="15" customHeight="1" s="104">
      <c r="A16" s="194" t="n">
        <v>45688</v>
      </c>
      <c r="B16" s="195" t="inlineStr">
        <is>
          <t>Amazon US</t>
        </is>
      </c>
      <c r="C16" s="195" t="inlineStr">
        <is>
          <t>Amazon fees</t>
        </is>
      </c>
      <c r="D16" s="195" t="inlineStr">
        <is>
          <t>Referral fee</t>
        </is>
      </c>
      <c r="E16" s="196" t="n">
        <v>-13208.49</v>
      </c>
      <c r="F16" s="204" t="n">
        <v>-0.147618582</v>
      </c>
      <c r="H16" s="196" t="n">
        <v>-13208.49</v>
      </c>
      <c r="J16" s="200" t="inlineStr">
        <is>
          <t>Jan</t>
        </is>
      </c>
      <c r="K16" s="199" t="n">
        <v>2025</v>
      </c>
      <c r="L16" s="199" t="n">
        <v>2025</v>
      </c>
    </row>
    <row r="17" ht="15" customHeight="1" s="104">
      <c r="A17" s="194" t="n">
        <v>45688</v>
      </c>
      <c r="B17" s="195" t="inlineStr">
        <is>
          <t>Amazon US</t>
        </is>
      </c>
      <c r="C17" s="195" t="inlineStr">
        <is>
          <t>Amazon fees</t>
        </is>
      </c>
      <c r="D17" s="195" t="inlineStr">
        <is>
          <t>FBA storage fee</t>
        </is>
      </c>
      <c r="E17" s="196" t="n">
        <v>-3257.73</v>
      </c>
      <c r="F17" s="204" t="n">
        <v>-0.03640851323</v>
      </c>
      <c r="H17" s="196" t="n">
        <v>-3257.73</v>
      </c>
      <c r="J17" s="200" t="inlineStr">
        <is>
          <t>Jan</t>
        </is>
      </c>
      <c r="K17" s="199" t="n">
        <v>2025</v>
      </c>
      <c r="L17" s="199" t="n">
        <v>2025</v>
      </c>
    </row>
    <row r="18" ht="15" customHeight="1" s="104">
      <c r="A18" s="194" t="n">
        <v>45688</v>
      </c>
      <c r="B18" s="195" t="inlineStr">
        <is>
          <t>Amazon US</t>
        </is>
      </c>
      <c r="C18" s="195" t="inlineStr">
        <is>
          <t>Amazon fees</t>
        </is>
      </c>
      <c r="D18" s="195" t="inlineStr">
        <is>
          <t>FBA disposal fee</t>
        </is>
      </c>
      <c r="E18" s="196" t="n">
        <v>-832.29</v>
      </c>
      <c r="F18" s="204" t="n">
        <v>-0.009301704402</v>
      </c>
      <c r="H18" s="196" t="n">
        <v>-832.29</v>
      </c>
      <c r="J18" s="200" t="inlineStr">
        <is>
          <t>Jan</t>
        </is>
      </c>
      <c r="K18" s="199" t="n">
        <v>2025</v>
      </c>
      <c r="L18" s="199" t="n">
        <v>2025</v>
      </c>
    </row>
    <row r="19" ht="15" customHeight="1" s="104">
      <c r="A19" s="194" t="n">
        <v>45688</v>
      </c>
      <c r="B19" s="195" t="inlineStr">
        <is>
          <t>Amazon US</t>
        </is>
      </c>
      <c r="C19" s="195" t="inlineStr">
        <is>
          <t>Amazon fees</t>
        </is>
      </c>
      <c r="D19" s="195" t="inlineStr">
        <is>
          <t>AWD transportation fee</t>
        </is>
      </c>
      <c r="E19" s="196" t="n">
        <v>-528.3</v>
      </c>
      <c r="F19" s="204" t="n">
        <v>-0.005904300707</v>
      </c>
      <c r="H19" s="196" t="n">
        <v>-528.3</v>
      </c>
      <c r="J19" s="200" t="inlineStr">
        <is>
          <t>Jan</t>
        </is>
      </c>
      <c r="K19" s="199" t="n">
        <v>2025</v>
      </c>
      <c r="L19" s="199" t="n">
        <v>2025</v>
      </c>
    </row>
    <row r="20" ht="15" customHeight="1" s="104">
      <c r="A20" s="194" t="n">
        <v>45688</v>
      </c>
      <c r="B20" s="195" t="inlineStr">
        <is>
          <t>Amazon US</t>
        </is>
      </c>
      <c r="C20" s="195" t="inlineStr">
        <is>
          <t>Amazon fees</t>
        </is>
      </c>
      <c r="D20" s="195" t="inlineStr">
        <is>
          <t>AWD processing fee</t>
        </is>
      </c>
      <c r="E20" s="196" t="n">
        <v>-447.5</v>
      </c>
      <c r="F20" s="204" t="n">
        <v>-0.005001276862</v>
      </c>
      <c r="H20" s="196" t="n">
        <v>-447.5</v>
      </c>
      <c r="J20" s="200" t="inlineStr">
        <is>
          <t>Jan</t>
        </is>
      </c>
      <c r="K20" s="199" t="n">
        <v>2025</v>
      </c>
      <c r="L20" s="199" t="n">
        <v>2025</v>
      </c>
    </row>
    <row r="21" ht="15" customHeight="1" s="104">
      <c r="A21" s="194" t="n">
        <v>45688</v>
      </c>
      <c r="B21" s="195" t="inlineStr">
        <is>
          <t>Amazon US</t>
        </is>
      </c>
      <c r="C21" s="195" t="inlineStr">
        <is>
          <t>Amazon fees</t>
        </is>
      </c>
      <c r="D21" s="195" t="inlineStr">
        <is>
          <t>FBA inbound convenience fee</t>
        </is>
      </c>
      <c r="E21" s="196" t="n">
        <v>-326</v>
      </c>
      <c r="F21" s="204" t="n">
        <v>-0.003643388284</v>
      </c>
      <c r="H21" s="196" t="n">
        <v>-326</v>
      </c>
      <c r="J21" s="200" t="inlineStr">
        <is>
          <t>Jan</t>
        </is>
      </c>
      <c r="K21" s="199" t="n">
        <v>2025</v>
      </c>
      <c r="L21" s="199" t="n">
        <v>2025</v>
      </c>
    </row>
    <row r="22" ht="15" customHeight="1" s="104">
      <c r="A22" s="194" t="n">
        <v>45688</v>
      </c>
      <c r="B22" s="195" t="inlineStr">
        <is>
          <t>Amazon US</t>
        </is>
      </c>
      <c r="C22" s="195" t="inlineStr">
        <is>
          <t>Amazon fees</t>
        </is>
      </c>
      <c r="D22" s="195" t="inlineStr">
        <is>
          <t>Liquidations brokerage fee</t>
        </is>
      </c>
      <c r="E22" s="196" t="n">
        <v>-184.53</v>
      </c>
      <c r="F22" s="204" t="n">
        <v>-0.002062314233</v>
      </c>
      <c r="H22" s="196" t="n">
        <v>-184.53</v>
      </c>
      <c r="J22" s="200" t="inlineStr">
        <is>
          <t>Jan</t>
        </is>
      </c>
      <c r="K22" s="199" t="n">
        <v>2025</v>
      </c>
      <c r="L22" s="199" t="n">
        <v>2025</v>
      </c>
    </row>
    <row r="23" ht="15" customHeight="1" s="104">
      <c r="A23" s="194" t="n">
        <v>45688</v>
      </c>
      <c r="B23" s="195" t="inlineStr">
        <is>
          <t>Amazon US</t>
        </is>
      </c>
      <c r="C23" s="195" t="inlineStr">
        <is>
          <t>Amazon fees</t>
        </is>
      </c>
      <c r="D23" s="195" t="inlineStr">
        <is>
          <t>Missing from inbound clawback</t>
        </is>
      </c>
      <c r="E23" s="196" t="n">
        <v>-144.78</v>
      </c>
      <c r="F23" s="204" t="n">
        <v>-0.001618066735</v>
      </c>
      <c r="H23" s="196" t="n">
        <v>-144.78</v>
      </c>
      <c r="J23" s="200" t="inlineStr">
        <is>
          <t>Jan</t>
        </is>
      </c>
      <c r="K23" s="199" t="n">
        <v>2025</v>
      </c>
      <c r="L23" s="199" t="n">
        <v>2025</v>
      </c>
    </row>
    <row r="24" ht="15" customHeight="1" s="104">
      <c r="A24" s="194" t="n">
        <v>45688</v>
      </c>
      <c r="B24" s="195" t="inlineStr">
        <is>
          <t>Amazon US</t>
        </is>
      </c>
      <c r="C24" s="195" t="inlineStr">
        <is>
          <t>Amazon fees</t>
        </is>
      </c>
      <c r="D24" s="195" t="inlineStr">
        <is>
          <t>Customer Return HRR Unit Fee</t>
        </is>
      </c>
      <c r="E24" s="196" t="n">
        <v>-52.2</v>
      </c>
      <c r="F24" s="204" t="n">
        <v>-0.000583389167</v>
      </c>
      <c r="H24" s="196" t="n">
        <v>-52.2</v>
      </c>
      <c r="J24" s="200" t="inlineStr">
        <is>
          <t>Jan</t>
        </is>
      </c>
      <c r="K24" s="199" t="n">
        <v>2025</v>
      </c>
      <c r="L24" s="199" t="n">
        <v>2025</v>
      </c>
    </row>
    <row r="25" ht="15" customHeight="1" s="104">
      <c r="A25" s="194" t="n">
        <v>45688</v>
      </c>
      <c r="B25" s="195" t="inlineStr">
        <is>
          <t>Amazon US</t>
        </is>
      </c>
      <c r="C25" s="195" t="inlineStr">
        <is>
          <t>Amazon fees</t>
        </is>
      </c>
      <c r="D25" s="195" t="inlineStr">
        <is>
          <t>Subscription</t>
        </is>
      </c>
      <c r="E25" s="196" t="n">
        <v>-39.93</v>
      </c>
      <c r="F25" s="204" t="n">
        <v>-0.0004462591846</v>
      </c>
      <c r="H25" s="196" t="n">
        <v>-39.93</v>
      </c>
      <c r="J25" s="200" t="inlineStr">
        <is>
          <t>Jan</t>
        </is>
      </c>
      <c r="K25" s="199" t="n">
        <v>2025</v>
      </c>
      <c r="L25" s="199" t="n">
        <v>2025</v>
      </c>
    </row>
    <row r="26" ht="15" customHeight="1" s="104">
      <c r="A26" s="194" t="n">
        <v>45688</v>
      </c>
      <c r="B26" s="195" t="inlineStr">
        <is>
          <t>Amazon US</t>
        </is>
      </c>
      <c r="C26" s="195" t="inlineStr">
        <is>
          <t>Amazon fees</t>
        </is>
      </c>
      <c r="D26" s="195" t="inlineStr">
        <is>
          <t>Get paid faster fee</t>
        </is>
      </c>
      <c r="E26" s="196" t="n">
        <v>-38.84</v>
      </c>
      <c r="F26" s="204" t="n">
        <v>-0.0004340773035</v>
      </c>
      <c r="H26" s="196" t="n">
        <v>-38.84</v>
      </c>
      <c r="J26" s="200" t="inlineStr">
        <is>
          <t>Jan</t>
        </is>
      </c>
      <c r="K26" s="199" t="n">
        <v>2025</v>
      </c>
      <c r="L26" s="199" t="n">
        <v>2025</v>
      </c>
    </row>
    <row r="27" ht="15" customHeight="1" s="104">
      <c r="A27" s="194" t="n">
        <v>45688</v>
      </c>
      <c r="B27" s="195" t="inlineStr">
        <is>
          <t>Amazon US</t>
        </is>
      </c>
      <c r="C27" s="195" t="inlineStr">
        <is>
          <t>Amazon fees</t>
        </is>
      </c>
      <c r="D27" s="195" t="inlineStr">
        <is>
          <t>Compensated clawback</t>
        </is>
      </c>
      <c r="E27" s="196" t="n">
        <v>-25.48</v>
      </c>
      <c r="F27" s="204" t="n">
        <v>-0.0002847654401</v>
      </c>
      <c r="H27" s="196" t="n">
        <v>-25.48</v>
      </c>
      <c r="J27" s="200" t="inlineStr">
        <is>
          <t>Jan</t>
        </is>
      </c>
      <c r="K27" s="199" t="n">
        <v>2025</v>
      </c>
      <c r="L27" s="199" t="n">
        <v>2025</v>
      </c>
    </row>
    <row r="28" ht="15" customHeight="1" s="104">
      <c r="A28" s="194" t="n">
        <v>45688</v>
      </c>
      <c r="B28" s="195" t="inlineStr">
        <is>
          <t>Amazon US</t>
        </is>
      </c>
      <c r="C28" s="195" t="inlineStr">
        <is>
          <t>Amazon fees</t>
        </is>
      </c>
      <c r="D28" s="195" t="inlineStr">
        <is>
          <t>Star storage fee</t>
        </is>
      </c>
      <c r="E28" s="196" t="n">
        <v>-1.23</v>
      </c>
      <c r="F28" s="204" t="n">
        <v>-1.374652635e-05</v>
      </c>
      <c r="H28" s="196" t="n">
        <v>-1.23</v>
      </c>
      <c r="J28" s="200" t="inlineStr">
        <is>
          <t>Jan</t>
        </is>
      </c>
      <c r="K28" s="199" t="n">
        <v>2025</v>
      </c>
      <c r="L28" s="199" t="n">
        <v>2025</v>
      </c>
    </row>
    <row r="29" ht="15" customHeight="1" s="104">
      <c r="A29" s="194" t="n">
        <v>45688</v>
      </c>
      <c r="B29" s="195" t="inlineStr">
        <is>
          <t>Amazon US</t>
        </is>
      </c>
      <c r="C29" s="195" t="inlineStr">
        <is>
          <t>Amazon fees</t>
        </is>
      </c>
      <c r="D29" s="195" t="inlineStr">
        <is>
          <t>Free replacement refund items</t>
        </is>
      </c>
      <c r="E29" s="196" t="n">
        <v>25.41</v>
      </c>
      <c r="F29" s="204" t="n">
        <v>0.0002839831175</v>
      </c>
      <c r="H29" s="196" t="n">
        <v>25.41</v>
      </c>
      <c r="J29" s="200" t="inlineStr">
        <is>
          <t>Jan</t>
        </is>
      </c>
      <c r="K29" s="199" t="n">
        <v>2025</v>
      </c>
      <c r="L29" s="199" t="n">
        <v>2025</v>
      </c>
    </row>
    <row r="30" ht="15" customHeight="1" s="104">
      <c r="A30" s="194" t="n">
        <v>45688</v>
      </c>
      <c r="B30" s="195" t="inlineStr">
        <is>
          <t>Amazon US</t>
        </is>
      </c>
      <c r="C30" s="195" t="inlineStr">
        <is>
          <t>Amazon fees</t>
        </is>
      </c>
      <c r="D30" s="195" t="inlineStr">
        <is>
          <t>Warehouse lost</t>
        </is>
      </c>
      <c r="E30" s="196" t="n">
        <v>145.25</v>
      </c>
      <c r="F30" s="204" t="n">
        <v>0.001623319473</v>
      </c>
      <c r="H30" s="196" t="n">
        <v>145.25</v>
      </c>
      <c r="J30" s="200" t="inlineStr">
        <is>
          <t>Jan</t>
        </is>
      </c>
      <c r="K30" s="199" t="n">
        <v>2025</v>
      </c>
      <c r="L30" s="199" t="n">
        <v>2025</v>
      </c>
    </row>
    <row r="31" ht="15" customHeight="1" s="104">
      <c r="A31" s="194" t="n">
        <v>45688</v>
      </c>
      <c r="B31" s="195" t="inlineStr">
        <is>
          <t>Amazon US</t>
        </is>
      </c>
      <c r="C31" s="195" t="inlineStr">
        <is>
          <t>Amazon fees</t>
        </is>
      </c>
      <c r="D31" s="195" t="inlineStr">
        <is>
          <t>Missing from inbound</t>
        </is>
      </c>
      <c r="E31" s="196" t="n">
        <v>168.03</v>
      </c>
      <c r="F31" s="204" t="n">
        <v>0.001877909612</v>
      </c>
      <c r="H31" s="196" t="n">
        <v>168.03</v>
      </c>
      <c r="J31" s="200" t="inlineStr">
        <is>
          <t>Jan</t>
        </is>
      </c>
      <c r="K31" s="199" t="n">
        <v>2025</v>
      </c>
      <c r="L31" s="199" t="n">
        <v>2025</v>
      </c>
    </row>
    <row r="32" ht="15" customHeight="1" s="104">
      <c r="A32" s="194" t="n">
        <v>45688</v>
      </c>
      <c r="B32" s="195" t="inlineStr">
        <is>
          <t>Amazon US</t>
        </is>
      </c>
      <c r="C32" s="195" t="inlineStr">
        <is>
          <t>Amazon fees</t>
        </is>
      </c>
      <c r="D32" s="195" t="inlineStr">
        <is>
          <t>Warehouse damage</t>
        </is>
      </c>
      <c r="E32" s="196" t="n">
        <v>370.06</v>
      </c>
      <c r="F32" s="204" t="n">
        <v>0.004135804504</v>
      </c>
      <c r="H32" s="196" t="n">
        <v>370.06</v>
      </c>
      <c r="J32" s="200" t="inlineStr">
        <is>
          <t>Jan</t>
        </is>
      </c>
      <c r="K32" s="199" t="n">
        <v>2025</v>
      </c>
      <c r="L32" s="199" t="n">
        <v>2025</v>
      </c>
    </row>
    <row r="33" ht="15" customHeight="1" s="104">
      <c r="A33" s="194" t="n">
        <v>45688</v>
      </c>
      <c r="B33" s="195" t="inlineStr">
        <is>
          <t>Amazon US</t>
        </is>
      </c>
      <c r="C33" s="195" t="inlineStr">
        <is>
          <t>Amazon fees</t>
        </is>
      </c>
      <c r="D33" s="195" t="inlineStr">
        <is>
          <t>Liquidations revenue</t>
        </is>
      </c>
      <c r="E33" s="196" t="n">
        <v>398.19</v>
      </c>
      <c r="F33" s="204" t="n">
        <v>0.004450186444</v>
      </c>
      <c r="H33" s="196" t="n">
        <v>398.19</v>
      </c>
      <c r="J33" s="200" t="inlineStr">
        <is>
          <t>Jan</t>
        </is>
      </c>
      <c r="K33" s="199" t="n">
        <v>2025</v>
      </c>
      <c r="L33" s="199" t="n">
        <v>2025</v>
      </c>
    </row>
    <row r="34" ht="15" customHeight="1" s="104">
      <c r="A34" s="194" t="n">
        <v>45688</v>
      </c>
      <c r="B34" s="195" t="inlineStr">
        <is>
          <t>Amazon US</t>
        </is>
      </c>
      <c r="C34" s="195" t="inlineStr">
        <is>
          <t>Amazon fees</t>
        </is>
      </c>
      <c r="D34" s="195" t="inlineStr">
        <is>
          <t>Reversal reimbursement</t>
        </is>
      </c>
      <c r="E34" s="196" t="n">
        <v>669.49</v>
      </c>
      <c r="F34" s="204" t="n">
        <v>0.007482245467</v>
      </c>
      <c r="H34" s="196" t="n">
        <v>669.49</v>
      </c>
      <c r="J34" s="200" t="inlineStr">
        <is>
          <t>Jan</t>
        </is>
      </c>
      <c r="K34" s="199" t="n">
        <v>2025</v>
      </c>
      <c r="L34" s="199" t="n">
        <v>2025</v>
      </c>
    </row>
    <row r="35" ht="15" customHeight="1" s="104">
      <c r="A35" s="194" t="n">
        <v>45688</v>
      </c>
      <c r="B35" s="195" t="inlineStr">
        <is>
          <t>Amazon US</t>
        </is>
      </c>
      <c r="C35" s="195" t="inlineStr">
        <is>
          <t>Cost of goods</t>
        </is>
      </c>
      <c r="D35" s="195" t="inlineStr">
        <is>
          <t>Cost of goods sold</t>
        </is>
      </c>
      <c r="E35" s="196" t="n">
        <v>-24946.23</v>
      </c>
      <c r="F35" s="204" t="n">
        <v>-0.2788000065</v>
      </c>
      <c r="H35" s="196" t="n">
        <v>-24946.23</v>
      </c>
      <c r="J35" s="200" t="inlineStr">
        <is>
          <t>Jan</t>
        </is>
      </c>
      <c r="K35" s="199" t="n">
        <v>2025</v>
      </c>
      <c r="L35" s="199" t="n">
        <v>2025</v>
      </c>
    </row>
    <row r="36" ht="15" customHeight="1" s="104">
      <c r="A36" s="194" t="n">
        <v>45688</v>
      </c>
      <c r="B36" s="195" t="inlineStr">
        <is>
          <t>Amazon US</t>
        </is>
      </c>
      <c r="C36" s="195" t="inlineStr">
        <is>
          <t>Cost of goods</t>
        </is>
      </c>
      <c r="D36" s="195" t="inlineStr">
        <is>
          <t>Lost/damaged by Amazon</t>
        </is>
      </c>
      <c r="E36" s="196" t="n">
        <v>-204.18</v>
      </c>
      <c r="F36" s="204" t="n">
        <v>-0.002281923374</v>
      </c>
      <c r="H36" s="196" t="n">
        <v>-204.18</v>
      </c>
      <c r="J36" s="200" t="inlineStr">
        <is>
          <t>Jan</t>
        </is>
      </c>
      <c r="K36" s="199" t="n">
        <v>2025</v>
      </c>
      <c r="L36" s="199" t="n">
        <v>2025</v>
      </c>
    </row>
    <row r="37" ht="15" customHeight="1" s="104">
      <c r="A37" s="194" t="n">
        <v>45688</v>
      </c>
      <c r="B37" s="195" t="inlineStr">
        <is>
          <t>Amazon CA</t>
        </is>
      </c>
      <c r="C37" s="195" t="inlineStr">
        <is>
          <t>Advertising cost</t>
        </is>
      </c>
      <c r="D37" s="195" t="inlineStr">
        <is>
          <t>Sponsored Products</t>
        </is>
      </c>
      <c r="E37" s="196" t="n">
        <v>-111.34</v>
      </c>
      <c r="F37" s="204" t="n">
        <v>-0.05998049853</v>
      </c>
      <c r="H37" s="196" t="n">
        <v>-111.34</v>
      </c>
      <c r="J37" s="200" t="inlineStr">
        <is>
          <t>Jan</t>
        </is>
      </c>
      <c r="K37" s="199" t="n">
        <v>2025</v>
      </c>
      <c r="L37" s="199" t="n">
        <v>2025</v>
      </c>
    </row>
    <row r="38" ht="15" customHeight="1" s="104">
      <c r="A38" s="194" t="n">
        <v>45688</v>
      </c>
      <c r="B38" s="195" t="inlineStr">
        <is>
          <t>Amazon CA</t>
        </is>
      </c>
      <c r="C38" s="195" t="inlineStr">
        <is>
          <t>Advertising cost</t>
        </is>
      </c>
      <c r="D38" s="195" t="inlineStr">
        <is>
          <t>Sponsored Brands Video</t>
        </is>
      </c>
      <c r="E38" s="198" t="n">
        <v>0</v>
      </c>
      <c r="F38" s="201" t="n">
        <v>0</v>
      </c>
      <c r="H38" s="198" t="n">
        <v>0</v>
      </c>
      <c r="J38" s="200" t="inlineStr">
        <is>
          <t>Jan</t>
        </is>
      </c>
      <c r="K38" s="199" t="n">
        <v>2025</v>
      </c>
      <c r="L38" s="199" t="n">
        <v>2025</v>
      </c>
    </row>
    <row r="39" ht="15" customHeight="1" s="104">
      <c r="A39" s="194" t="n">
        <v>45688</v>
      </c>
      <c r="B39" s="195" t="inlineStr">
        <is>
          <t>Amazon CA</t>
        </is>
      </c>
      <c r="C39" s="195" t="inlineStr">
        <is>
          <t>Advertising cost</t>
        </is>
      </c>
      <c r="D39" s="195" t="inlineStr">
        <is>
          <t>Sponsored Display</t>
        </is>
      </c>
      <c r="E39" s="198" t="n">
        <v>0</v>
      </c>
      <c r="F39" s="201" t="n">
        <v>0</v>
      </c>
      <c r="H39" s="198" t="n">
        <v>0</v>
      </c>
      <c r="J39" s="200" t="inlineStr">
        <is>
          <t>Jan</t>
        </is>
      </c>
      <c r="K39" s="199" t="n">
        <v>2025</v>
      </c>
      <c r="L39" s="199" t="n">
        <v>2025</v>
      </c>
    </row>
    <row r="40" ht="15" customHeight="1" s="104">
      <c r="A40" s="194" t="n">
        <v>45688</v>
      </c>
      <c r="B40" s="195" t="inlineStr">
        <is>
          <t>Amazon CA</t>
        </is>
      </c>
      <c r="C40" s="195" t="inlineStr">
        <is>
          <t>Advertising cost</t>
        </is>
      </c>
      <c r="D40" s="195" t="inlineStr">
        <is>
          <t>Sponsored Brands</t>
        </is>
      </c>
      <c r="E40" s="198" t="n">
        <v>0</v>
      </c>
      <c r="F40" s="201" t="n">
        <v>0</v>
      </c>
      <c r="H40" s="198" t="n">
        <v>0</v>
      </c>
      <c r="J40" s="200" t="inlineStr">
        <is>
          <t>Jan</t>
        </is>
      </c>
      <c r="K40" s="199" t="n">
        <v>2025</v>
      </c>
      <c r="L40" s="199" t="n">
        <v>2025</v>
      </c>
    </row>
    <row r="41" ht="15" customHeight="1" s="104">
      <c r="A41" s="194" t="n">
        <v>45688</v>
      </c>
      <c r="B41" s="195" t="inlineStr">
        <is>
          <t>Amazon CA</t>
        </is>
      </c>
      <c r="C41" s="195" t="inlineStr">
        <is>
          <t>Refund cost</t>
        </is>
      </c>
      <c r="D41" s="195" t="inlineStr">
        <is>
          <t>Refunded amount</t>
        </is>
      </c>
      <c r="E41" s="196" t="n">
        <v>-359.03</v>
      </c>
      <c r="F41" s="204" t="n">
        <v>-0.1934147511</v>
      </c>
      <c r="H41" s="196" t="n">
        <v>-359.03</v>
      </c>
      <c r="J41" s="200" t="inlineStr">
        <is>
          <t>Jan</t>
        </is>
      </c>
      <c r="K41" s="199" t="n">
        <v>2025</v>
      </c>
      <c r="L41" s="199" t="n">
        <v>2025</v>
      </c>
    </row>
    <row r="42" ht="15" customHeight="1" s="104">
      <c r="A42" s="194" t="n">
        <v>45688</v>
      </c>
      <c r="B42" s="195" t="inlineStr">
        <is>
          <t>Amazon CA</t>
        </is>
      </c>
      <c r="C42" s="195" t="inlineStr">
        <is>
          <t>Refund cost</t>
        </is>
      </c>
      <c r="D42" s="195" t="inlineStr">
        <is>
          <t>Refund commission</t>
        </is>
      </c>
      <c r="E42" s="196" t="n">
        <v>-10.77</v>
      </c>
      <c r="F42" s="204" t="n">
        <v>-0.005801957689</v>
      </c>
      <c r="H42" s="196" t="n">
        <v>-10.77</v>
      </c>
      <c r="J42" s="200" t="inlineStr">
        <is>
          <t>Jan</t>
        </is>
      </c>
      <c r="K42" s="199" t="n">
        <v>2025</v>
      </c>
      <c r="L42" s="199" t="n">
        <v>2025</v>
      </c>
    </row>
    <row r="43" ht="15" customHeight="1" s="104">
      <c r="A43" s="194" t="n">
        <v>45688</v>
      </c>
      <c r="B43" s="195" t="inlineStr">
        <is>
          <t>Amazon CA</t>
        </is>
      </c>
      <c r="C43" s="195" t="inlineStr">
        <is>
          <t>Refund cost</t>
        </is>
      </c>
      <c r="D43" s="195" t="inlineStr">
        <is>
          <t>Refunded referral fee</t>
        </is>
      </c>
      <c r="E43" s="196" t="n">
        <v>53.86</v>
      </c>
      <c r="F43" s="204" t="n">
        <v>0.02901517559</v>
      </c>
      <c r="H43" s="196" t="n">
        <v>53.86</v>
      </c>
      <c r="J43" s="200" t="inlineStr">
        <is>
          <t>Jan</t>
        </is>
      </c>
      <c r="K43" s="199" t="n">
        <v>2025</v>
      </c>
      <c r="L43" s="199" t="n">
        <v>2025</v>
      </c>
    </row>
    <row r="44" ht="15" customHeight="1" s="104">
      <c r="A44" s="194" t="n">
        <v>45688</v>
      </c>
      <c r="B44" s="195" t="inlineStr">
        <is>
          <t>Amazon CA</t>
        </is>
      </c>
      <c r="C44" s="195" t="inlineStr">
        <is>
          <t>Refund cost</t>
        </is>
      </c>
      <c r="D44" s="195" t="inlineStr">
        <is>
          <t>Value of returned items</t>
        </is>
      </c>
      <c r="E44" s="196" t="n">
        <v>21.59</v>
      </c>
      <c r="F44" s="204" t="n">
        <v>0.01163085112</v>
      </c>
      <c r="H44" s="196" t="n">
        <v>21.59</v>
      </c>
      <c r="J44" s="200" t="inlineStr">
        <is>
          <t>Jan</t>
        </is>
      </c>
      <c r="K44" s="199" t="n">
        <v>2025</v>
      </c>
      <c r="L44" s="199" t="n">
        <v>2025</v>
      </c>
    </row>
    <row r="45" ht="15" customHeight="1" s="104">
      <c r="A45" s="194" t="n">
        <v>45688</v>
      </c>
      <c r="B45" s="195" t="inlineStr">
        <is>
          <t>Amazon CA</t>
        </is>
      </c>
      <c r="C45" s="195" t="inlineStr">
        <is>
          <t>Amazon fees</t>
        </is>
      </c>
      <c r="D45" s="195" t="inlineStr">
        <is>
          <t>FBA per unit fulfilment fee</t>
        </is>
      </c>
      <c r="E45" s="196" t="n">
        <v>-605.7</v>
      </c>
      <c r="F45" s="204" t="n">
        <v>-0.3262995146</v>
      </c>
      <c r="H45" s="196" t="n">
        <v>-605.7</v>
      </c>
      <c r="J45" s="200" t="inlineStr">
        <is>
          <t>Jan</t>
        </is>
      </c>
      <c r="K45" s="199" t="n">
        <v>2025</v>
      </c>
      <c r="L45" s="199" t="n">
        <v>2025</v>
      </c>
    </row>
    <row r="46" ht="15" customHeight="1" s="104">
      <c r="A46" s="194" t="n">
        <v>45688</v>
      </c>
      <c r="B46" s="195" t="inlineStr">
        <is>
          <t>Amazon CA</t>
        </is>
      </c>
      <c r="C46" s="195" t="inlineStr">
        <is>
          <t>Amazon fees</t>
        </is>
      </c>
      <c r="D46" s="195" t="inlineStr">
        <is>
          <t>Referral fee</t>
        </is>
      </c>
      <c r="E46" s="196" t="n">
        <v>-278.8</v>
      </c>
      <c r="F46" s="204" t="n">
        <v>-0.1501936679</v>
      </c>
      <c r="H46" s="196" t="n">
        <v>-278.8</v>
      </c>
      <c r="J46" s="200" t="inlineStr">
        <is>
          <t>Jan</t>
        </is>
      </c>
      <c r="K46" s="199" t="n">
        <v>2025</v>
      </c>
      <c r="L46" s="199" t="n">
        <v>2025</v>
      </c>
    </row>
    <row r="47" ht="15" customHeight="1" s="104">
      <c r="A47" s="194" t="n">
        <v>45688</v>
      </c>
      <c r="B47" s="195" t="inlineStr">
        <is>
          <t>Amazon CA</t>
        </is>
      </c>
      <c r="C47" s="195" t="inlineStr">
        <is>
          <t>Amazon fees</t>
        </is>
      </c>
      <c r="D47" s="195" t="inlineStr">
        <is>
          <t>FBA storage fee</t>
        </is>
      </c>
      <c r="E47" s="196" t="n">
        <v>-37.89</v>
      </c>
      <c r="F47" s="204" t="n">
        <v>-0.02041190129</v>
      </c>
      <c r="H47" s="196" t="n">
        <v>-37.89</v>
      </c>
      <c r="J47" s="200" t="inlineStr">
        <is>
          <t>Jan</t>
        </is>
      </c>
      <c r="K47" s="199" t="n">
        <v>2025</v>
      </c>
      <c r="L47" s="199" t="n">
        <v>2025</v>
      </c>
    </row>
    <row r="48" ht="15" customHeight="1" s="104">
      <c r="A48" s="194" t="n">
        <v>45688</v>
      </c>
      <c r="B48" s="195" t="inlineStr">
        <is>
          <t>Amazon CA</t>
        </is>
      </c>
      <c r="C48" s="195" t="inlineStr">
        <is>
          <t>Amazon fees</t>
        </is>
      </c>
      <c r="D48" s="195" t="inlineStr">
        <is>
          <t>Digital services fee</t>
        </is>
      </c>
      <c r="E48" s="196" t="n">
        <v>-5.6</v>
      </c>
      <c r="F48" s="204" t="n">
        <v>-0.003016802513</v>
      </c>
      <c r="H48" s="196" t="n">
        <v>-5.6</v>
      </c>
      <c r="J48" s="200" t="inlineStr">
        <is>
          <t>Jan</t>
        </is>
      </c>
      <c r="K48" s="199" t="n">
        <v>2025</v>
      </c>
      <c r="L48" s="199" t="n">
        <v>2025</v>
      </c>
    </row>
    <row r="49" ht="15" customHeight="1" s="104">
      <c r="A49" s="194" t="n">
        <v>45688</v>
      </c>
      <c r="B49" s="195" t="inlineStr">
        <is>
          <t>Amazon CA</t>
        </is>
      </c>
      <c r="C49" s="195" t="inlineStr">
        <is>
          <t>Cost of goods</t>
        </is>
      </c>
      <c r="D49" s="195" t="inlineStr">
        <is>
          <t>Cost of goods sold</t>
        </is>
      </c>
      <c r="E49" s="196" t="n">
        <v>-234.18</v>
      </c>
      <c r="F49" s="204" t="n">
        <v>-0.1261562165</v>
      </c>
      <c r="H49" s="196" t="n">
        <v>-234.18</v>
      </c>
      <c r="J49" s="200" t="inlineStr">
        <is>
          <t>Jan</t>
        </is>
      </c>
      <c r="K49" s="199" t="n">
        <v>2025</v>
      </c>
      <c r="L49" s="199" t="n">
        <v>2025</v>
      </c>
    </row>
    <row r="50" ht="15" customHeight="1" s="104">
      <c r="A50" s="194" t="n">
        <v>45688</v>
      </c>
      <c r="B50" s="195" t="inlineStr">
        <is>
          <t>Tiktok</t>
        </is>
      </c>
      <c r="C50" s="195" t="inlineStr">
        <is>
          <t>Tiktok Shipping</t>
        </is>
      </c>
      <c r="D50" s="195" t="inlineStr">
        <is>
          <t>TikTok Shop shipping fee</t>
        </is>
      </c>
      <c r="E50" s="198" t="n">
        <v>0</v>
      </c>
      <c r="F50" s="201" t="n">
        <v>0</v>
      </c>
      <c r="H50" s="198" t="n">
        <v>0</v>
      </c>
      <c r="J50" s="200" t="inlineStr">
        <is>
          <t>Jan</t>
        </is>
      </c>
      <c r="K50" s="199" t="n">
        <v>2025</v>
      </c>
      <c r="L50" s="199" t="n">
        <v>2025</v>
      </c>
    </row>
    <row r="51" ht="15" customHeight="1" s="104">
      <c r="A51" s="194" t="n">
        <v>45688</v>
      </c>
      <c r="B51" s="195" t="inlineStr">
        <is>
          <t>Tiktok</t>
        </is>
      </c>
      <c r="C51" s="195" t="inlineStr">
        <is>
          <t>Tiktok Shipping</t>
        </is>
      </c>
      <c r="D51" s="195" t="inlineStr">
        <is>
          <t>Fulfilled by TikTok Shop (FBT) shipping fee</t>
        </is>
      </c>
      <c r="E51" s="198" t="n">
        <v>0</v>
      </c>
      <c r="F51" s="201" t="n">
        <v>0</v>
      </c>
      <c r="H51" s="198" t="n">
        <v>0</v>
      </c>
      <c r="J51" s="200" t="inlineStr">
        <is>
          <t>Jan</t>
        </is>
      </c>
      <c r="K51" s="199" t="n">
        <v>2025</v>
      </c>
      <c r="L51" s="199" t="n">
        <v>2025</v>
      </c>
    </row>
    <row r="52" ht="15" customHeight="1" s="104">
      <c r="A52" s="194" t="n">
        <v>45688</v>
      </c>
      <c r="B52" s="195" t="inlineStr">
        <is>
          <t>Tiktok</t>
        </is>
      </c>
      <c r="C52" s="195" t="inlineStr">
        <is>
          <t>Tiktok Shipping</t>
        </is>
      </c>
      <c r="D52" s="195" t="inlineStr">
        <is>
          <t>Signature confirmation service fee</t>
        </is>
      </c>
      <c r="E52" s="198" t="n">
        <v>0</v>
      </c>
      <c r="F52" s="201" t="n">
        <v>0</v>
      </c>
      <c r="H52" s="198" t="n">
        <v>0</v>
      </c>
      <c r="J52" s="200" t="inlineStr">
        <is>
          <t>Jan</t>
        </is>
      </c>
      <c r="K52" s="199" t="n">
        <v>2025</v>
      </c>
      <c r="L52" s="199" t="n">
        <v>2025</v>
      </c>
    </row>
    <row r="53" ht="15" customHeight="1" s="104">
      <c r="A53" s="194" t="n">
        <v>45688</v>
      </c>
      <c r="B53" s="195" t="inlineStr">
        <is>
          <t>Tiktok</t>
        </is>
      </c>
      <c r="C53" s="195" t="inlineStr">
        <is>
          <t>Tiktok Shipping</t>
        </is>
      </c>
      <c r="D53" s="195" t="inlineStr">
        <is>
          <t>Shipping insurance fee</t>
        </is>
      </c>
      <c r="E53" s="198" t="n">
        <v>0</v>
      </c>
      <c r="F53" s="201" t="n">
        <v>0</v>
      </c>
      <c r="H53" s="198" t="n">
        <v>0</v>
      </c>
      <c r="J53" s="200" t="inlineStr">
        <is>
          <t>Jan</t>
        </is>
      </c>
      <c r="K53" s="199" t="n">
        <v>2025</v>
      </c>
      <c r="L53" s="199" t="n">
        <v>2025</v>
      </c>
    </row>
    <row r="54" ht="15" customHeight="1" s="104">
      <c r="A54" s="194" t="n">
        <v>45688</v>
      </c>
      <c r="B54" s="195" t="inlineStr">
        <is>
          <t>Tiktok</t>
        </is>
      </c>
      <c r="C54" s="195" t="inlineStr">
        <is>
          <t>Tiktok Shipping</t>
        </is>
      </c>
      <c r="D54" s="195" t="inlineStr">
        <is>
          <t>Customer-paid shipping fee</t>
        </is>
      </c>
      <c r="E54" s="196" t="n">
        <v>178.17</v>
      </c>
      <c r="F54" s="204" t="n">
        <v>0.02133069947</v>
      </c>
      <c r="H54" s="196" t="n">
        <v>178.17</v>
      </c>
      <c r="J54" s="200" t="inlineStr">
        <is>
          <t>Jan</t>
        </is>
      </c>
      <c r="K54" s="199" t="n">
        <v>2025</v>
      </c>
      <c r="L54" s="199" t="n">
        <v>2025</v>
      </c>
    </row>
    <row r="55" ht="15" customHeight="1" s="104">
      <c r="A55" s="194" t="n">
        <v>45688</v>
      </c>
      <c r="B55" s="195" t="inlineStr">
        <is>
          <t>Tiktok</t>
        </is>
      </c>
      <c r="C55" s="195" t="inlineStr">
        <is>
          <t>Tiktok Shipping</t>
        </is>
      </c>
      <c r="D55" s="195" t="inlineStr">
        <is>
          <t>Customer-paid shipping fee refund</t>
        </is>
      </c>
      <c r="E55" s="196" t="n">
        <v>-11.98</v>
      </c>
      <c r="F55" s="204" t="n">
        <v>-0.001434258178</v>
      </c>
      <c r="H55" s="196" t="n">
        <v>-11.98</v>
      </c>
      <c r="J55" s="200" t="inlineStr">
        <is>
          <t>Jan</t>
        </is>
      </c>
      <c r="K55" s="199" t="n">
        <v>2025</v>
      </c>
      <c r="L55" s="199" t="n">
        <v>2025</v>
      </c>
    </row>
    <row r="56" ht="15" customHeight="1" s="104">
      <c r="A56" s="194" t="n">
        <v>45688</v>
      </c>
      <c r="B56" s="195" t="inlineStr">
        <is>
          <t>Tiktok</t>
        </is>
      </c>
      <c r="C56" s="195" t="inlineStr">
        <is>
          <t>Tiktok Shipping</t>
        </is>
      </c>
      <c r="D56" s="195" t="inlineStr">
        <is>
          <t>TikTok Shop shipping incentive</t>
        </is>
      </c>
      <c r="E56" s="196" t="n">
        <v>325.13</v>
      </c>
      <c r="F56" s="204" t="n">
        <v>0.03892490497</v>
      </c>
      <c r="H56" s="196" t="n">
        <v>325.13</v>
      </c>
      <c r="J56" s="200" t="inlineStr">
        <is>
          <t>Jan</t>
        </is>
      </c>
      <c r="K56" s="199" t="n">
        <v>2025</v>
      </c>
      <c r="L56" s="199" t="n">
        <v>2025</v>
      </c>
    </row>
    <row r="57" ht="15" customHeight="1" s="104">
      <c r="A57" s="194" t="n">
        <v>45688</v>
      </c>
      <c r="B57" s="195" t="inlineStr">
        <is>
          <t>Tiktok</t>
        </is>
      </c>
      <c r="C57" s="195" t="inlineStr">
        <is>
          <t>Tiktok Shipping</t>
        </is>
      </c>
      <c r="D57" s="195" t="inlineStr">
        <is>
          <t>TikTok Shop shipping incentive refund</t>
        </is>
      </c>
      <c r="E57" s="196" t="n">
        <v>-3.94</v>
      </c>
      <c r="F57" s="204" t="n">
        <v>-0.0004717009368</v>
      </c>
      <c r="H57" s="196" t="n">
        <v>-3.94</v>
      </c>
      <c r="J57" s="200" t="inlineStr">
        <is>
          <t>Jan</t>
        </is>
      </c>
      <c r="K57" s="199" t="n">
        <v>2025</v>
      </c>
      <c r="L57" s="199" t="n">
        <v>2025</v>
      </c>
    </row>
    <row r="58" ht="15" customHeight="1" s="104">
      <c r="A58" s="194" t="n">
        <v>45688</v>
      </c>
      <c r="B58" s="195" t="inlineStr">
        <is>
          <t>Tiktok</t>
        </is>
      </c>
      <c r="C58" s="195" t="inlineStr">
        <is>
          <t>Tiktok Shipping</t>
        </is>
      </c>
      <c r="D58" s="195" t="inlineStr">
        <is>
          <t>Shipping fee subsidy</t>
        </is>
      </c>
      <c r="E58" s="198" t="n">
        <v>0</v>
      </c>
      <c r="F58" s="201" t="n">
        <v>0</v>
      </c>
      <c r="H58" s="198" t="n">
        <v>0</v>
      </c>
      <c r="J58" s="200" t="inlineStr">
        <is>
          <t>Jan</t>
        </is>
      </c>
      <c r="K58" s="199" t="n">
        <v>2025</v>
      </c>
      <c r="L58" s="199" t="n">
        <v>2025</v>
      </c>
    </row>
    <row r="59" ht="15" customHeight="1" s="104">
      <c r="A59" s="194" t="n">
        <v>45688</v>
      </c>
      <c r="B59" s="195" t="inlineStr">
        <is>
          <t>Tiktok</t>
        </is>
      </c>
      <c r="C59" s="195" t="inlineStr">
        <is>
          <t>Tiktok Shipping</t>
        </is>
      </c>
      <c r="D59" s="195" t="inlineStr">
        <is>
          <t>Return shipping fee</t>
        </is>
      </c>
      <c r="E59" s="198" t="n">
        <v>0</v>
      </c>
      <c r="F59" s="201" t="n">
        <v>0</v>
      </c>
      <c r="H59" s="198" t="n">
        <v>0</v>
      </c>
      <c r="J59" s="200" t="inlineStr">
        <is>
          <t>Jan</t>
        </is>
      </c>
      <c r="K59" s="199" t="n">
        <v>2025</v>
      </c>
      <c r="L59" s="199" t="n">
        <v>2025</v>
      </c>
    </row>
    <row r="60" ht="15" customHeight="1" s="104">
      <c r="A60" s="194" t="n">
        <v>45688</v>
      </c>
      <c r="B60" s="195" t="inlineStr">
        <is>
          <t>Tiktok</t>
        </is>
      </c>
      <c r="C60" s="195" t="inlineStr">
        <is>
          <t>Tiktok Shipping</t>
        </is>
      </c>
      <c r="D60" s="195" t="inlineStr">
        <is>
          <t>FBT fulfillment fee</t>
        </is>
      </c>
      <c r="E60" s="196" t="n">
        <v>-252.55</v>
      </c>
      <c r="F60" s="204" t="n">
        <v>-0.03023555117</v>
      </c>
      <c r="H60" s="196" t="n">
        <v>-252.55</v>
      </c>
      <c r="J60" s="200" t="inlineStr">
        <is>
          <t>Jan</t>
        </is>
      </c>
      <c r="K60" s="199" t="n">
        <v>2025</v>
      </c>
      <c r="L60" s="199" t="n">
        <v>2025</v>
      </c>
    </row>
    <row r="61" ht="15" customHeight="1" s="104">
      <c r="A61" s="194" t="n">
        <v>45688</v>
      </c>
      <c r="B61" s="195" t="inlineStr">
        <is>
          <t>Tiktok</t>
        </is>
      </c>
      <c r="C61" s="195" t="inlineStr">
        <is>
          <t>Tiktok Shipping</t>
        </is>
      </c>
      <c r="D61" s="195" t="inlineStr">
        <is>
          <t>Customer shipping fee offset</t>
        </is>
      </c>
      <c r="E61" s="196" t="n">
        <v>-527.26</v>
      </c>
      <c r="F61" s="204" t="n">
        <v>-0.0631241208</v>
      </c>
      <c r="H61" s="196" t="n">
        <v>-527.26</v>
      </c>
      <c r="J61" s="200" t="inlineStr">
        <is>
          <t>Jan</t>
        </is>
      </c>
      <c r="K61" s="199" t="n">
        <v>2025</v>
      </c>
      <c r="L61" s="199" t="n">
        <v>2025</v>
      </c>
    </row>
    <row r="62" ht="15" customHeight="1" s="104">
      <c r="A62" s="194" t="n">
        <v>45688</v>
      </c>
      <c r="B62" s="195" t="inlineStr">
        <is>
          <t>Tiktok</t>
        </is>
      </c>
      <c r="C62" s="195" t="inlineStr">
        <is>
          <t>Tiktok Shipping</t>
        </is>
      </c>
      <c r="D62" s="195" t="inlineStr">
        <is>
          <t>Co-funded free shipping reimbursement</t>
        </is>
      </c>
      <c r="E62" s="196" t="n">
        <v>101.25</v>
      </c>
      <c r="F62" s="204" t="n">
        <v>0.01212175631</v>
      </c>
      <c r="H62" s="196" t="n">
        <v>101.25</v>
      </c>
      <c r="J62" s="200" t="inlineStr">
        <is>
          <t>Jan</t>
        </is>
      </c>
      <c r="K62" s="199" t="n">
        <v>2025</v>
      </c>
      <c r="L62" s="199" t="n">
        <v>2025</v>
      </c>
    </row>
    <row r="63" ht="15" customHeight="1" s="104">
      <c r="A63" s="194" t="n">
        <v>45688</v>
      </c>
      <c r="B63" s="195" t="inlineStr">
        <is>
          <t>Tiktok</t>
        </is>
      </c>
      <c r="C63" s="195" t="inlineStr">
        <is>
          <t>MCF Shipping fees</t>
        </is>
      </c>
      <c r="D63" s="195" t="inlineStr">
        <is>
          <t>MCF Shipping fees</t>
        </is>
      </c>
      <c r="E63" s="196" t="n">
        <v>-2398.62</v>
      </c>
      <c r="F63" s="204" t="n">
        <v>-0.2871653048</v>
      </c>
      <c r="H63" s="196" t="n">
        <v>-2398.62</v>
      </c>
      <c r="J63" s="200" t="inlineStr">
        <is>
          <t>Jan</t>
        </is>
      </c>
      <c r="K63" s="199" t="n">
        <v>2025</v>
      </c>
      <c r="L63" s="199" t="n">
        <v>2025</v>
      </c>
    </row>
    <row r="64" ht="15" customHeight="1" s="104">
      <c r="A64" s="194" t="n">
        <v>45688</v>
      </c>
      <c r="B64" s="195" t="inlineStr">
        <is>
          <t>Tiktok</t>
        </is>
      </c>
      <c r="C64" s="195" t="inlineStr">
        <is>
          <t>Fees</t>
        </is>
      </c>
      <c r="D64" s="195" t="inlineStr">
        <is>
          <t>Transaction fee</t>
        </is>
      </c>
      <c r="E64" s="198" t="n">
        <v>0</v>
      </c>
      <c r="F64" s="201" t="n">
        <v>0</v>
      </c>
      <c r="H64" s="198" t="n">
        <v>0</v>
      </c>
      <c r="J64" s="200" t="inlineStr">
        <is>
          <t>Jan</t>
        </is>
      </c>
      <c r="K64" s="199" t="n">
        <v>2025</v>
      </c>
      <c r="L64" s="199" t="n">
        <v>2025</v>
      </c>
    </row>
    <row r="65" ht="15" customHeight="1" s="104">
      <c r="A65" s="194" t="n">
        <v>45688</v>
      </c>
      <c r="B65" s="195" t="inlineStr">
        <is>
          <t>Tiktok</t>
        </is>
      </c>
      <c r="C65" s="195" t="inlineStr">
        <is>
          <t>Fees</t>
        </is>
      </c>
      <c r="D65" s="195" t="inlineStr">
        <is>
          <t>Referral fee</t>
        </is>
      </c>
      <c r="E65" s="196" t="n">
        <v>-511.28</v>
      </c>
      <c r="F65" s="204" t="n">
        <v>-0.06121097842</v>
      </c>
      <c r="H65" s="196" t="n">
        <v>-511.28</v>
      </c>
      <c r="J65" s="200" t="inlineStr">
        <is>
          <t>Jan</t>
        </is>
      </c>
      <c r="K65" s="199" t="n">
        <v>2025</v>
      </c>
      <c r="L65" s="199" t="n">
        <v>2025</v>
      </c>
    </row>
    <row r="66" ht="15" customHeight="1" s="104">
      <c r="A66" s="194" t="n">
        <v>45688</v>
      </c>
      <c r="B66" s="195" t="inlineStr">
        <is>
          <t>Tiktok</t>
        </is>
      </c>
      <c r="C66" s="195" t="inlineStr">
        <is>
          <t>Fees</t>
        </is>
      </c>
      <c r="D66" s="195" t="inlineStr">
        <is>
          <t>Refund administration fee</t>
        </is>
      </c>
      <c r="E66" s="196" t="n">
        <v>-5.3</v>
      </c>
      <c r="F66" s="204" t="n">
        <v>-0.0006345215648</v>
      </c>
      <c r="H66" s="196" t="n">
        <v>-5.3</v>
      </c>
      <c r="J66" s="200" t="inlineStr">
        <is>
          <t>Jan</t>
        </is>
      </c>
      <c r="K66" s="199" t="n">
        <v>2025</v>
      </c>
      <c r="L66" s="199" t="n">
        <v>2025</v>
      </c>
    </row>
    <row r="67" ht="15" customHeight="1" s="104">
      <c r="A67" s="194" t="n">
        <v>45688</v>
      </c>
      <c r="B67" s="195" t="inlineStr">
        <is>
          <t>Tiktok</t>
        </is>
      </c>
      <c r="C67" s="195" t="inlineStr">
        <is>
          <t>Fees</t>
        </is>
      </c>
      <c r="D67" s="195" t="inlineStr">
        <is>
          <t>Affiliate commission</t>
        </is>
      </c>
      <c r="E67" s="196" t="n">
        <v>-883.5</v>
      </c>
      <c r="F67" s="204" t="n">
        <v>-0.1057735476</v>
      </c>
      <c r="H67" s="196" t="n">
        <v>-883.5</v>
      </c>
      <c r="J67" s="200" t="inlineStr">
        <is>
          <t>Jan</t>
        </is>
      </c>
      <c r="K67" s="199" t="n">
        <v>2025</v>
      </c>
      <c r="L67" s="199" t="n">
        <v>2025</v>
      </c>
    </row>
    <row r="68" ht="15" customHeight="1" s="104">
      <c r="A68" s="194" t="n">
        <v>45688</v>
      </c>
      <c r="B68" s="195" t="inlineStr">
        <is>
          <t>Tiktok</t>
        </is>
      </c>
      <c r="C68" s="195" t="inlineStr">
        <is>
          <t>Fees</t>
        </is>
      </c>
      <c r="D68" s="195" t="inlineStr">
        <is>
          <t>Affiliate partner commission</t>
        </is>
      </c>
      <c r="E68" s="198" t="n">
        <v>0</v>
      </c>
      <c r="F68" s="201" t="n">
        <v>0</v>
      </c>
      <c r="H68" s="198" t="n">
        <v>0</v>
      </c>
      <c r="J68" s="200" t="inlineStr">
        <is>
          <t>Jan</t>
        </is>
      </c>
      <c r="K68" s="199" t="n">
        <v>2025</v>
      </c>
      <c r="L68" s="199" t="n">
        <v>2025</v>
      </c>
    </row>
    <row r="69" ht="15" customHeight="1" s="104">
      <c r="A69" s="194" t="n">
        <v>45688</v>
      </c>
      <c r="B69" s="195" t="inlineStr">
        <is>
          <t>Tiktok</t>
        </is>
      </c>
      <c r="C69" s="195" t="inlineStr">
        <is>
          <t>Fees</t>
        </is>
      </c>
      <c r="D69" s="195" t="inlineStr">
        <is>
          <t>Affiliate Shop Ads commission</t>
        </is>
      </c>
      <c r="E69" s="196" t="n">
        <v>-25.5</v>
      </c>
      <c r="F69" s="204" t="n">
        <v>-0.003052886774</v>
      </c>
      <c r="H69" s="196" t="n">
        <v>-25.5</v>
      </c>
      <c r="J69" s="200" t="inlineStr">
        <is>
          <t>Jan</t>
        </is>
      </c>
      <c r="K69" s="199" t="n">
        <v>2025</v>
      </c>
      <c r="L69" s="199" t="n">
        <v>2025</v>
      </c>
    </row>
    <row r="70" ht="15" customHeight="1" s="104">
      <c r="A70" s="194" t="n">
        <v>45688</v>
      </c>
      <c r="B70" s="195" t="inlineStr">
        <is>
          <t>Tiktok</t>
        </is>
      </c>
      <c r="C70" s="195" t="inlineStr">
        <is>
          <t>Fees</t>
        </is>
      </c>
      <c r="D70" s="195" t="inlineStr">
        <is>
          <t>Co-funded promotion service fee</t>
        </is>
      </c>
      <c r="E70" s="198" t="n">
        <v>0</v>
      </c>
      <c r="F70" s="201" t="n">
        <v>0</v>
      </c>
      <c r="H70" s="198" t="n">
        <v>0</v>
      </c>
      <c r="J70" s="200" t="inlineStr">
        <is>
          <t>Jan</t>
        </is>
      </c>
      <c r="K70" s="199" t="n">
        <v>2025</v>
      </c>
      <c r="L70" s="199" t="n">
        <v>2025</v>
      </c>
    </row>
    <row r="71" ht="15" customHeight="1" s="104">
      <c r="A71" s="194" t="n">
        <v>45688</v>
      </c>
      <c r="B71" s="195" t="inlineStr">
        <is>
          <t>Tiktok</t>
        </is>
      </c>
      <c r="C71" s="195" t="inlineStr">
        <is>
          <t xml:space="preserve">Adjustments
</t>
        </is>
      </c>
      <c r="D71" s="195" t="inlineStr">
        <is>
          <t>Logistics adjustment</t>
        </is>
      </c>
      <c r="E71" s="198" t="n">
        <v>0</v>
      </c>
      <c r="F71" s="201" t="n">
        <v>0</v>
      </c>
      <c r="H71" s="198" t="n">
        <v>0</v>
      </c>
      <c r="J71" s="200" t="inlineStr">
        <is>
          <t>Jan</t>
        </is>
      </c>
      <c r="K71" s="199" t="n">
        <v>2025</v>
      </c>
      <c r="L71" s="199" t="n">
        <v>2025</v>
      </c>
    </row>
    <row r="72" ht="15" customHeight="1" s="104">
      <c r="A72" s="194" t="n">
        <v>45688</v>
      </c>
      <c r="B72" s="195" t="inlineStr">
        <is>
          <t>Tiktok</t>
        </is>
      </c>
      <c r="C72" s="195" t="inlineStr">
        <is>
          <t xml:space="preserve">Adjustments
</t>
        </is>
      </c>
      <c r="D72" s="195" t="inlineStr">
        <is>
          <t>Logistics reimbursement</t>
        </is>
      </c>
      <c r="E72" s="198" t="n">
        <v>0</v>
      </c>
      <c r="F72" s="201" t="n">
        <v>0</v>
      </c>
      <c r="H72" s="198" t="n">
        <v>0</v>
      </c>
      <c r="J72" s="200" t="inlineStr">
        <is>
          <t>Jan</t>
        </is>
      </c>
      <c r="K72" s="199" t="n">
        <v>2025</v>
      </c>
      <c r="L72" s="199" t="n">
        <v>2025</v>
      </c>
    </row>
    <row r="73" ht="15" customHeight="1" s="104">
      <c r="A73" s="194" t="n">
        <v>45688</v>
      </c>
      <c r="B73" s="195" t="inlineStr">
        <is>
          <t>Tiktok</t>
        </is>
      </c>
      <c r="C73" s="195" t="inlineStr">
        <is>
          <t xml:space="preserve">Adjustments
</t>
        </is>
      </c>
      <c r="D73" s="195" t="inlineStr">
        <is>
          <t>Logistics deduction</t>
        </is>
      </c>
      <c r="E73" s="198" t="n">
        <v>0</v>
      </c>
      <c r="F73" s="201" t="n">
        <v>0</v>
      </c>
      <c r="H73" s="198" t="n">
        <v>0</v>
      </c>
      <c r="J73" s="200" t="inlineStr">
        <is>
          <t>Jan</t>
        </is>
      </c>
      <c r="K73" s="199" t="n">
        <v>2025</v>
      </c>
      <c r="L73" s="199" t="n">
        <v>2025</v>
      </c>
    </row>
    <row r="74" ht="15" customHeight="1" s="104">
      <c r="A74" s="194" t="n">
        <v>45688</v>
      </c>
      <c r="B74" s="195" t="inlineStr">
        <is>
          <t>Tiktok</t>
        </is>
      </c>
      <c r="C74" s="195" t="inlineStr">
        <is>
          <t xml:space="preserve">Adjustments
</t>
        </is>
      </c>
      <c r="D74" s="195" t="inlineStr">
        <is>
          <t>TikTok Shop reimbursement</t>
        </is>
      </c>
      <c r="E74" s="198" t="n">
        <v>0</v>
      </c>
      <c r="F74" s="201" t="n">
        <v>0</v>
      </c>
      <c r="H74" s="198" t="n">
        <v>0</v>
      </c>
      <c r="J74" s="200" t="inlineStr">
        <is>
          <t>Jan</t>
        </is>
      </c>
      <c r="K74" s="199" t="n">
        <v>2025</v>
      </c>
      <c r="L74" s="199" t="n">
        <v>2025</v>
      </c>
    </row>
    <row r="75" ht="15" customHeight="1" s="104">
      <c r="A75" s="194" t="n">
        <v>45688</v>
      </c>
      <c r="B75" s="195" t="inlineStr">
        <is>
          <t>Tiktok</t>
        </is>
      </c>
      <c r="C75" s="195" t="inlineStr">
        <is>
          <t xml:space="preserve">Adjustments
</t>
        </is>
      </c>
      <c r="D75" s="195" t="inlineStr">
        <is>
          <t>Policy violation deduction</t>
        </is>
      </c>
      <c r="E75" s="198" t="n">
        <v>0</v>
      </c>
      <c r="F75" s="201" t="n">
        <v>0</v>
      </c>
      <c r="H75" s="198" t="n">
        <v>0</v>
      </c>
      <c r="J75" s="200" t="inlineStr">
        <is>
          <t>Jan</t>
        </is>
      </c>
      <c r="K75" s="199" t="n">
        <v>2025</v>
      </c>
      <c r="L75" s="199" t="n">
        <v>2025</v>
      </c>
    </row>
    <row r="76" ht="15" customHeight="1" s="104">
      <c r="A76" s="194" t="n">
        <v>45688</v>
      </c>
      <c r="B76" s="195" t="inlineStr">
        <is>
          <t>Tiktok</t>
        </is>
      </c>
      <c r="C76" s="195" t="inlineStr">
        <is>
          <t xml:space="preserve">Adjustments
</t>
        </is>
      </c>
      <c r="D76" s="195" t="inlineStr">
        <is>
          <t>TikTok fees adjustment</t>
        </is>
      </c>
      <c r="E76" s="198" t="n">
        <v>0</v>
      </c>
      <c r="F76" s="201" t="n">
        <v>0</v>
      </c>
      <c r="H76" s="198" t="n">
        <v>0</v>
      </c>
      <c r="J76" s="200" t="inlineStr">
        <is>
          <t>Jan</t>
        </is>
      </c>
      <c r="K76" s="199" t="n">
        <v>2025</v>
      </c>
      <c r="L76" s="199" t="n">
        <v>2025</v>
      </c>
    </row>
    <row r="77" ht="15" customHeight="1" s="104">
      <c r="A77" s="194" t="n">
        <v>45688</v>
      </c>
      <c r="B77" s="195" t="inlineStr">
        <is>
          <t>Tiktok</t>
        </is>
      </c>
      <c r="C77" s="195" t="inlineStr">
        <is>
          <t xml:space="preserve">Adjustments
</t>
        </is>
      </c>
      <c r="D77" s="195" t="inlineStr">
        <is>
          <t>Promotion adjustment</t>
        </is>
      </c>
      <c r="E77" s="198" t="n">
        <v>0</v>
      </c>
      <c r="F77" s="201" t="n">
        <v>0</v>
      </c>
      <c r="H77" s="198" t="n">
        <v>0</v>
      </c>
      <c r="J77" s="200" t="inlineStr">
        <is>
          <t>Jan</t>
        </is>
      </c>
      <c r="K77" s="199" t="n">
        <v>2025</v>
      </c>
      <c r="L77" s="199" t="n">
        <v>2025</v>
      </c>
    </row>
    <row r="78" ht="15" customHeight="1" s="104">
      <c r="A78" s="194" t="n">
        <v>45688</v>
      </c>
      <c r="B78" s="195" t="inlineStr">
        <is>
          <t>Tiktok</t>
        </is>
      </c>
      <c r="C78" s="195" t="inlineStr">
        <is>
          <t xml:space="preserve">Adjustments
</t>
        </is>
      </c>
      <c r="D78" s="195" t="inlineStr">
        <is>
          <t>Adjustment from settlement account</t>
        </is>
      </c>
      <c r="E78" s="198" t="n">
        <v>0</v>
      </c>
      <c r="F78" s="201" t="n">
        <v>0</v>
      </c>
      <c r="H78" s="198" t="n">
        <v>0</v>
      </c>
      <c r="J78" s="200" t="inlineStr">
        <is>
          <t>Jan</t>
        </is>
      </c>
      <c r="K78" s="199" t="n">
        <v>2025</v>
      </c>
      <c r="L78" s="199" t="n">
        <v>2025</v>
      </c>
    </row>
    <row r="79" ht="15" customHeight="1" s="104">
      <c r="A79" s="194" t="n">
        <v>45688</v>
      </c>
      <c r="B79" s="195" t="inlineStr">
        <is>
          <t>Tiktok</t>
        </is>
      </c>
      <c r="C79" s="195" t="inlineStr">
        <is>
          <t xml:space="preserve">Adjustments
</t>
        </is>
      </c>
      <c r="D79" s="195" t="inlineStr">
        <is>
          <t>Chargeback</t>
        </is>
      </c>
      <c r="E79" s="198" t="n">
        <v>0</v>
      </c>
      <c r="F79" s="201" t="n">
        <v>0</v>
      </c>
      <c r="H79" s="198" t="n">
        <v>0</v>
      </c>
      <c r="J79" s="200" t="inlineStr">
        <is>
          <t>Jan</t>
        </is>
      </c>
      <c r="K79" s="199" t="n">
        <v>2025</v>
      </c>
      <c r="L79" s="199" t="n">
        <v>2025</v>
      </c>
    </row>
    <row r="80" ht="15" customHeight="1" s="104">
      <c r="A80" s="194" t="n">
        <v>45688</v>
      </c>
      <c r="B80" s="195" t="inlineStr">
        <is>
          <t>Tiktok</t>
        </is>
      </c>
      <c r="C80" s="195" t="inlineStr">
        <is>
          <t xml:space="preserve">Adjustments
</t>
        </is>
      </c>
      <c r="D80" s="195" t="inlineStr">
        <is>
          <t>Other adjustment</t>
        </is>
      </c>
      <c r="E80" s="198" t="n">
        <v>0</v>
      </c>
      <c r="F80" s="201" t="n">
        <v>0</v>
      </c>
      <c r="H80" s="198" t="n">
        <v>0</v>
      </c>
      <c r="J80" s="200" t="inlineStr">
        <is>
          <t>Jan</t>
        </is>
      </c>
      <c r="K80" s="199" t="n">
        <v>2025</v>
      </c>
      <c r="L80" s="199" t="n">
        <v>2025</v>
      </c>
    </row>
    <row r="81" ht="15" customHeight="1" s="104">
      <c r="A81" s="194" t="n">
        <v>45688</v>
      </c>
      <c r="B81" s="195" t="inlineStr">
        <is>
          <t>Tiktok</t>
        </is>
      </c>
      <c r="C81" s="195" t="inlineStr">
        <is>
          <t xml:space="preserve">Adjustments
</t>
        </is>
      </c>
      <c r="D81" s="195" t="inlineStr">
        <is>
          <t>Top up ads balance using GMV payments</t>
        </is>
      </c>
      <c r="E81" s="198" t="n">
        <v>0</v>
      </c>
      <c r="F81" s="201" t="n">
        <v>0</v>
      </c>
      <c r="H81" s="198" t="n">
        <v>0</v>
      </c>
      <c r="J81" s="200" t="inlineStr">
        <is>
          <t>Jan</t>
        </is>
      </c>
      <c r="K81" s="199" t="n">
        <v>2025</v>
      </c>
      <c r="L81" s="199" t="n">
        <v>2025</v>
      </c>
    </row>
    <row r="82" ht="15" customHeight="1" s="104">
      <c r="A82" s="194" t="n">
        <v>45688</v>
      </c>
      <c r="B82" s="195" t="inlineStr">
        <is>
          <t>Tiktok</t>
        </is>
      </c>
      <c r="C82" s="195" t="inlineStr">
        <is>
          <t xml:space="preserve">Adjustments
</t>
        </is>
      </c>
      <c r="D82" s="195" t="inlineStr">
        <is>
          <t>FBT warehouse service fee</t>
        </is>
      </c>
      <c r="E82" s="198" t="n">
        <v>0</v>
      </c>
      <c r="F82" s="201" t="n">
        <v>0</v>
      </c>
      <c r="H82" s="198" t="n">
        <v>0</v>
      </c>
      <c r="J82" s="200" t="inlineStr">
        <is>
          <t>Jan</t>
        </is>
      </c>
      <c r="K82" s="199" t="n">
        <v>2025</v>
      </c>
      <c r="L82" s="199" t="n">
        <v>2025</v>
      </c>
    </row>
    <row r="83" ht="15" customHeight="1" s="104">
      <c r="A83" s="194" t="n">
        <v>45688</v>
      </c>
      <c r="B83" s="195" t="inlineStr">
        <is>
          <t>Tiktok</t>
        </is>
      </c>
      <c r="C83" s="195" t="inlineStr">
        <is>
          <t xml:space="preserve">Adjustments
</t>
        </is>
      </c>
      <c r="D83" s="195" t="inlineStr">
        <is>
          <t>Co-funded creator activity</t>
        </is>
      </c>
      <c r="E83" s="198" t="n">
        <v>0</v>
      </c>
      <c r="F83" s="201" t="n">
        <v>0</v>
      </c>
      <c r="H83" s="198" t="n">
        <v>0</v>
      </c>
      <c r="J83" s="200" t="inlineStr">
        <is>
          <t>Jan</t>
        </is>
      </c>
      <c r="K83" s="199" t="n">
        <v>2025</v>
      </c>
      <c r="L83" s="199" t="n">
        <v>2025</v>
      </c>
    </row>
    <row r="84" ht="15" customHeight="1" s="104">
      <c r="A84" s="194" t="n">
        <v>45688</v>
      </c>
      <c r="B84" s="195" t="inlineStr">
        <is>
          <t>Tiktok</t>
        </is>
      </c>
      <c r="C84" s="195" t="inlineStr">
        <is>
          <t xml:space="preserve">Adjustments
</t>
        </is>
      </c>
      <c r="D84" s="195" t="inlineStr">
        <is>
          <t>Rebate</t>
        </is>
      </c>
      <c r="E84" s="198" t="n">
        <v>0</v>
      </c>
      <c r="F84" s="201" t="n">
        <v>0</v>
      </c>
      <c r="H84" s="198" t="n">
        <v>0</v>
      </c>
      <c r="J84" s="200" t="inlineStr">
        <is>
          <t>Jan</t>
        </is>
      </c>
      <c r="K84" s="199" t="n">
        <v>2025</v>
      </c>
      <c r="L84" s="199" t="n">
        <v>2025</v>
      </c>
    </row>
    <row r="85" ht="15" customHeight="1" s="104">
      <c r="A85" s="194" t="n">
        <v>45688</v>
      </c>
      <c r="B85" s="195" t="inlineStr">
        <is>
          <t>Tiktok</t>
        </is>
      </c>
      <c r="C85" s="195" t="inlineStr">
        <is>
          <t>Cost of goods</t>
        </is>
      </c>
      <c r="D85" s="195" t="inlineStr">
        <is>
          <t>Cost of goods sold</t>
        </is>
      </c>
      <c r="E85" s="196" t="n">
        <v>-2983.95</v>
      </c>
      <c r="F85" s="204" t="n">
        <v>-0.357241627</v>
      </c>
      <c r="H85" s="196" t="n">
        <v>-2983.95</v>
      </c>
      <c r="J85" s="200" t="inlineStr">
        <is>
          <t>Jan</t>
        </is>
      </c>
      <c r="K85" s="199" t="n">
        <v>2025</v>
      </c>
      <c r="L85" s="199" t="n">
        <v>2025</v>
      </c>
    </row>
    <row r="86" ht="15" customHeight="1" s="104">
      <c r="A86" s="194" t="n">
        <v>45688</v>
      </c>
      <c r="B86" s="195" t="inlineStr">
        <is>
          <t>Tiktok</t>
        </is>
      </c>
      <c r="C86" s="195" t="inlineStr">
        <is>
          <t>Advertising cost</t>
        </is>
      </c>
      <c r="D86" s="195" t="inlineStr">
        <is>
          <t>Advertising Cost</t>
        </is>
      </c>
      <c r="E86" s="196" t="n">
        <v>-242.72</v>
      </c>
      <c r="F86" s="204" t="n">
        <v>-0.02905869324</v>
      </c>
      <c r="H86" s="196" t="n">
        <v>-242.72</v>
      </c>
      <c r="J86" s="200" t="inlineStr">
        <is>
          <t>Jan</t>
        </is>
      </c>
      <c r="K86" s="199" t="n">
        <v>2025</v>
      </c>
      <c r="L86" s="199" t="n">
        <v>2025</v>
      </c>
    </row>
    <row r="87" ht="15" customHeight="1" s="104">
      <c r="A87" s="194" t="n">
        <v>45688</v>
      </c>
      <c r="B87" s="195" t="inlineStr">
        <is>
          <t>Shopify</t>
        </is>
      </c>
      <c r="C87" s="195" t="inlineStr">
        <is>
          <t>Payment fees</t>
        </is>
      </c>
      <c r="D87" s="195" t="inlineStr">
        <is>
          <t>Shopify Payments fee</t>
        </is>
      </c>
      <c r="E87" s="196" t="n">
        <v>-19.07</v>
      </c>
      <c r="F87" s="204" t="n">
        <v>-0.0357303455</v>
      </c>
      <c r="H87" s="196" t="n">
        <v>-19.07</v>
      </c>
      <c r="J87" s="200" t="inlineStr">
        <is>
          <t>Jan</t>
        </is>
      </c>
      <c r="K87" s="199" t="n">
        <v>2025</v>
      </c>
      <c r="L87" s="199" t="n">
        <v>2025</v>
      </c>
    </row>
    <row r="88" ht="15" customHeight="1" s="104">
      <c r="A88" s="194" t="n">
        <v>45688</v>
      </c>
      <c r="B88" s="195" t="inlineStr">
        <is>
          <t>Shopify</t>
        </is>
      </c>
      <c r="C88" s="195" t="inlineStr">
        <is>
          <t>Cost of goods</t>
        </is>
      </c>
      <c r="D88" s="195" t="inlineStr">
        <is>
          <t>Cost of goods sold</t>
        </is>
      </c>
      <c r="E88" s="196" t="n">
        <v>-150.04</v>
      </c>
      <c r="F88" s="204" t="n">
        <v>-0.2811211871</v>
      </c>
      <c r="H88" s="196" t="n">
        <v>-150.04</v>
      </c>
      <c r="J88" s="200" t="inlineStr">
        <is>
          <t>Jan</t>
        </is>
      </c>
      <c r="K88" s="199" t="n">
        <v>2025</v>
      </c>
      <c r="L88" s="199" t="n">
        <v>2025</v>
      </c>
    </row>
    <row r="89" ht="15" customHeight="1" s="104">
      <c r="A89" s="194" t="n">
        <v>45688</v>
      </c>
      <c r="B89" s="195" t="inlineStr">
        <is>
          <t>Shopify</t>
        </is>
      </c>
      <c r="C89" s="195" t="inlineStr">
        <is>
          <t>Tax</t>
        </is>
      </c>
      <c r="D89" s="195" t="inlineStr">
        <is>
          <t>Virginia State Tax</t>
        </is>
      </c>
      <c r="E89" s="196" t="n">
        <v>-1.5</v>
      </c>
      <c r="F89" s="204" t="n">
        <v>-0.002810462415</v>
      </c>
      <c r="H89" s="196" t="n">
        <v>-1.5</v>
      </c>
      <c r="J89" s="200" t="inlineStr">
        <is>
          <t>Jan</t>
        </is>
      </c>
      <c r="K89" s="199" t="n">
        <v>2025</v>
      </c>
      <c r="L89" s="199" t="n">
        <v>2025</v>
      </c>
    </row>
    <row r="90" ht="15" customHeight="1" s="104">
      <c r="A90" s="194" t="n">
        <v>45688</v>
      </c>
      <c r="B90" s="195" t="inlineStr">
        <is>
          <t>Shopify</t>
        </is>
      </c>
      <c r="C90" s="195" t="inlineStr">
        <is>
          <t>Tax</t>
        </is>
      </c>
      <c r="D90" s="195" t="inlineStr">
        <is>
          <t>Henrico County Tax</t>
        </is>
      </c>
      <c r="E90" s="197" t="n">
        <v>-0.35</v>
      </c>
      <c r="F90" s="204" t="n">
        <v>-0.0006557745634</v>
      </c>
      <c r="H90" s="197" t="n">
        <v>-0.35</v>
      </c>
      <c r="J90" s="200" t="inlineStr">
        <is>
          <t>Jan</t>
        </is>
      </c>
      <c r="K90" s="199" t="n">
        <v>2025</v>
      </c>
      <c r="L90" s="199" t="n">
        <v>2025</v>
      </c>
    </row>
    <row r="91" ht="15" customHeight="1" s="104">
      <c r="A91" s="194" t="n">
        <v>45688</v>
      </c>
      <c r="B91" s="195" t="inlineStr">
        <is>
          <t>Shopify</t>
        </is>
      </c>
      <c r="C91" s="195" t="inlineStr">
        <is>
          <t>Tax</t>
        </is>
      </c>
      <c r="D91" s="195" t="inlineStr">
        <is>
          <t>Henrico Co Sp</t>
        </is>
      </c>
      <c r="E91" s="197" t="n">
        <v>-0.24</v>
      </c>
      <c r="F91" s="204" t="n">
        <v>-0.0004496739864</v>
      </c>
      <c r="H91" s="197" t="n">
        <v>-0.24</v>
      </c>
      <c r="J91" s="200" t="inlineStr">
        <is>
          <t>Jan</t>
        </is>
      </c>
      <c r="K91" s="199" t="n">
        <v>2025</v>
      </c>
      <c r="L91" s="199" t="n">
        <v>2025</v>
      </c>
    </row>
    <row r="92" ht="15" customHeight="1" s="104">
      <c r="A92" s="194" t="n">
        <v>45688</v>
      </c>
      <c r="B92" s="195" t="inlineStr">
        <is>
          <t>Shopify</t>
        </is>
      </c>
      <c r="C92" s="195" t="inlineStr">
        <is>
          <t>MCF Shipping fees</t>
        </is>
      </c>
      <c r="D92" s="195" t="inlineStr">
        <is>
          <t>MCF Shipping fees</t>
        </is>
      </c>
      <c r="E92" s="196" t="n">
        <v>-143.07</v>
      </c>
      <c r="F92" s="204" t="n">
        <v>-0.2680619051</v>
      </c>
      <c r="H92" s="196" t="n">
        <v>-143.07</v>
      </c>
      <c r="J92" s="200" t="inlineStr">
        <is>
          <t>Jan</t>
        </is>
      </c>
      <c r="K92" s="199" t="n">
        <v>2025</v>
      </c>
      <c r="L92" s="199" t="n">
        <v>2025</v>
      </c>
    </row>
    <row r="93" ht="15" customHeight="1" s="104">
      <c r="A93" s="194" t="n">
        <v>45716</v>
      </c>
      <c r="B93" s="195" t="inlineStr">
        <is>
          <t>Amazon US</t>
        </is>
      </c>
      <c r="C93" s="195" t="inlineStr">
        <is>
          <t>Advertising cost</t>
        </is>
      </c>
      <c r="D93" s="195" t="inlineStr">
        <is>
          <t>Sponsored Products</t>
        </is>
      </c>
      <c r="E93" s="196" t="n">
        <v>-7270.71</v>
      </c>
      <c r="F93" s="204" t="n">
        <v>-0.08564813997</v>
      </c>
      <c r="H93" s="196" t="n">
        <v>-7270.71</v>
      </c>
      <c r="J93" s="200" t="inlineStr">
        <is>
          <t>Feb</t>
        </is>
      </c>
      <c r="K93" s="199" t="n">
        <v>2025</v>
      </c>
      <c r="L93" s="199" t="n">
        <v>2025</v>
      </c>
    </row>
    <row r="94" ht="15" customHeight="1" s="104">
      <c r="A94" s="194" t="n">
        <v>45716</v>
      </c>
      <c r="B94" s="195" t="inlineStr">
        <is>
          <t>Amazon US</t>
        </is>
      </c>
      <c r="C94" s="195" t="inlineStr">
        <is>
          <t>Advertising cost</t>
        </is>
      </c>
      <c r="D94" s="195" t="inlineStr">
        <is>
          <t>Sponsored Brands Video</t>
        </is>
      </c>
      <c r="E94" s="198" t="n">
        <v>0</v>
      </c>
      <c r="F94" s="201" t="n">
        <v>0</v>
      </c>
      <c r="H94" s="198" t="n">
        <v>0</v>
      </c>
      <c r="J94" s="200" t="inlineStr">
        <is>
          <t>Feb</t>
        </is>
      </c>
      <c r="K94" s="199" t="n">
        <v>2025</v>
      </c>
      <c r="L94" s="199" t="n">
        <v>2025</v>
      </c>
    </row>
    <row r="95" ht="15" customHeight="1" s="104">
      <c r="A95" s="194" t="n">
        <v>45716</v>
      </c>
      <c r="B95" s="195" t="inlineStr">
        <is>
          <t>Amazon US</t>
        </is>
      </c>
      <c r="C95" s="195" t="inlineStr">
        <is>
          <t>Advertising cost</t>
        </is>
      </c>
      <c r="D95" s="195" t="inlineStr">
        <is>
          <t>Sponsored Display</t>
        </is>
      </c>
      <c r="E95" s="196" t="n">
        <v>-2.08</v>
      </c>
      <c r="F95" s="204" t="n">
        <v>-2.450216432e-05</v>
      </c>
      <c r="H95" s="196" t="n">
        <v>-2.08</v>
      </c>
      <c r="J95" s="200" t="inlineStr">
        <is>
          <t>Feb</t>
        </is>
      </c>
      <c r="K95" s="199" t="n">
        <v>2025</v>
      </c>
      <c r="L95" s="199" t="n">
        <v>2025</v>
      </c>
    </row>
    <row r="96" ht="15" customHeight="1" s="104">
      <c r="A96" s="194" t="n">
        <v>45716</v>
      </c>
      <c r="B96" s="195" t="inlineStr">
        <is>
          <t>Amazon US</t>
        </is>
      </c>
      <c r="C96" s="195" t="inlineStr">
        <is>
          <t>Advertising cost</t>
        </is>
      </c>
      <c r="D96" s="195" t="inlineStr">
        <is>
          <t>Sponsored Brands</t>
        </is>
      </c>
      <c r="E96" s="196" t="n">
        <v>-42.18</v>
      </c>
      <c r="F96" s="204" t="n">
        <v>-0.0004968756207</v>
      </c>
      <c r="H96" s="196" t="n">
        <v>-42.18</v>
      </c>
      <c r="J96" s="200" t="inlineStr">
        <is>
          <t>Feb</t>
        </is>
      </c>
      <c r="K96" s="199" t="n">
        <v>2025</v>
      </c>
      <c r="L96" s="199" t="n">
        <v>2025</v>
      </c>
    </row>
    <row r="97" ht="15" customHeight="1" s="104">
      <c r="A97" s="194" t="n">
        <v>45716</v>
      </c>
      <c r="B97" s="195" t="inlineStr">
        <is>
          <t>Amazon US</t>
        </is>
      </c>
      <c r="C97" s="195" t="inlineStr">
        <is>
          <t>Refund cost</t>
        </is>
      </c>
      <c r="D97" s="195" t="inlineStr">
        <is>
          <t>Refunded amount</t>
        </is>
      </c>
      <c r="E97" s="196" t="n">
        <v>-5821.78</v>
      </c>
      <c r="F97" s="204" t="n">
        <v>-0.06857990874</v>
      </c>
      <c r="H97" s="196" t="n">
        <v>-5821.78</v>
      </c>
      <c r="J97" s="200" t="inlineStr">
        <is>
          <t>Feb</t>
        </is>
      </c>
      <c r="K97" s="199" t="n">
        <v>2025</v>
      </c>
      <c r="L97" s="199" t="n">
        <v>2025</v>
      </c>
    </row>
    <row r="98" ht="15" customHeight="1" s="104">
      <c r="A98" s="194" t="n">
        <v>45716</v>
      </c>
      <c r="B98" s="195" t="inlineStr">
        <is>
          <t>Amazon US</t>
        </is>
      </c>
      <c r="C98" s="195" t="inlineStr">
        <is>
          <t>Refund cost</t>
        </is>
      </c>
      <c r="D98" s="195" t="inlineStr">
        <is>
          <t>Refund commission</t>
        </is>
      </c>
      <c r="E98" s="196" t="n">
        <v>-170.74</v>
      </c>
      <c r="F98" s="204" t="n">
        <v>-0.002011297854</v>
      </c>
      <c r="H98" s="196" t="n">
        <v>-170.74</v>
      </c>
      <c r="J98" s="200" t="inlineStr">
        <is>
          <t>Feb</t>
        </is>
      </c>
      <c r="K98" s="199" t="n">
        <v>2025</v>
      </c>
      <c r="L98" s="199" t="n">
        <v>2025</v>
      </c>
    </row>
    <row r="99" ht="15" customHeight="1" s="104">
      <c r="A99" s="194" t="n">
        <v>45716</v>
      </c>
      <c r="B99" s="195" t="inlineStr">
        <is>
          <t>Amazon US</t>
        </is>
      </c>
      <c r="C99" s="195" t="inlineStr">
        <is>
          <t>Refund cost</t>
        </is>
      </c>
      <c r="D99" s="195" t="inlineStr">
        <is>
          <t>Promotion</t>
        </is>
      </c>
      <c r="E99" s="196" t="n">
        <v>42.72</v>
      </c>
      <c r="F99" s="204" t="n">
        <v>0.0005032367595</v>
      </c>
      <c r="H99" s="196" t="n">
        <v>42.72</v>
      </c>
      <c r="J99" s="200" t="inlineStr">
        <is>
          <t>Feb</t>
        </is>
      </c>
      <c r="K99" s="199" t="n">
        <v>2025</v>
      </c>
      <c r="L99" s="199" t="n">
        <v>2025</v>
      </c>
    </row>
    <row r="100" ht="15" customHeight="1" s="104">
      <c r="A100" s="194" t="n">
        <v>45716</v>
      </c>
      <c r="B100" s="195" t="inlineStr">
        <is>
          <t>Amazon US</t>
        </is>
      </c>
      <c r="C100" s="195" t="inlineStr">
        <is>
          <t>Refund cost</t>
        </is>
      </c>
      <c r="D100" s="195" t="inlineStr">
        <is>
          <t>Refunded referral fee</t>
        </is>
      </c>
      <c r="E100" s="196" t="n">
        <v>867.03</v>
      </c>
      <c r="F100" s="204" t="n">
        <v>0.01021351516</v>
      </c>
      <c r="H100" s="196" t="n">
        <v>867.03</v>
      </c>
      <c r="J100" s="200" t="inlineStr">
        <is>
          <t>Feb</t>
        </is>
      </c>
      <c r="K100" s="199" t="n">
        <v>2025</v>
      </c>
      <c r="L100" s="199" t="n">
        <v>2025</v>
      </c>
    </row>
    <row r="101" ht="15" customHeight="1" s="104">
      <c r="A101" s="194" t="n">
        <v>45716</v>
      </c>
      <c r="B101" s="195" t="inlineStr">
        <is>
          <t>Amazon US</t>
        </is>
      </c>
      <c r="C101" s="195" t="inlineStr">
        <is>
          <t>Refund cost</t>
        </is>
      </c>
      <c r="D101" s="195" t="inlineStr">
        <is>
          <t>Value of returned items</t>
        </is>
      </c>
      <c r="E101" s="196" t="n">
        <v>983.96</v>
      </c>
      <c r="F101" s="204" t="n">
        <v>0.01159093731</v>
      </c>
      <c r="H101" s="196" t="n">
        <v>983.96</v>
      </c>
      <c r="J101" s="200" t="inlineStr">
        <is>
          <t>Feb</t>
        </is>
      </c>
      <c r="K101" s="199" t="n">
        <v>2025</v>
      </c>
      <c r="L101" s="199" t="n">
        <v>2025</v>
      </c>
    </row>
    <row r="102" ht="15" customHeight="1" s="104">
      <c r="A102" s="194" t="n">
        <v>45716</v>
      </c>
      <c r="B102" s="195" t="inlineStr">
        <is>
          <t>Amazon US</t>
        </is>
      </c>
      <c r="C102" s="195" t="inlineStr">
        <is>
          <t>Amazon fees</t>
        </is>
      </c>
      <c r="D102" s="195" t="inlineStr">
        <is>
          <t>FBA per unit fulfilment fee</t>
        </is>
      </c>
      <c r="E102" s="196" t="n">
        <v>-15360.33</v>
      </c>
      <c r="F102" s="204" t="n">
        <v>-0.1809429469</v>
      </c>
      <c r="H102" s="196" t="n">
        <v>-15360.33</v>
      </c>
      <c r="J102" s="200" t="inlineStr">
        <is>
          <t>Feb</t>
        </is>
      </c>
      <c r="K102" s="199" t="n">
        <v>2025</v>
      </c>
      <c r="L102" s="199" t="n">
        <v>2025</v>
      </c>
    </row>
    <row r="103" ht="15" customHeight="1" s="104">
      <c r="A103" s="194" t="n">
        <v>45716</v>
      </c>
      <c r="B103" s="195" t="inlineStr">
        <is>
          <t>Amazon US</t>
        </is>
      </c>
      <c r="C103" s="195" t="inlineStr">
        <is>
          <t>Amazon fees</t>
        </is>
      </c>
      <c r="D103" s="195" t="inlineStr">
        <is>
          <t>Referral fee</t>
        </is>
      </c>
      <c r="E103" s="196" t="n">
        <v>-12425.17</v>
      </c>
      <c r="F103" s="204" t="n">
        <v>-0.1463670947</v>
      </c>
      <c r="H103" s="196" t="n">
        <v>-12425.17</v>
      </c>
      <c r="J103" s="200" t="inlineStr">
        <is>
          <t>Feb</t>
        </is>
      </c>
      <c r="K103" s="199" t="n">
        <v>2025</v>
      </c>
      <c r="L103" s="199" t="n">
        <v>2025</v>
      </c>
    </row>
    <row r="104" ht="15" customHeight="1" s="104">
      <c r="A104" s="194" t="n">
        <v>45716</v>
      </c>
      <c r="B104" s="195" t="inlineStr">
        <is>
          <t>Amazon US</t>
        </is>
      </c>
      <c r="C104" s="195" t="inlineStr">
        <is>
          <t>Amazon fees</t>
        </is>
      </c>
      <c r="D104" s="195" t="inlineStr">
        <is>
          <t>FBA storage fee</t>
        </is>
      </c>
      <c r="E104" s="196" t="n">
        <v>-1171.09</v>
      </c>
      <c r="F104" s="204" t="n">
        <v>-0.01379530751</v>
      </c>
      <c r="H104" s="196" t="n">
        <v>-1171.09</v>
      </c>
      <c r="J104" s="200" t="inlineStr">
        <is>
          <t>Feb</t>
        </is>
      </c>
      <c r="K104" s="199" t="n">
        <v>2025</v>
      </c>
      <c r="L104" s="199" t="n">
        <v>2025</v>
      </c>
    </row>
    <row r="105" ht="15" customHeight="1" s="104">
      <c r="A105" s="194" t="n">
        <v>45716</v>
      </c>
      <c r="B105" s="195" t="inlineStr">
        <is>
          <t>Amazon US</t>
        </is>
      </c>
      <c r="C105" s="195" t="inlineStr">
        <is>
          <t>Amazon fees</t>
        </is>
      </c>
      <c r="D105" s="195" t="inlineStr">
        <is>
          <t>FBA disposal fee</t>
        </is>
      </c>
      <c r="E105" s="196" t="n">
        <v>-739.96</v>
      </c>
      <c r="F105" s="204" t="n">
        <v>-0.008716644956</v>
      </c>
      <c r="H105" s="196" t="n">
        <v>-739.96</v>
      </c>
      <c r="J105" s="200" t="inlineStr">
        <is>
          <t>Feb</t>
        </is>
      </c>
      <c r="K105" s="199" t="n">
        <v>2025</v>
      </c>
      <c r="L105" s="199" t="n">
        <v>2025</v>
      </c>
    </row>
    <row r="106" ht="15" customHeight="1" s="104">
      <c r="A106" s="194" t="n">
        <v>45716</v>
      </c>
      <c r="B106" s="195" t="inlineStr">
        <is>
          <t>Amazon US</t>
        </is>
      </c>
      <c r="C106" s="195" t="inlineStr">
        <is>
          <t>Amazon fees</t>
        </is>
      </c>
      <c r="D106" s="195" t="inlineStr">
        <is>
          <t>AWD transportation fee</t>
        </is>
      </c>
      <c r="E106" s="198" t="n">
        <v>0</v>
      </c>
      <c r="F106" s="201" t="n">
        <v>0</v>
      </c>
      <c r="H106" s="198" t="n">
        <v>0</v>
      </c>
      <c r="J106" s="200" t="inlineStr">
        <is>
          <t>Feb</t>
        </is>
      </c>
      <c r="K106" s="199" t="n">
        <v>2025</v>
      </c>
      <c r="L106" s="199" t="n">
        <v>2025</v>
      </c>
    </row>
    <row r="107" ht="15" customHeight="1" s="104">
      <c r="A107" s="194" t="n">
        <v>45716</v>
      </c>
      <c r="B107" s="195" t="inlineStr">
        <is>
          <t>Amazon US</t>
        </is>
      </c>
      <c r="C107" s="195" t="inlineStr">
        <is>
          <t>Amazon fees</t>
        </is>
      </c>
      <c r="D107" s="195" t="inlineStr">
        <is>
          <t>AWD processing fee</t>
        </is>
      </c>
      <c r="E107" s="198" t="n">
        <v>0</v>
      </c>
      <c r="F107" s="201" t="n">
        <v>0</v>
      </c>
      <c r="H107" s="198" t="n">
        <v>0</v>
      </c>
      <c r="J107" s="200" t="inlineStr">
        <is>
          <t>Feb</t>
        </is>
      </c>
      <c r="K107" s="199" t="n">
        <v>2025</v>
      </c>
      <c r="L107" s="199" t="n">
        <v>2025</v>
      </c>
    </row>
    <row r="108" ht="15" customHeight="1" s="104">
      <c r="A108" s="194" t="n">
        <v>45716</v>
      </c>
      <c r="B108" s="195" t="inlineStr">
        <is>
          <t>Amazon US</t>
        </is>
      </c>
      <c r="C108" s="195" t="inlineStr">
        <is>
          <t>Amazon fees</t>
        </is>
      </c>
      <c r="D108" s="195" t="inlineStr">
        <is>
          <t>FBA inbound convenience fee</t>
        </is>
      </c>
      <c r="E108" s="196" t="n">
        <v>-2018.91</v>
      </c>
      <c r="F108" s="204" t="n">
        <v>-0.02378253104</v>
      </c>
      <c r="H108" s="196" t="n">
        <v>-2018.91</v>
      </c>
      <c r="J108" s="200" t="inlineStr">
        <is>
          <t>Feb</t>
        </is>
      </c>
      <c r="K108" s="199" t="n">
        <v>2025</v>
      </c>
      <c r="L108" s="199" t="n">
        <v>2025</v>
      </c>
    </row>
    <row r="109" ht="15" customHeight="1" s="104">
      <c r="A109" s="194" t="n">
        <v>45716</v>
      </c>
      <c r="B109" s="195" t="inlineStr">
        <is>
          <t>Amazon US</t>
        </is>
      </c>
      <c r="C109" s="195" t="inlineStr">
        <is>
          <t>Amazon fees</t>
        </is>
      </c>
      <c r="D109" s="195" t="inlineStr">
        <is>
          <t>Liquidations brokerage fee</t>
        </is>
      </c>
      <c r="E109" s="196" t="n">
        <v>-18.7</v>
      </c>
      <c r="F109" s="204" t="n">
        <v>-0.0002202838811</v>
      </c>
      <c r="H109" s="196" t="n">
        <v>-18.7</v>
      </c>
      <c r="J109" s="200" t="inlineStr">
        <is>
          <t>Feb</t>
        </is>
      </c>
      <c r="K109" s="199" t="n">
        <v>2025</v>
      </c>
      <c r="L109" s="199" t="n">
        <v>2025</v>
      </c>
    </row>
    <row r="110" ht="15" customHeight="1" s="104">
      <c r="A110" s="194" t="n">
        <v>45716</v>
      </c>
      <c r="B110" s="195" t="inlineStr">
        <is>
          <t>Amazon US</t>
        </is>
      </c>
      <c r="C110" s="195" t="inlineStr">
        <is>
          <t>Amazon fees</t>
        </is>
      </c>
      <c r="D110" s="195" t="inlineStr">
        <is>
          <t>Missing from inbound clawback</t>
        </is>
      </c>
      <c r="E110" s="198" t="n">
        <v>0</v>
      </c>
      <c r="F110" s="201" t="n">
        <v>0</v>
      </c>
      <c r="H110" s="198" t="n">
        <v>0</v>
      </c>
      <c r="J110" s="200" t="inlineStr">
        <is>
          <t>Feb</t>
        </is>
      </c>
      <c r="K110" s="199" t="n">
        <v>2025</v>
      </c>
      <c r="L110" s="199" t="n">
        <v>2025</v>
      </c>
    </row>
    <row r="111" ht="15" customHeight="1" s="104">
      <c r="A111" s="194" t="n">
        <v>45716</v>
      </c>
      <c r="B111" s="195" t="inlineStr">
        <is>
          <t>Amazon US</t>
        </is>
      </c>
      <c r="C111" s="195" t="inlineStr">
        <is>
          <t>Amazon fees</t>
        </is>
      </c>
      <c r="D111" s="195" t="inlineStr">
        <is>
          <t>Customer Return HRR Unit Fee</t>
        </is>
      </c>
      <c r="E111" s="196" t="n">
        <v>-46.4</v>
      </c>
      <c r="F111" s="204" t="n">
        <v>-0.0005465867425</v>
      </c>
      <c r="H111" s="196" t="n">
        <v>-46.4</v>
      </c>
      <c r="J111" s="200" t="inlineStr">
        <is>
          <t>Feb</t>
        </is>
      </c>
      <c r="K111" s="199" t="n">
        <v>2025</v>
      </c>
      <c r="L111" s="199" t="n">
        <v>2025</v>
      </c>
    </row>
    <row r="112" ht="15" customHeight="1" s="104">
      <c r="A112" s="194" t="n">
        <v>45716</v>
      </c>
      <c r="B112" s="195" t="inlineStr">
        <is>
          <t>Amazon US</t>
        </is>
      </c>
      <c r="C112" s="195" t="inlineStr">
        <is>
          <t>Amazon fees</t>
        </is>
      </c>
      <c r="D112" s="195" t="inlineStr">
        <is>
          <t>Subscription</t>
        </is>
      </c>
      <c r="E112" s="196" t="n">
        <v>-39.99</v>
      </c>
      <c r="F112" s="204" t="n">
        <v>-0.0004710776688</v>
      </c>
      <c r="H112" s="196" t="n">
        <v>-39.99</v>
      </c>
      <c r="J112" s="200" t="inlineStr">
        <is>
          <t>Feb</t>
        </is>
      </c>
      <c r="K112" s="199" t="n">
        <v>2025</v>
      </c>
      <c r="L112" s="199" t="n">
        <v>2025</v>
      </c>
    </row>
    <row r="113" ht="15" customHeight="1" s="104">
      <c r="A113" s="194" t="n">
        <v>45716</v>
      </c>
      <c r="B113" s="195" t="inlineStr">
        <is>
          <t>Amazon US</t>
        </is>
      </c>
      <c r="C113" s="195" t="inlineStr">
        <is>
          <t>Amazon fees</t>
        </is>
      </c>
      <c r="D113" s="195" t="inlineStr">
        <is>
          <t>Get paid faster fee</t>
        </is>
      </c>
      <c r="E113" s="196" t="n">
        <v>-12.8</v>
      </c>
      <c r="F113" s="204" t="n">
        <v>-0.0001507825497</v>
      </c>
      <c r="H113" s="196" t="n">
        <v>-12.8</v>
      </c>
      <c r="J113" s="200" t="inlineStr">
        <is>
          <t>Feb</t>
        </is>
      </c>
      <c r="K113" s="199" t="n">
        <v>2025</v>
      </c>
      <c r="L113" s="199" t="n">
        <v>2025</v>
      </c>
    </row>
    <row r="114" ht="15" customHeight="1" s="104">
      <c r="A114" s="194" t="n">
        <v>45716</v>
      </c>
      <c r="B114" s="195" t="inlineStr">
        <is>
          <t>Amazon US</t>
        </is>
      </c>
      <c r="C114" s="195" t="inlineStr">
        <is>
          <t>Amazon fees</t>
        </is>
      </c>
      <c r="D114" s="195" t="inlineStr">
        <is>
          <t>Compensated clawback</t>
        </is>
      </c>
      <c r="E114" s="196" t="n">
        <v>-95.19</v>
      </c>
      <c r="F114" s="204" t="n">
        <v>-0.001121327414</v>
      </c>
      <c r="H114" s="196" t="n">
        <v>-95.19</v>
      </c>
      <c r="J114" s="200" t="inlineStr">
        <is>
          <t>Feb</t>
        </is>
      </c>
      <c r="K114" s="199" t="n">
        <v>2025</v>
      </c>
      <c r="L114" s="199" t="n">
        <v>2025</v>
      </c>
    </row>
    <row r="115" ht="15" customHeight="1" s="104">
      <c r="A115" s="194" t="n">
        <v>45716</v>
      </c>
      <c r="B115" s="195" t="inlineStr">
        <is>
          <t>Amazon US</t>
        </is>
      </c>
      <c r="C115" s="195" t="inlineStr">
        <is>
          <t>Amazon fees</t>
        </is>
      </c>
      <c r="D115" s="195" t="inlineStr">
        <is>
          <t>Star storage fee</t>
        </is>
      </c>
      <c r="E115" s="198" t="n">
        <v>0</v>
      </c>
      <c r="F115" s="201" t="n">
        <v>0</v>
      </c>
      <c r="H115" s="198" t="n">
        <v>0</v>
      </c>
      <c r="J115" s="200" t="inlineStr">
        <is>
          <t>Feb</t>
        </is>
      </c>
      <c r="K115" s="199" t="n">
        <v>2025</v>
      </c>
      <c r="L115" s="199" t="n">
        <v>2025</v>
      </c>
    </row>
    <row r="116" ht="15" customHeight="1" s="104">
      <c r="A116" s="194" t="n">
        <v>45716</v>
      </c>
      <c r="B116" s="195" t="inlineStr">
        <is>
          <t>Amazon US</t>
        </is>
      </c>
      <c r="C116" s="195" t="inlineStr">
        <is>
          <t>Amazon fees</t>
        </is>
      </c>
      <c r="D116" s="195" t="inlineStr">
        <is>
          <t>Free replacement refund items</t>
        </is>
      </c>
      <c r="E116" s="196" t="n">
        <v>94.42</v>
      </c>
      <c r="F116" s="204" t="n">
        <v>0.001112256901</v>
      </c>
      <c r="H116" s="196" t="n">
        <v>94.42</v>
      </c>
      <c r="J116" s="200" t="inlineStr">
        <is>
          <t>Feb</t>
        </is>
      </c>
      <c r="K116" s="199" t="n">
        <v>2025</v>
      </c>
      <c r="L116" s="199" t="n">
        <v>2025</v>
      </c>
    </row>
    <row r="117" ht="15" customHeight="1" s="104">
      <c r="A117" s="194" t="n">
        <v>45716</v>
      </c>
      <c r="B117" s="195" t="inlineStr">
        <is>
          <t>Amazon US</t>
        </is>
      </c>
      <c r="C117" s="195" t="inlineStr">
        <is>
          <t>Amazon fees</t>
        </is>
      </c>
      <c r="D117" s="195" t="inlineStr">
        <is>
          <t>Warehouse lost</t>
        </is>
      </c>
      <c r="E117" s="196" t="n">
        <v>139.46</v>
      </c>
      <c r="F117" s="204" t="n">
        <v>0.001642822998</v>
      </c>
      <c r="H117" s="196" t="n">
        <v>139.46</v>
      </c>
      <c r="J117" s="200" t="inlineStr">
        <is>
          <t>Feb</t>
        </is>
      </c>
      <c r="K117" s="199" t="n">
        <v>2025</v>
      </c>
      <c r="L117" s="199" t="n">
        <v>2025</v>
      </c>
    </row>
    <row r="118" ht="15" customHeight="1" s="104">
      <c r="A118" s="194" t="n">
        <v>45716</v>
      </c>
      <c r="B118" s="195" t="inlineStr">
        <is>
          <t>Amazon US</t>
        </is>
      </c>
      <c r="C118" s="195" t="inlineStr">
        <is>
          <t>Amazon fees</t>
        </is>
      </c>
      <c r="D118" s="195" t="inlineStr">
        <is>
          <t>Missing from inbound</t>
        </is>
      </c>
      <c r="E118" s="196" t="n">
        <v>740.46</v>
      </c>
      <c r="F118" s="204" t="n">
        <v>0.0087225349</v>
      </c>
      <c r="H118" s="196" t="n">
        <v>740.46</v>
      </c>
      <c r="J118" s="200" t="inlineStr">
        <is>
          <t>Feb</t>
        </is>
      </c>
      <c r="K118" s="199" t="n">
        <v>2025</v>
      </c>
      <c r="L118" s="199" t="n">
        <v>2025</v>
      </c>
    </row>
    <row r="119" ht="15" customHeight="1" s="104">
      <c r="A119" s="194" t="n">
        <v>45716</v>
      </c>
      <c r="B119" s="195" t="inlineStr">
        <is>
          <t>Amazon US</t>
        </is>
      </c>
      <c r="C119" s="195" t="inlineStr">
        <is>
          <t>Amazon fees</t>
        </is>
      </c>
      <c r="D119" s="195" t="inlineStr">
        <is>
          <t>Warehouse damage</t>
        </is>
      </c>
      <c r="E119" s="196" t="n">
        <v>195.38</v>
      </c>
      <c r="F119" s="204" t="n">
        <v>0.002301554262</v>
      </c>
      <c r="H119" s="196" t="n">
        <v>195.38</v>
      </c>
      <c r="J119" s="200" t="inlineStr">
        <is>
          <t>Feb</t>
        </is>
      </c>
      <c r="K119" s="199" t="n">
        <v>2025</v>
      </c>
      <c r="L119" s="199" t="n">
        <v>2025</v>
      </c>
    </row>
    <row r="120" ht="15" customHeight="1" s="104">
      <c r="A120" s="194" t="n">
        <v>45716</v>
      </c>
      <c r="B120" s="195" t="inlineStr">
        <is>
          <t>Amazon US</t>
        </is>
      </c>
      <c r="C120" s="195" t="inlineStr">
        <is>
          <t>Amazon fees</t>
        </is>
      </c>
      <c r="D120" s="195" t="inlineStr">
        <is>
          <t>Liquidations revenue</t>
        </is>
      </c>
      <c r="E120" s="196" t="n">
        <v>42.03</v>
      </c>
      <c r="F120" s="204" t="n">
        <v>0.0004951086376</v>
      </c>
      <c r="H120" s="196" t="n">
        <v>42.03</v>
      </c>
      <c r="J120" s="200" t="inlineStr">
        <is>
          <t>Feb</t>
        </is>
      </c>
      <c r="K120" s="199" t="n">
        <v>2025</v>
      </c>
      <c r="L120" s="199" t="n">
        <v>2025</v>
      </c>
    </row>
    <row r="121" ht="15" customHeight="1" s="104">
      <c r="A121" s="194" t="n">
        <v>45716</v>
      </c>
      <c r="B121" s="195" t="inlineStr">
        <is>
          <t>Amazon US</t>
        </is>
      </c>
      <c r="C121" s="195" t="inlineStr">
        <is>
          <t>Amazon fees</t>
        </is>
      </c>
      <c r="D121" s="195" t="inlineStr">
        <is>
          <t>Reversal reimbursement</t>
        </is>
      </c>
      <c r="E121" s="196" t="n">
        <v>560.21</v>
      </c>
      <c r="F121" s="204" t="n">
        <v>0.006599210324</v>
      </c>
      <c r="H121" s="196" t="n">
        <v>560.21</v>
      </c>
      <c r="J121" s="200" t="inlineStr">
        <is>
          <t>Feb</t>
        </is>
      </c>
      <c r="K121" s="199" t="n">
        <v>2025</v>
      </c>
      <c r="L121" s="199" t="n">
        <v>2025</v>
      </c>
    </row>
    <row r="122" ht="15" customHeight="1" s="104">
      <c r="A122" s="194" t="n">
        <v>45716</v>
      </c>
      <c r="B122" s="195" t="inlineStr">
        <is>
          <t>Amazon US</t>
        </is>
      </c>
      <c r="C122" s="195" t="inlineStr">
        <is>
          <t>Amazon fees</t>
        </is>
      </c>
      <c r="D122" s="195" t="inlineStr">
        <is>
          <t>Liquidations revenue adjustment</t>
        </is>
      </c>
      <c r="E122" s="196" t="n">
        <v>-3.1</v>
      </c>
      <c r="F122" s="204" t="n">
        <v>-3.651764874e-05</v>
      </c>
      <c r="H122" s="196" t="n">
        <v>-3.1</v>
      </c>
      <c r="J122" s="200" t="inlineStr">
        <is>
          <t>Feb</t>
        </is>
      </c>
      <c r="K122" s="199" t="n">
        <v>2025</v>
      </c>
      <c r="L122" s="199" t="n">
        <v>2025</v>
      </c>
    </row>
    <row r="123" ht="15" customHeight="1" s="104">
      <c r="A123" s="194" t="n">
        <v>45716</v>
      </c>
      <c r="B123" s="195" t="inlineStr">
        <is>
          <t>Amazon US</t>
        </is>
      </c>
      <c r="C123" s="195" t="inlineStr">
        <is>
          <t>Amazon fees</t>
        </is>
      </c>
      <c r="D123" s="195" t="inlineStr">
        <is>
          <t>Vine Fee</t>
        </is>
      </c>
      <c r="E123" s="196" t="n">
        <v>-200</v>
      </c>
      <c r="F123" s="204" t="n">
        <v>-0.002355977338</v>
      </c>
      <c r="H123" s="196" t="n">
        <v>-200</v>
      </c>
      <c r="J123" s="200" t="inlineStr">
        <is>
          <t>Feb</t>
        </is>
      </c>
      <c r="K123" s="199" t="n">
        <v>2025</v>
      </c>
      <c r="L123" s="199" t="n">
        <v>2025</v>
      </c>
    </row>
    <row r="124" ht="15" customHeight="1" s="104">
      <c r="A124" s="194" t="n">
        <v>45716</v>
      </c>
      <c r="B124" s="195" t="inlineStr">
        <is>
          <t>Amazon US</t>
        </is>
      </c>
      <c r="C124" s="195" t="inlineStr">
        <is>
          <t>Cost of goods</t>
        </is>
      </c>
      <c r="D124" s="195" t="inlineStr">
        <is>
          <t>Cost of goods sold</t>
        </is>
      </c>
      <c r="E124" s="196" t="n">
        <v>-23096.25</v>
      </c>
      <c r="F124" s="204" t="n">
        <v>-0.272071208</v>
      </c>
      <c r="H124" s="196" t="n">
        <v>-23096.25</v>
      </c>
      <c r="J124" s="200" t="inlineStr">
        <is>
          <t>Feb</t>
        </is>
      </c>
      <c r="K124" s="199" t="n">
        <v>2025</v>
      </c>
      <c r="L124" s="199" t="n">
        <v>2025</v>
      </c>
    </row>
    <row r="125" ht="15" customHeight="1" s="104">
      <c r="A125" s="194" t="n">
        <v>45716</v>
      </c>
      <c r="B125" s="195" t="inlineStr">
        <is>
          <t>Amazon US</t>
        </is>
      </c>
      <c r="C125" s="195" t="inlineStr">
        <is>
          <t>Cost of goods</t>
        </is>
      </c>
      <c r="D125" s="195" t="inlineStr">
        <is>
          <t>Lost/damaged by Amazon</t>
        </is>
      </c>
      <c r="E125" s="196" t="n">
        <v>-464.52</v>
      </c>
      <c r="F125" s="204" t="n">
        <v>-0.005471992966</v>
      </c>
      <c r="H125" s="196" t="n">
        <v>-464.52</v>
      </c>
      <c r="J125" s="200" t="inlineStr">
        <is>
          <t>Feb</t>
        </is>
      </c>
      <c r="K125" s="199" t="n">
        <v>2025</v>
      </c>
      <c r="L125" s="199" t="n">
        <v>2025</v>
      </c>
    </row>
    <row r="126" ht="15" customHeight="1" s="104">
      <c r="A126" s="194" t="n">
        <v>45716</v>
      </c>
      <c r="B126" s="195" t="inlineStr">
        <is>
          <t>Amazon CA</t>
        </is>
      </c>
      <c r="C126" s="195" t="inlineStr">
        <is>
          <t>Advertising cost</t>
        </is>
      </c>
      <c r="D126" s="195" t="inlineStr">
        <is>
          <t>Sponsored Products</t>
        </is>
      </c>
      <c r="E126" s="196" t="n">
        <v>-169.92</v>
      </c>
      <c r="F126" s="204" t="n">
        <v>-0.0398464486</v>
      </c>
      <c r="H126" s="196" t="n">
        <v>-169.92</v>
      </c>
      <c r="J126" s="200" t="inlineStr">
        <is>
          <t>Feb</t>
        </is>
      </c>
      <c r="K126" s="199" t="n">
        <v>2025</v>
      </c>
      <c r="L126" s="199" t="n">
        <v>2025</v>
      </c>
    </row>
    <row r="127" ht="15" customHeight="1" s="104">
      <c r="A127" s="194" t="n">
        <v>45716</v>
      </c>
      <c r="B127" s="195" t="inlineStr">
        <is>
          <t>Amazon CA</t>
        </is>
      </c>
      <c r="C127" s="195" t="inlineStr">
        <is>
          <t>Advertising cost</t>
        </is>
      </c>
      <c r="D127" s="195" t="inlineStr">
        <is>
          <t>Sponsored Brands Video</t>
        </is>
      </c>
      <c r="E127" s="198" t="n">
        <v>0</v>
      </c>
      <c r="F127" s="201" t="n">
        <v>0</v>
      </c>
      <c r="H127" s="198" t="n">
        <v>0</v>
      </c>
      <c r="J127" s="200" t="inlineStr">
        <is>
          <t>Feb</t>
        </is>
      </c>
      <c r="K127" s="199" t="n">
        <v>2025</v>
      </c>
      <c r="L127" s="199" t="n">
        <v>2025</v>
      </c>
    </row>
    <row r="128" ht="15" customHeight="1" s="104">
      <c r="A128" s="194" t="n">
        <v>45716</v>
      </c>
      <c r="B128" s="195" t="inlineStr">
        <is>
          <t>Amazon CA</t>
        </is>
      </c>
      <c r="C128" s="195" t="inlineStr">
        <is>
          <t>Advertising cost</t>
        </is>
      </c>
      <c r="D128" s="195" t="inlineStr">
        <is>
          <t>Sponsored Display</t>
        </is>
      </c>
      <c r="E128" s="198" t="n">
        <v>0</v>
      </c>
      <c r="F128" s="201" t="n">
        <v>0</v>
      </c>
      <c r="H128" s="198" t="n">
        <v>0</v>
      </c>
      <c r="J128" s="200" t="inlineStr">
        <is>
          <t>Feb</t>
        </is>
      </c>
      <c r="K128" s="199" t="n">
        <v>2025</v>
      </c>
      <c r="L128" s="199" t="n">
        <v>2025</v>
      </c>
    </row>
    <row r="129" ht="15" customHeight="1" s="104">
      <c r="A129" s="194" t="n">
        <v>45716</v>
      </c>
      <c r="B129" s="195" t="inlineStr">
        <is>
          <t>Amazon CA</t>
        </is>
      </c>
      <c r="C129" s="195" t="inlineStr">
        <is>
          <t>Advertising cost</t>
        </is>
      </c>
      <c r="D129" s="195" t="inlineStr">
        <is>
          <t>Sponsored Brands</t>
        </is>
      </c>
      <c r="E129" s="198" t="n">
        <v>0</v>
      </c>
      <c r="F129" s="201" t="n">
        <v>0</v>
      </c>
      <c r="H129" s="198" t="n">
        <v>0</v>
      </c>
      <c r="J129" s="200" t="inlineStr">
        <is>
          <t>Feb</t>
        </is>
      </c>
      <c r="K129" s="199" t="n">
        <v>2025</v>
      </c>
      <c r="L129" s="199" t="n">
        <v>2025</v>
      </c>
    </row>
    <row r="130" ht="15" customHeight="1" s="104">
      <c r="A130" s="194" t="n">
        <v>45716</v>
      </c>
      <c r="B130" s="195" t="inlineStr">
        <is>
          <t>Amazon CA</t>
        </is>
      </c>
      <c r="C130" s="195" t="inlineStr">
        <is>
          <t>Refund cost</t>
        </is>
      </c>
      <c r="D130" s="195" t="inlineStr">
        <is>
          <t>Refunded amount</t>
        </is>
      </c>
      <c r="E130" s="196" t="n">
        <v>-149.49</v>
      </c>
      <c r="F130" s="204" t="n">
        <v>-0.03505558852</v>
      </c>
      <c r="H130" s="196" t="n">
        <v>-149.49</v>
      </c>
      <c r="J130" s="200" t="inlineStr">
        <is>
          <t>Feb</t>
        </is>
      </c>
      <c r="K130" s="199" t="n">
        <v>2025</v>
      </c>
      <c r="L130" s="199" t="n">
        <v>2025</v>
      </c>
    </row>
    <row r="131" ht="15" customHeight="1" s="104">
      <c r="A131" s="194" t="n">
        <v>45716</v>
      </c>
      <c r="B131" s="195" t="inlineStr">
        <is>
          <t>Amazon CA</t>
        </is>
      </c>
      <c r="C131" s="195" t="inlineStr">
        <is>
          <t>Refund cost</t>
        </is>
      </c>
      <c r="D131" s="195" t="inlineStr">
        <is>
          <t>Refund commission</t>
        </is>
      </c>
      <c r="E131" s="196" t="n">
        <v>-4.49</v>
      </c>
      <c r="F131" s="204" t="n">
        <v>-0.001052910512</v>
      </c>
      <c r="H131" s="196" t="n">
        <v>-4.49</v>
      </c>
      <c r="J131" s="200" t="inlineStr">
        <is>
          <t>Feb</t>
        </is>
      </c>
      <c r="K131" s="199" t="n">
        <v>2025</v>
      </c>
      <c r="L131" s="199" t="n">
        <v>2025</v>
      </c>
    </row>
    <row r="132" ht="15" customHeight="1" s="104">
      <c r="A132" s="194" t="n">
        <v>45716</v>
      </c>
      <c r="B132" s="195" t="inlineStr">
        <is>
          <t>Amazon CA</t>
        </is>
      </c>
      <c r="C132" s="195" t="inlineStr">
        <is>
          <t>Refund cost</t>
        </is>
      </c>
      <c r="D132" s="195" t="inlineStr">
        <is>
          <t>Refunded referral fee</t>
        </is>
      </c>
      <c r="E132" s="196" t="n">
        <v>22.43</v>
      </c>
      <c r="F132" s="204" t="n">
        <v>0.005259862535</v>
      </c>
      <c r="H132" s="196" t="n">
        <v>22.43</v>
      </c>
      <c r="J132" s="200" t="inlineStr">
        <is>
          <t>Feb</t>
        </is>
      </c>
      <c r="K132" s="199" t="n">
        <v>2025</v>
      </c>
      <c r="L132" s="199" t="n">
        <v>2025</v>
      </c>
    </row>
    <row r="133" ht="15" customHeight="1" s="104">
      <c r="A133" s="194" t="n">
        <v>45716</v>
      </c>
      <c r="B133" s="195" t="inlineStr">
        <is>
          <t>Amazon CA</t>
        </is>
      </c>
      <c r="C133" s="195" t="inlineStr">
        <is>
          <t>Refund cost</t>
        </is>
      </c>
      <c r="D133" s="195" t="inlineStr">
        <is>
          <t>Value of returned items</t>
        </is>
      </c>
      <c r="E133" s="196" t="n">
        <v>48.1</v>
      </c>
      <c r="F133" s="204" t="n">
        <v>0.01127950905</v>
      </c>
      <c r="H133" s="196" t="n">
        <v>48.1</v>
      </c>
      <c r="J133" s="200" t="inlineStr">
        <is>
          <t>Feb</t>
        </is>
      </c>
      <c r="K133" s="199" t="n">
        <v>2025</v>
      </c>
      <c r="L133" s="199" t="n">
        <v>2025</v>
      </c>
    </row>
    <row r="134" ht="15" customHeight="1" s="104">
      <c r="A134" s="194" t="n">
        <v>45716</v>
      </c>
      <c r="B134" s="195" t="inlineStr">
        <is>
          <t>Amazon CA</t>
        </is>
      </c>
      <c r="C134" s="195" t="inlineStr">
        <is>
          <t>Amazon fees</t>
        </is>
      </c>
      <c r="D134" s="195" t="inlineStr">
        <is>
          <t>FBA per unit fulfilment fee</t>
        </is>
      </c>
      <c r="E134" s="196" t="n">
        <v>-747.66</v>
      </c>
      <c r="F134" s="204" t="n">
        <v>-0.1753271878</v>
      </c>
      <c r="H134" s="196" t="n">
        <v>-747.66</v>
      </c>
      <c r="J134" s="200" t="inlineStr">
        <is>
          <t>Feb</t>
        </is>
      </c>
      <c r="K134" s="199" t="n">
        <v>2025</v>
      </c>
      <c r="L134" s="199" t="n">
        <v>2025</v>
      </c>
    </row>
    <row r="135" ht="15" customHeight="1" s="104">
      <c r="A135" s="194" t="n">
        <v>45716</v>
      </c>
      <c r="B135" s="195" t="inlineStr">
        <is>
          <t>Amazon CA</t>
        </is>
      </c>
      <c r="C135" s="195" t="inlineStr">
        <is>
          <t>Amazon fees</t>
        </is>
      </c>
      <c r="D135" s="195" t="inlineStr">
        <is>
          <t>Referral fee</t>
        </is>
      </c>
      <c r="E135" s="196" t="n">
        <v>-580.4</v>
      </c>
      <c r="F135" s="204" t="n">
        <v>-0.1361045125</v>
      </c>
      <c r="H135" s="196" t="n">
        <v>-580.4</v>
      </c>
      <c r="J135" s="200" t="inlineStr">
        <is>
          <t>Feb</t>
        </is>
      </c>
      <c r="K135" s="199" t="n">
        <v>2025</v>
      </c>
      <c r="L135" s="199" t="n">
        <v>2025</v>
      </c>
    </row>
    <row r="136" ht="15" customHeight="1" s="104">
      <c r="A136" s="194" t="n">
        <v>45716</v>
      </c>
      <c r="B136" s="195" t="inlineStr">
        <is>
          <t>Amazon CA</t>
        </is>
      </c>
      <c r="C136" s="195" t="inlineStr">
        <is>
          <t>Amazon fees</t>
        </is>
      </c>
      <c r="D136" s="195" t="inlineStr">
        <is>
          <t>FBA storage fee</t>
        </is>
      </c>
      <c r="E136" s="196" t="n">
        <v>-8.17</v>
      </c>
      <c r="F136" s="204" t="n">
        <v>-0.00191587503</v>
      </c>
      <c r="H136" s="196" t="n">
        <v>-8.17</v>
      </c>
      <c r="J136" s="200" t="inlineStr">
        <is>
          <t>Feb</t>
        </is>
      </c>
      <c r="K136" s="199" t="n">
        <v>2025</v>
      </c>
      <c r="L136" s="199" t="n">
        <v>2025</v>
      </c>
    </row>
    <row r="137" ht="15" customHeight="1" s="104">
      <c r="A137" s="194" t="n">
        <v>45716</v>
      </c>
      <c r="B137" s="195" t="inlineStr">
        <is>
          <t>Amazon CA</t>
        </is>
      </c>
      <c r="C137" s="195" t="inlineStr">
        <is>
          <t>Amazon fees</t>
        </is>
      </c>
      <c r="D137" s="195" t="inlineStr">
        <is>
          <t>Digital services fee</t>
        </is>
      </c>
      <c r="E137" s="196" t="n">
        <v>-11.65</v>
      </c>
      <c r="F137" s="204" t="n">
        <v>-0.002731939302</v>
      </c>
      <c r="H137" s="196" t="n">
        <v>-11.65</v>
      </c>
      <c r="J137" s="200" t="inlineStr">
        <is>
          <t>Feb</t>
        </is>
      </c>
      <c r="K137" s="199" t="n">
        <v>2025</v>
      </c>
      <c r="L137" s="199" t="n">
        <v>2025</v>
      </c>
    </row>
    <row r="138" ht="15" customHeight="1" s="104">
      <c r="A138" s="194" t="n">
        <v>45716</v>
      </c>
      <c r="B138" s="195" t="inlineStr">
        <is>
          <t>Amazon CA</t>
        </is>
      </c>
      <c r="C138" s="195" t="inlineStr">
        <is>
          <t>Cost of goods</t>
        </is>
      </c>
      <c r="D138" s="195" t="inlineStr">
        <is>
          <t>Cost of goods sold</t>
        </is>
      </c>
      <c r="E138" s="196" t="n">
        <v>-1278.22</v>
      </c>
      <c r="F138" s="204" t="n">
        <v>-0.2997441592</v>
      </c>
      <c r="H138" s="196" t="n">
        <v>-1278.22</v>
      </c>
      <c r="J138" s="200" t="inlineStr">
        <is>
          <t>Feb</t>
        </is>
      </c>
      <c r="K138" s="199" t="n">
        <v>2025</v>
      </c>
      <c r="L138" s="199" t="n">
        <v>2025</v>
      </c>
    </row>
    <row r="139" ht="15" customHeight="1" s="104">
      <c r="A139" s="194" t="n">
        <v>45716</v>
      </c>
      <c r="B139" s="195" t="inlineStr">
        <is>
          <t>Tiktok</t>
        </is>
      </c>
      <c r="C139" s="195" t="inlineStr">
        <is>
          <t>Tiktok Shipping</t>
        </is>
      </c>
      <c r="D139" s="195" t="inlineStr">
        <is>
          <t>TikTok Shop shipping fee</t>
        </is>
      </c>
      <c r="E139" s="198" t="n">
        <v>0</v>
      </c>
      <c r="F139" s="201" t="n">
        <v>0</v>
      </c>
      <c r="H139" s="198" t="n">
        <v>0</v>
      </c>
      <c r="J139" s="200" t="inlineStr">
        <is>
          <t>Feb</t>
        </is>
      </c>
      <c r="K139" s="199" t="n">
        <v>2025</v>
      </c>
      <c r="L139" s="199" t="n">
        <v>2025</v>
      </c>
    </row>
    <row r="140" ht="15" customHeight="1" s="104">
      <c r="A140" s="194" t="n">
        <v>45716</v>
      </c>
      <c r="B140" s="195" t="inlineStr">
        <is>
          <t>Tiktok</t>
        </is>
      </c>
      <c r="C140" s="195" t="inlineStr">
        <is>
          <t>Tiktok Shipping</t>
        </is>
      </c>
      <c r="D140" s="195" t="inlineStr">
        <is>
          <t>Fulfilled by TikTok Shop (FBT) shipping fee</t>
        </is>
      </c>
      <c r="E140" s="198" t="n">
        <v>0</v>
      </c>
      <c r="F140" s="201" t="n">
        <v>0</v>
      </c>
      <c r="H140" s="198" t="n">
        <v>0</v>
      </c>
      <c r="J140" s="200" t="inlineStr">
        <is>
          <t>Feb</t>
        </is>
      </c>
      <c r="K140" s="199" t="n">
        <v>2025</v>
      </c>
      <c r="L140" s="199" t="n">
        <v>2025</v>
      </c>
    </row>
    <row r="141" ht="15" customHeight="1" s="104">
      <c r="A141" s="194" t="n">
        <v>45716</v>
      </c>
      <c r="B141" s="195" t="inlineStr">
        <is>
          <t>Tiktok</t>
        </is>
      </c>
      <c r="C141" s="195" t="inlineStr">
        <is>
          <t>Tiktok Shipping</t>
        </is>
      </c>
      <c r="D141" s="195" t="inlineStr">
        <is>
          <t>Signature confirmation service fee</t>
        </is>
      </c>
      <c r="E141" s="198" t="n">
        <v>0</v>
      </c>
      <c r="F141" s="201" t="n">
        <v>0</v>
      </c>
      <c r="H141" s="198" t="n">
        <v>0</v>
      </c>
      <c r="J141" s="200" t="inlineStr">
        <is>
          <t>Feb</t>
        </is>
      </c>
      <c r="K141" s="199" t="n">
        <v>2025</v>
      </c>
      <c r="L141" s="199" t="n">
        <v>2025</v>
      </c>
    </row>
    <row r="142" ht="15" customHeight="1" s="104">
      <c r="A142" s="194" t="n">
        <v>45716</v>
      </c>
      <c r="B142" s="195" t="inlineStr">
        <is>
          <t>Tiktok</t>
        </is>
      </c>
      <c r="C142" s="195" t="inlineStr">
        <is>
          <t>Tiktok Shipping</t>
        </is>
      </c>
      <c r="D142" s="195" t="inlineStr">
        <is>
          <t>Shipping insurance fee</t>
        </is>
      </c>
      <c r="E142" s="198" t="n">
        <v>0</v>
      </c>
      <c r="F142" s="201" t="n">
        <v>0</v>
      </c>
      <c r="H142" s="198" t="n">
        <v>0</v>
      </c>
      <c r="J142" s="200" t="inlineStr">
        <is>
          <t>Feb</t>
        </is>
      </c>
      <c r="K142" s="199" t="n">
        <v>2025</v>
      </c>
      <c r="L142" s="199" t="n">
        <v>2025</v>
      </c>
    </row>
    <row r="143" ht="15" customHeight="1" s="104">
      <c r="A143" s="194" t="n">
        <v>45716</v>
      </c>
      <c r="B143" s="195" t="inlineStr">
        <is>
          <t>Tiktok</t>
        </is>
      </c>
      <c r="C143" s="195" t="inlineStr">
        <is>
          <t>Tiktok Shipping</t>
        </is>
      </c>
      <c r="D143" s="195" t="inlineStr">
        <is>
          <t>Customer-paid shipping fee</t>
        </is>
      </c>
      <c r="E143" s="196" t="n">
        <v>95</v>
      </c>
      <c r="F143" s="204" t="n">
        <v>0.0161196451</v>
      </c>
      <c r="H143" s="196" t="n">
        <v>95</v>
      </c>
      <c r="J143" s="200" t="inlineStr">
        <is>
          <t>Feb</t>
        </is>
      </c>
      <c r="K143" s="199" t="n">
        <v>2025</v>
      </c>
      <c r="L143" s="199" t="n">
        <v>2025</v>
      </c>
    </row>
    <row r="144" ht="15" customHeight="1" s="104">
      <c r="A144" s="194" t="n">
        <v>45716</v>
      </c>
      <c r="B144" s="195" t="inlineStr">
        <is>
          <t>Tiktok</t>
        </is>
      </c>
      <c r="C144" s="195" t="inlineStr">
        <is>
          <t>Tiktok Shipping</t>
        </is>
      </c>
      <c r="D144" s="195" t="inlineStr">
        <is>
          <t>Customer-paid shipping fee refund</t>
        </is>
      </c>
      <c r="E144" s="198" t="n">
        <v>0</v>
      </c>
      <c r="F144" s="201" t="n">
        <v>0</v>
      </c>
      <c r="H144" s="198" t="n">
        <v>0</v>
      </c>
      <c r="J144" s="200" t="inlineStr">
        <is>
          <t>Feb</t>
        </is>
      </c>
      <c r="K144" s="199" t="n">
        <v>2025</v>
      </c>
      <c r="L144" s="199" t="n">
        <v>2025</v>
      </c>
    </row>
    <row r="145" ht="15" customHeight="1" s="104">
      <c r="A145" s="194" t="n">
        <v>45716</v>
      </c>
      <c r="B145" s="195" t="inlineStr">
        <is>
          <t>Tiktok</t>
        </is>
      </c>
      <c r="C145" s="195" t="inlineStr">
        <is>
          <t>Tiktok Shipping</t>
        </is>
      </c>
      <c r="D145" s="195" t="inlineStr">
        <is>
          <t>TikTok Shop shipping incentive</t>
        </is>
      </c>
      <c r="E145" s="196" t="n">
        <v>30.18</v>
      </c>
      <c r="F145" s="204" t="n">
        <v>0.005120956726</v>
      </c>
      <c r="H145" s="196" t="n">
        <v>30.18</v>
      </c>
      <c r="J145" s="200" t="inlineStr">
        <is>
          <t>Feb</t>
        </is>
      </c>
      <c r="K145" s="199" t="n">
        <v>2025</v>
      </c>
      <c r="L145" s="199" t="n">
        <v>2025</v>
      </c>
    </row>
    <row r="146" ht="15" customHeight="1" s="104">
      <c r="A146" s="194" t="n">
        <v>45716</v>
      </c>
      <c r="B146" s="195" t="inlineStr">
        <is>
          <t>Tiktok</t>
        </is>
      </c>
      <c r="C146" s="195" t="inlineStr">
        <is>
          <t>Tiktok Shipping</t>
        </is>
      </c>
      <c r="D146" s="195" t="inlineStr">
        <is>
          <t>TikTok Shop shipping incentive refund</t>
        </is>
      </c>
      <c r="E146" s="198" t="n">
        <v>0</v>
      </c>
      <c r="F146" s="201" t="n">
        <v>0</v>
      </c>
      <c r="H146" s="198" t="n">
        <v>0</v>
      </c>
      <c r="J146" s="200" t="inlineStr">
        <is>
          <t>Feb</t>
        </is>
      </c>
      <c r="K146" s="199" t="n">
        <v>2025</v>
      </c>
      <c r="L146" s="199" t="n">
        <v>2025</v>
      </c>
    </row>
    <row r="147" ht="15" customHeight="1" s="104">
      <c r="A147" s="194" t="n">
        <v>45716</v>
      </c>
      <c r="B147" s="195" t="inlineStr">
        <is>
          <t>Tiktok</t>
        </is>
      </c>
      <c r="C147" s="195" t="inlineStr">
        <is>
          <t>Tiktok Shipping</t>
        </is>
      </c>
      <c r="D147" s="195" t="inlineStr">
        <is>
          <t>Shipping fee subsidy</t>
        </is>
      </c>
      <c r="E147" s="198" t="n">
        <v>0</v>
      </c>
      <c r="F147" s="201" t="n">
        <v>0</v>
      </c>
      <c r="H147" s="198" t="n">
        <v>0</v>
      </c>
      <c r="J147" s="200" t="inlineStr">
        <is>
          <t>Feb</t>
        </is>
      </c>
      <c r="K147" s="199" t="n">
        <v>2025</v>
      </c>
      <c r="L147" s="199" t="n">
        <v>2025</v>
      </c>
    </row>
    <row r="148" ht="15" customHeight="1" s="104">
      <c r="A148" s="194" t="n">
        <v>45716</v>
      </c>
      <c r="B148" s="195" t="inlineStr">
        <is>
          <t>Tiktok</t>
        </is>
      </c>
      <c r="C148" s="195" t="inlineStr">
        <is>
          <t>Tiktok Shipping</t>
        </is>
      </c>
      <c r="D148" s="195" t="inlineStr">
        <is>
          <t>Return shipping fee</t>
        </is>
      </c>
      <c r="E148" s="198" t="n">
        <v>0</v>
      </c>
      <c r="F148" s="201" t="n">
        <v>0</v>
      </c>
      <c r="H148" s="198" t="n">
        <v>0</v>
      </c>
      <c r="J148" s="200" t="inlineStr">
        <is>
          <t>Feb</t>
        </is>
      </c>
      <c r="K148" s="199" t="n">
        <v>2025</v>
      </c>
      <c r="L148" s="199" t="n">
        <v>2025</v>
      </c>
    </row>
    <row r="149" ht="15" customHeight="1" s="104">
      <c r="A149" s="194" t="n">
        <v>45716</v>
      </c>
      <c r="B149" s="195" t="inlineStr">
        <is>
          <t>Tiktok</t>
        </is>
      </c>
      <c r="C149" s="195" t="inlineStr">
        <is>
          <t>Tiktok Shipping</t>
        </is>
      </c>
      <c r="D149" s="195" t="inlineStr">
        <is>
          <t>FBT fulfillment fee</t>
        </is>
      </c>
      <c r="E149" s="196" t="n">
        <v>-259.02</v>
      </c>
      <c r="F149" s="204" t="n">
        <v>-0.04395063656</v>
      </c>
      <c r="H149" s="196" t="n">
        <v>-259.02</v>
      </c>
      <c r="J149" s="200" t="inlineStr">
        <is>
          <t>Feb</t>
        </is>
      </c>
      <c r="K149" s="199" t="n">
        <v>2025</v>
      </c>
      <c r="L149" s="199" t="n">
        <v>2025</v>
      </c>
    </row>
    <row r="150" ht="15" customHeight="1" s="104">
      <c r="A150" s="194" t="n">
        <v>45716</v>
      </c>
      <c r="B150" s="195" t="inlineStr">
        <is>
          <t>Tiktok</t>
        </is>
      </c>
      <c r="C150" s="195" t="inlineStr">
        <is>
          <t>Tiktok Shipping</t>
        </is>
      </c>
      <c r="D150" s="195" t="inlineStr">
        <is>
          <t>Customer shipping fee offset</t>
        </is>
      </c>
      <c r="E150" s="196" t="n">
        <v>-167.11</v>
      </c>
      <c r="F150" s="204" t="n">
        <v>-0.02835530413</v>
      </c>
      <c r="H150" s="196" t="n">
        <v>-167.11</v>
      </c>
      <c r="J150" s="200" t="inlineStr">
        <is>
          <t>Feb</t>
        </is>
      </c>
      <c r="K150" s="199" t="n">
        <v>2025</v>
      </c>
      <c r="L150" s="199" t="n">
        <v>2025</v>
      </c>
    </row>
    <row r="151" ht="15" customHeight="1" s="104">
      <c r="A151" s="194" t="n">
        <v>45716</v>
      </c>
      <c r="B151" s="195" t="inlineStr">
        <is>
          <t>Tiktok</t>
        </is>
      </c>
      <c r="C151" s="195" t="inlineStr">
        <is>
          <t>Tiktok Shipping</t>
        </is>
      </c>
      <c r="D151" s="195" t="inlineStr">
        <is>
          <t>Co-funded free shipping reimbursement</t>
        </is>
      </c>
      <c r="E151" s="196" t="n">
        <v>21</v>
      </c>
      <c r="F151" s="204" t="n">
        <v>0.003563289969</v>
      </c>
      <c r="H151" s="196" t="n">
        <v>21</v>
      </c>
      <c r="J151" s="200" t="inlineStr">
        <is>
          <t>Feb</t>
        </is>
      </c>
      <c r="K151" s="199" t="n">
        <v>2025</v>
      </c>
      <c r="L151" s="199" t="n">
        <v>2025</v>
      </c>
    </row>
    <row r="152" ht="15" customHeight="1" s="104">
      <c r="A152" s="194" t="n">
        <v>45716</v>
      </c>
      <c r="B152" s="195" t="inlineStr">
        <is>
          <t>Tiktok</t>
        </is>
      </c>
      <c r="C152" s="195" t="inlineStr">
        <is>
          <t>MCF Shipping fees</t>
        </is>
      </c>
      <c r="D152" s="195" t="inlineStr">
        <is>
          <t>MCF Shipping fees</t>
        </is>
      </c>
      <c r="E152" s="196" t="n">
        <v>-2008.24</v>
      </c>
      <c r="F152" s="204" t="n">
        <v>-0.3407591165</v>
      </c>
      <c r="H152" s="196" t="n">
        <v>-2008.24</v>
      </c>
      <c r="J152" s="200" t="inlineStr">
        <is>
          <t>Feb</t>
        </is>
      </c>
      <c r="K152" s="199" t="n">
        <v>2025</v>
      </c>
      <c r="L152" s="199" t="n">
        <v>2025</v>
      </c>
    </row>
    <row r="153" ht="15" customHeight="1" s="104">
      <c r="A153" s="194" t="n">
        <v>45716</v>
      </c>
      <c r="B153" s="195" t="inlineStr">
        <is>
          <t>Tiktok</t>
        </is>
      </c>
      <c r="C153" s="195" t="inlineStr">
        <is>
          <t>Fees</t>
        </is>
      </c>
      <c r="D153" s="195" t="inlineStr">
        <is>
          <t>Transaction fee</t>
        </is>
      </c>
      <c r="E153" s="198" t="n">
        <v>0</v>
      </c>
      <c r="F153" s="201" t="n">
        <v>0</v>
      </c>
      <c r="H153" s="198" t="n">
        <v>0</v>
      </c>
      <c r="J153" s="200" t="inlineStr">
        <is>
          <t>Feb</t>
        </is>
      </c>
      <c r="K153" s="199" t="n">
        <v>2025</v>
      </c>
      <c r="L153" s="199" t="n">
        <v>2025</v>
      </c>
    </row>
    <row r="154" ht="15" customHeight="1" s="104">
      <c r="A154" s="194" t="n">
        <v>45716</v>
      </c>
      <c r="B154" s="195" t="inlineStr">
        <is>
          <t>Tiktok</t>
        </is>
      </c>
      <c r="C154" s="195" t="inlineStr">
        <is>
          <t>Fees</t>
        </is>
      </c>
      <c r="D154" s="195" t="inlineStr">
        <is>
          <t>Referral fee</t>
        </is>
      </c>
      <c r="E154" s="196" t="n">
        <v>-359.41</v>
      </c>
      <c r="F154" s="204" t="n">
        <v>-0.06098485941</v>
      </c>
      <c r="H154" s="196" t="n">
        <v>-359.41</v>
      </c>
      <c r="J154" s="200" t="inlineStr">
        <is>
          <t>Feb</t>
        </is>
      </c>
      <c r="K154" s="199" t="n">
        <v>2025</v>
      </c>
      <c r="L154" s="199" t="n">
        <v>2025</v>
      </c>
    </row>
    <row r="155" ht="15" customHeight="1" s="104">
      <c r="A155" s="194" t="n">
        <v>45716</v>
      </c>
      <c r="B155" s="195" t="inlineStr">
        <is>
          <t>Tiktok</t>
        </is>
      </c>
      <c r="C155" s="195" t="inlineStr">
        <is>
          <t>Fees</t>
        </is>
      </c>
      <c r="D155" s="195" t="inlineStr">
        <is>
          <t>Refund administration fee</t>
        </is>
      </c>
      <c r="E155" s="196" t="n">
        <v>-6.06</v>
      </c>
      <c r="F155" s="204" t="n">
        <v>-0.001028263677</v>
      </c>
      <c r="H155" s="196" t="n">
        <v>-6.06</v>
      </c>
      <c r="J155" s="200" t="inlineStr">
        <is>
          <t>Feb</t>
        </is>
      </c>
      <c r="K155" s="199" t="n">
        <v>2025</v>
      </c>
      <c r="L155" s="199" t="n">
        <v>2025</v>
      </c>
    </row>
    <row r="156" ht="15" customHeight="1" s="104">
      <c r="A156" s="194" t="n">
        <v>45716</v>
      </c>
      <c r="B156" s="195" t="inlineStr">
        <is>
          <t>Tiktok</t>
        </is>
      </c>
      <c r="C156" s="195" t="inlineStr">
        <is>
          <t>Fees</t>
        </is>
      </c>
      <c r="D156" s="195" t="inlineStr">
        <is>
          <t>Affiliate commission</t>
        </is>
      </c>
      <c r="E156" s="196" t="n">
        <v>-568.5</v>
      </c>
      <c r="F156" s="204" t="n">
        <v>-0.09646334987000001</v>
      </c>
      <c r="H156" s="196" t="n">
        <v>-568.5</v>
      </c>
      <c r="J156" s="200" t="inlineStr">
        <is>
          <t>Feb</t>
        </is>
      </c>
      <c r="K156" s="199" t="n">
        <v>2025</v>
      </c>
      <c r="L156" s="199" t="n">
        <v>2025</v>
      </c>
    </row>
    <row r="157" ht="15" customHeight="1" s="104">
      <c r="A157" s="194" t="n">
        <v>45716</v>
      </c>
      <c r="B157" s="195" t="inlineStr">
        <is>
          <t>Tiktok</t>
        </is>
      </c>
      <c r="C157" s="195" t="inlineStr">
        <is>
          <t>Fees</t>
        </is>
      </c>
      <c r="D157" s="195" t="inlineStr">
        <is>
          <t>Affiliate partner commission</t>
        </is>
      </c>
      <c r="E157" s="198" t="n">
        <v>0</v>
      </c>
      <c r="F157" s="201" t="n">
        <v>0</v>
      </c>
      <c r="H157" s="198" t="n">
        <v>0</v>
      </c>
      <c r="J157" s="200" t="inlineStr">
        <is>
          <t>Feb</t>
        </is>
      </c>
      <c r="K157" s="199" t="n">
        <v>2025</v>
      </c>
      <c r="L157" s="199" t="n">
        <v>2025</v>
      </c>
    </row>
    <row r="158" ht="15" customHeight="1" s="104">
      <c r="A158" s="194" t="n">
        <v>45716</v>
      </c>
      <c r="B158" s="195" t="inlineStr">
        <is>
          <t>Tiktok</t>
        </is>
      </c>
      <c r="C158" s="195" t="inlineStr">
        <is>
          <t>Fees</t>
        </is>
      </c>
      <c r="D158" s="195" t="inlineStr">
        <is>
          <t>Affiliate Shop Ads commission</t>
        </is>
      </c>
      <c r="E158" s="196" t="n">
        <v>-36</v>
      </c>
      <c r="F158" s="204" t="n">
        <v>-0.006108497089</v>
      </c>
      <c r="H158" s="196" t="n">
        <v>-36</v>
      </c>
      <c r="J158" s="200" t="inlineStr">
        <is>
          <t>Feb</t>
        </is>
      </c>
      <c r="K158" s="199" t="n">
        <v>2025</v>
      </c>
      <c r="L158" s="199" t="n">
        <v>2025</v>
      </c>
    </row>
    <row r="159" ht="15" customHeight="1" s="104">
      <c r="A159" s="194" t="n">
        <v>45716</v>
      </c>
      <c r="B159" s="195" t="inlineStr">
        <is>
          <t>Tiktok</t>
        </is>
      </c>
      <c r="C159" s="195" t="inlineStr">
        <is>
          <t>Fees</t>
        </is>
      </c>
      <c r="D159" s="195" t="inlineStr">
        <is>
          <t>Co-funded promotion service fee</t>
        </is>
      </c>
      <c r="E159" s="198" t="n">
        <v>0</v>
      </c>
      <c r="F159" s="201" t="n">
        <v>0</v>
      </c>
      <c r="H159" s="198" t="n">
        <v>0</v>
      </c>
      <c r="J159" s="200" t="inlineStr">
        <is>
          <t>Feb</t>
        </is>
      </c>
      <c r="K159" s="199" t="n">
        <v>2025</v>
      </c>
      <c r="L159" s="199" t="n">
        <v>2025</v>
      </c>
    </row>
    <row r="160" ht="15" customHeight="1" s="104">
      <c r="A160" s="194" t="n">
        <v>45716</v>
      </c>
      <c r="B160" s="195" t="inlineStr">
        <is>
          <t>Tiktok</t>
        </is>
      </c>
      <c r="C160" s="195" t="inlineStr">
        <is>
          <t xml:space="preserve">Adjustments
</t>
        </is>
      </c>
      <c r="D160" s="195" t="inlineStr">
        <is>
          <t>Logistics adjustment</t>
        </is>
      </c>
      <c r="E160" s="198" t="n">
        <v>0</v>
      </c>
      <c r="F160" s="201" t="n">
        <v>0</v>
      </c>
      <c r="H160" s="198" t="n">
        <v>0</v>
      </c>
      <c r="J160" s="200" t="inlineStr">
        <is>
          <t>Feb</t>
        </is>
      </c>
      <c r="K160" s="199" t="n">
        <v>2025</v>
      </c>
      <c r="L160" s="199" t="n">
        <v>2025</v>
      </c>
    </row>
    <row r="161" ht="15" customHeight="1" s="104">
      <c r="A161" s="194" t="n">
        <v>45716</v>
      </c>
      <c r="B161" s="195" t="inlineStr">
        <is>
          <t>Tiktok</t>
        </is>
      </c>
      <c r="C161" s="195" t="inlineStr">
        <is>
          <t xml:space="preserve">Adjustments
</t>
        </is>
      </c>
      <c r="D161" s="195" t="inlineStr">
        <is>
          <t>Logistics reimbursement</t>
        </is>
      </c>
      <c r="E161" s="198" t="n">
        <v>0</v>
      </c>
      <c r="F161" s="201" t="n">
        <v>0</v>
      </c>
      <c r="H161" s="198" t="n">
        <v>0</v>
      </c>
      <c r="J161" s="200" t="inlineStr">
        <is>
          <t>Feb</t>
        </is>
      </c>
      <c r="K161" s="199" t="n">
        <v>2025</v>
      </c>
      <c r="L161" s="199" t="n">
        <v>2025</v>
      </c>
    </row>
    <row r="162" ht="15" customHeight="1" s="104">
      <c r="A162" s="194" t="n">
        <v>45716</v>
      </c>
      <c r="B162" s="195" t="inlineStr">
        <is>
          <t>Tiktok</t>
        </is>
      </c>
      <c r="C162" s="195" t="inlineStr">
        <is>
          <t xml:space="preserve">Adjustments
</t>
        </is>
      </c>
      <c r="D162" s="195" t="inlineStr">
        <is>
          <t>Logistics deduction</t>
        </is>
      </c>
      <c r="E162" s="198" t="n">
        <v>0</v>
      </c>
      <c r="F162" s="201" t="n">
        <v>0</v>
      </c>
      <c r="H162" s="198" t="n">
        <v>0</v>
      </c>
      <c r="J162" s="200" t="inlineStr">
        <is>
          <t>Feb</t>
        </is>
      </c>
      <c r="K162" s="199" t="n">
        <v>2025</v>
      </c>
      <c r="L162" s="199" t="n">
        <v>2025</v>
      </c>
    </row>
    <row r="163" ht="15" customHeight="1" s="104">
      <c r="A163" s="194" t="n">
        <v>45716</v>
      </c>
      <c r="B163" s="195" t="inlineStr">
        <is>
          <t>Tiktok</t>
        </is>
      </c>
      <c r="C163" s="195" t="inlineStr">
        <is>
          <t xml:space="preserve">Adjustments
</t>
        </is>
      </c>
      <c r="D163" s="195" t="inlineStr">
        <is>
          <t>TikTok Shop reimbursement</t>
        </is>
      </c>
      <c r="E163" s="198" t="n">
        <v>0</v>
      </c>
      <c r="F163" s="201" t="n">
        <v>0</v>
      </c>
      <c r="H163" s="198" t="n">
        <v>0</v>
      </c>
      <c r="J163" s="200" t="inlineStr">
        <is>
          <t>Feb</t>
        </is>
      </c>
      <c r="K163" s="199" t="n">
        <v>2025</v>
      </c>
      <c r="L163" s="199" t="n">
        <v>2025</v>
      </c>
    </row>
    <row r="164" ht="15" customHeight="1" s="104">
      <c r="A164" s="194" t="n">
        <v>45716</v>
      </c>
      <c r="B164" s="195" t="inlineStr">
        <is>
          <t>Tiktok</t>
        </is>
      </c>
      <c r="C164" s="195" t="inlineStr">
        <is>
          <t xml:space="preserve">Adjustments
</t>
        </is>
      </c>
      <c r="D164" s="195" t="inlineStr">
        <is>
          <t>Policy violation deduction</t>
        </is>
      </c>
      <c r="E164" s="198" t="n">
        <v>0</v>
      </c>
      <c r="F164" s="201" t="n">
        <v>0</v>
      </c>
      <c r="H164" s="198" t="n">
        <v>0</v>
      </c>
      <c r="J164" s="200" t="inlineStr">
        <is>
          <t>Feb</t>
        </is>
      </c>
      <c r="K164" s="199" t="n">
        <v>2025</v>
      </c>
      <c r="L164" s="199" t="n">
        <v>2025</v>
      </c>
    </row>
    <row r="165" ht="15" customHeight="1" s="104">
      <c r="A165" s="194" t="n">
        <v>45716</v>
      </c>
      <c r="B165" s="195" t="inlineStr">
        <is>
          <t>Tiktok</t>
        </is>
      </c>
      <c r="C165" s="195" t="inlineStr">
        <is>
          <t xml:space="preserve">Adjustments
</t>
        </is>
      </c>
      <c r="D165" s="195" t="inlineStr">
        <is>
          <t>TikTok fees adjustment</t>
        </is>
      </c>
      <c r="E165" s="198" t="n">
        <v>0</v>
      </c>
      <c r="F165" s="201" t="n">
        <v>0</v>
      </c>
      <c r="H165" s="198" t="n">
        <v>0</v>
      </c>
      <c r="J165" s="200" t="inlineStr">
        <is>
          <t>Feb</t>
        </is>
      </c>
      <c r="K165" s="199" t="n">
        <v>2025</v>
      </c>
      <c r="L165" s="199" t="n">
        <v>2025</v>
      </c>
    </row>
    <row r="166" ht="15" customHeight="1" s="104">
      <c r="A166" s="194" t="n">
        <v>45716</v>
      </c>
      <c r="B166" s="195" t="inlineStr">
        <is>
          <t>Tiktok</t>
        </is>
      </c>
      <c r="C166" s="195" t="inlineStr">
        <is>
          <t xml:space="preserve">Adjustments
</t>
        </is>
      </c>
      <c r="D166" s="195" t="inlineStr">
        <is>
          <t>Promotion adjustment</t>
        </is>
      </c>
      <c r="E166" s="198" t="n">
        <v>0</v>
      </c>
      <c r="F166" s="201" t="n">
        <v>0</v>
      </c>
      <c r="H166" s="198" t="n">
        <v>0</v>
      </c>
      <c r="J166" s="200" t="inlineStr">
        <is>
          <t>Feb</t>
        </is>
      </c>
      <c r="K166" s="199" t="n">
        <v>2025</v>
      </c>
      <c r="L166" s="199" t="n">
        <v>2025</v>
      </c>
    </row>
    <row r="167" ht="15" customHeight="1" s="104">
      <c r="A167" s="194" t="n">
        <v>45716</v>
      </c>
      <c r="B167" s="195" t="inlineStr">
        <is>
          <t>Tiktok</t>
        </is>
      </c>
      <c r="C167" s="195" t="inlineStr">
        <is>
          <t xml:space="preserve">Adjustments
</t>
        </is>
      </c>
      <c r="D167" s="195" t="inlineStr">
        <is>
          <t>Adjustment from settlement account</t>
        </is>
      </c>
      <c r="E167" s="198" t="n">
        <v>0</v>
      </c>
      <c r="F167" s="201" t="n">
        <v>0</v>
      </c>
      <c r="H167" s="198" t="n">
        <v>0</v>
      </c>
      <c r="J167" s="200" t="inlineStr">
        <is>
          <t>Feb</t>
        </is>
      </c>
      <c r="K167" s="199" t="n">
        <v>2025</v>
      </c>
      <c r="L167" s="199" t="n">
        <v>2025</v>
      </c>
    </row>
    <row r="168" ht="15" customHeight="1" s="104">
      <c r="A168" s="194" t="n">
        <v>45716</v>
      </c>
      <c r="B168" s="195" t="inlineStr">
        <is>
          <t>Tiktok</t>
        </is>
      </c>
      <c r="C168" s="195" t="inlineStr">
        <is>
          <t xml:space="preserve">Adjustments
</t>
        </is>
      </c>
      <c r="D168" s="195" t="inlineStr">
        <is>
          <t>Chargeback</t>
        </is>
      </c>
      <c r="E168" s="198" t="n">
        <v>0</v>
      </c>
      <c r="F168" s="201" t="n">
        <v>0</v>
      </c>
      <c r="H168" s="198" t="n">
        <v>0</v>
      </c>
      <c r="J168" s="200" t="inlineStr">
        <is>
          <t>Feb</t>
        </is>
      </c>
      <c r="K168" s="199" t="n">
        <v>2025</v>
      </c>
      <c r="L168" s="199" t="n">
        <v>2025</v>
      </c>
    </row>
    <row r="169" ht="15" customHeight="1" s="104">
      <c r="A169" s="194" t="n">
        <v>45716</v>
      </c>
      <c r="B169" s="195" t="inlineStr">
        <is>
          <t>Tiktok</t>
        </is>
      </c>
      <c r="C169" s="195" t="inlineStr">
        <is>
          <t xml:space="preserve">Adjustments
</t>
        </is>
      </c>
      <c r="D169" s="195" t="inlineStr">
        <is>
          <t>Other adjustment</t>
        </is>
      </c>
      <c r="E169" s="198" t="n">
        <v>0</v>
      </c>
      <c r="F169" s="201" t="n">
        <v>0</v>
      </c>
      <c r="H169" s="198" t="n">
        <v>0</v>
      </c>
      <c r="J169" s="200" t="inlineStr">
        <is>
          <t>Feb</t>
        </is>
      </c>
      <c r="K169" s="199" t="n">
        <v>2025</v>
      </c>
      <c r="L169" s="199" t="n">
        <v>2025</v>
      </c>
    </row>
    <row r="170" ht="15" customHeight="1" s="104">
      <c r="A170" s="194" t="n">
        <v>45716</v>
      </c>
      <c r="B170" s="195" t="inlineStr">
        <is>
          <t>Tiktok</t>
        </is>
      </c>
      <c r="C170" s="195" t="inlineStr">
        <is>
          <t xml:space="preserve">Adjustments
</t>
        </is>
      </c>
      <c r="D170" s="195" t="inlineStr">
        <is>
          <t>Top up ads balance using GMV payments</t>
        </is>
      </c>
      <c r="E170" s="198" t="n">
        <v>0</v>
      </c>
      <c r="F170" s="201" t="n">
        <v>0</v>
      </c>
      <c r="H170" s="198" t="n">
        <v>0</v>
      </c>
      <c r="J170" s="200" t="inlineStr">
        <is>
          <t>Feb</t>
        </is>
      </c>
      <c r="K170" s="199" t="n">
        <v>2025</v>
      </c>
      <c r="L170" s="199" t="n">
        <v>2025</v>
      </c>
    </row>
    <row r="171" ht="15" customHeight="1" s="104">
      <c r="A171" s="194" t="n">
        <v>45716</v>
      </c>
      <c r="B171" s="195" t="inlineStr">
        <is>
          <t>Tiktok</t>
        </is>
      </c>
      <c r="C171" s="195" t="inlineStr">
        <is>
          <t xml:space="preserve">Adjustments
</t>
        </is>
      </c>
      <c r="D171" s="195" t="inlineStr">
        <is>
          <t>FBT warehouse service fee</t>
        </is>
      </c>
      <c r="E171" s="196" t="n">
        <v>-357.28</v>
      </c>
      <c r="F171" s="204" t="n">
        <v>-0.06062344</v>
      </c>
      <c r="H171" s="196" t="n">
        <v>-357.28</v>
      </c>
      <c r="J171" s="200" t="inlineStr">
        <is>
          <t>Feb</t>
        </is>
      </c>
      <c r="K171" s="199" t="n">
        <v>2025</v>
      </c>
      <c r="L171" s="199" t="n">
        <v>2025</v>
      </c>
    </row>
    <row r="172" ht="15" customHeight="1" s="104">
      <c r="A172" s="194" t="n">
        <v>45716</v>
      </c>
      <c r="B172" s="195" t="inlineStr">
        <is>
          <t>Tiktok</t>
        </is>
      </c>
      <c r="C172" s="195" t="inlineStr">
        <is>
          <t xml:space="preserve">Adjustments
</t>
        </is>
      </c>
      <c r="D172" s="195" t="inlineStr">
        <is>
          <t>Co-funded creator activity</t>
        </is>
      </c>
      <c r="E172" s="198" t="n">
        <v>0</v>
      </c>
      <c r="F172" s="201" t="n">
        <v>0</v>
      </c>
      <c r="H172" s="198" t="n">
        <v>0</v>
      </c>
      <c r="J172" s="200" t="inlineStr">
        <is>
          <t>Feb</t>
        </is>
      </c>
      <c r="K172" s="199" t="n">
        <v>2025</v>
      </c>
      <c r="L172" s="199" t="n">
        <v>2025</v>
      </c>
    </row>
    <row r="173" ht="15" customHeight="1" s="104">
      <c r="A173" s="194" t="n">
        <v>45716</v>
      </c>
      <c r="B173" s="195" t="inlineStr">
        <is>
          <t>Tiktok</t>
        </is>
      </c>
      <c r="C173" s="195" t="inlineStr">
        <is>
          <t xml:space="preserve">Adjustments
</t>
        </is>
      </c>
      <c r="D173" s="195" t="inlineStr">
        <is>
          <t>Rebate</t>
        </is>
      </c>
      <c r="E173" s="198" t="n">
        <v>0</v>
      </c>
      <c r="F173" s="201" t="n">
        <v>0</v>
      </c>
      <c r="H173" s="198" t="n">
        <v>0</v>
      </c>
      <c r="J173" s="200" t="inlineStr">
        <is>
          <t>Feb</t>
        </is>
      </c>
      <c r="K173" s="199" t="n">
        <v>2025</v>
      </c>
      <c r="L173" s="199" t="n">
        <v>2025</v>
      </c>
    </row>
    <row r="174" ht="15" customHeight="1" s="104">
      <c r="A174" s="194" t="n">
        <v>45716</v>
      </c>
      <c r="B174" s="195" t="inlineStr">
        <is>
          <t>Tiktok</t>
        </is>
      </c>
      <c r="C174" s="195" t="inlineStr">
        <is>
          <t>Cost of goods</t>
        </is>
      </c>
      <c r="D174" s="195" t="inlineStr">
        <is>
          <t>Cost of goods sold</t>
        </is>
      </c>
      <c r="E174" s="196" t="n">
        <v>-1975.58</v>
      </c>
      <c r="F174" s="204" t="n">
        <v>-0.3352173522</v>
      </c>
      <c r="H174" s="196" t="n">
        <v>-1975.58</v>
      </c>
      <c r="J174" s="200" t="inlineStr">
        <is>
          <t>Feb</t>
        </is>
      </c>
      <c r="K174" s="199" t="n">
        <v>2025</v>
      </c>
      <c r="L174" s="199" t="n">
        <v>2025</v>
      </c>
    </row>
    <row r="175" ht="15" customHeight="1" s="104">
      <c r="A175" s="194" t="n">
        <v>45716</v>
      </c>
      <c r="B175" s="195" t="inlineStr">
        <is>
          <t>Tiktok</t>
        </is>
      </c>
      <c r="C175" s="195" t="inlineStr">
        <is>
          <t>Advertising cost</t>
        </is>
      </c>
      <c r="D175" s="195" t="inlineStr">
        <is>
          <t>Advertising Cost</t>
        </is>
      </c>
      <c r="E175" s="196" t="n">
        <v>-348.39</v>
      </c>
      <c r="F175" s="204" t="n">
        <v>-0.05911498058</v>
      </c>
      <c r="H175" s="196" t="n">
        <v>-348.39</v>
      </c>
      <c r="J175" s="200" t="inlineStr">
        <is>
          <t>Feb</t>
        </is>
      </c>
      <c r="K175" s="199" t="n">
        <v>2025</v>
      </c>
      <c r="L175" s="199" t="n">
        <v>2025</v>
      </c>
    </row>
    <row r="176" ht="15" customHeight="1" s="104">
      <c r="A176" s="194" t="n">
        <v>45716</v>
      </c>
      <c r="B176" s="195" t="inlineStr">
        <is>
          <t>Shopify</t>
        </is>
      </c>
      <c r="C176" s="195" t="inlineStr">
        <is>
          <t>Payment fees</t>
        </is>
      </c>
      <c r="D176" s="195" t="inlineStr">
        <is>
          <t>Shopify Payments fee</t>
        </is>
      </c>
      <c r="E176" s="196" t="n">
        <v>-26.71</v>
      </c>
      <c r="F176" s="204" t="n">
        <v>-0.03072410422</v>
      </c>
      <c r="H176" s="196" t="n">
        <v>-26.71</v>
      </c>
      <c r="J176" s="200" t="inlineStr">
        <is>
          <t>Feb</t>
        </is>
      </c>
      <c r="K176" s="199" t="n">
        <v>2025</v>
      </c>
      <c r="L176" s="199" t="n">
        <v>2025</v>
      </c>
    </row>
    <row r="177" ht="15" customHeight="1" s="104">
      <c r="A177" s="194" t="n">
        <v>45716</v>
      </c>
      <c r="B177" s="195" t="inlineStr">
        <is>
          <t>Shopify</t>
        </is>
      </c>
      <c r="C177" s="195" t="inlineStr">
        <is>
          <t>Cost of goods</t>
        </is>
      </c>
      <c r="D177" s="195" t="inlineStr">
        <is>
          <t>Cost of goods sold</t>
        </is>
      </c>
      <c r="E177" s="196" t="n">
        <v>-265.15</v>
      </c>
      <c r="F177" s="204" t="n">
        <v>-0.304997987</v>
      </c>
      <c r="H177" s="196" t="n">
        <v>-265.15</v>
      </c>
      <c r="J177" s="200" t="inlineStr">
        <is>
          <t>Feb</t>
        </is>
      </c>
      <c r="K177" s="199" t="n">
        <v>2025</v>
      </c>
      <c r="L177" s="199" t="n">
        <v>2025</v>
      </c>
    </row>
    <row r="178" ht="15" customHeight="1" s="104">
      <c r="A178" s="194" t="n">
        <v>45716</v>
      </c>
      <c r="B178" s="195" t="inlineStr">
        <is>
          <t>Shopify</t>
        </is>
      </c>
      <c r="C178" s="195" t="inlineStr">
        <is>
          <t>Tax</t>
        </is>
      </c>
      <c r="D178" s="195" t="inlineStr">
        <is>
          <t>Virginia State Tax</t>
        </is>
      </c>
      <c r="E178" s="198" t="n">
        <v>0</v>
      </c>
      <c r="F178" s="201" t="n">
        <v>0</v>
      </c>
      <c r="H178" s="198" t="n">
        <v>0</v>
      </c>
      <c r="J178" s="200" t="inlineStr">
        <is>
          <t>Feb</t>
        </is>
      </c>
      <c r="K178" s="199" t="n">
        <v>2025</v>
      </c>
      <c r="L178" s="199" t="n">
        <v>2025</v>
      </c>
    </row>
    <row r="179" ht="15" customHeight="1" s="104">
      <c r="A179" s="194" t="n">
        <v>45716</v>
      </c>
      <c r="B179" s="195" t="inlineStr">
        <is>
          <t>Shopify</t>
        </is>
      </c>
      <c r="C179" s="195" t="inlineStr">
        <is>
          <t>Tax</t>
        </is>
      </c>
      <c r="D179" s="195" t="inlineStr">
        <is>
          <t>Henrico County Tax</t>
        </is>
      </c>
      <c r="E179" s="198" t="n">
        <v>0</v>
      </c>
      <c r="F179" s="201" t="n">
        <v>0</v>
      </c>
      <c r="H179" s="198" t="n">
        <v>0</v>
      </c>
      <c r="J179" s="200" t="inlineStr">
        <is>
          <t>Feb</t>
        </is>
      </c>
      <c r="K179" s="199" t="n">
        <v>2025</v>
      </c>
      <c r="L179" s="199" t="n">
        <v>2025</v>
      </c>
    </row>
    <row r="180" ht="15" customHeight="1" s="104">
      <c r="A180" s="194" t="n">
        <v>45716</v>
      </c>
      <c r="B180" s="195" t="inlineStr">
        <is>
          <t>Shopify</t>
        </is>
      </c>
      <c r="C180" s="195" t="inlineStr">
        <is>
          <t>Tax</t>
        </is>
      </c>
      <c r="D180" s="195" t="inlineStr">
        <is>
          <t>Henrico Co Sp</t>
        </is>
      </c>
      <c r="E180" s="198" t="n">
        <v>0</v>
      </c>
      <c r="F180" s="201" t="n">
        <v>0</v>
      </c>
      <c r="H180" s="198" t="n">
        <v>0</v>
      </c>
      <c r="J180" s="200" t="inlineStr">
        <is>
          <t>Feb</t>
        </is>
      </c>
      <c r="K180" s="199" t="n">
        <v>2025</v>
      </c>
      <c r="L180" s="199" t="n">
        <v>2025</v>
      </c>
    </row>
    <row r="181" ht="15" customHeight="1" s="104">
      <c r="A181" s="194" t="n">
        <v>45716</v>
      </c>
      <c r="B181" s="195" t="inlineStr">
        <is>
          <t>Shopify</t>
        </is>
      </c>
      <c r="C181" s="195" t="inlineStr">
        <is>
          <t>MCF Shipping fees</t>
        </is>
      </c>
      <c r="D181" s="195" t="inlineStr">
        <is>
          <t>MCF Shipping fees</t>
        </is>
      </c>
      <c r="E181" s="196" t="n">
        <v>-204.25</v>
      </c>
      <c r="F181" s="204" t="n">
        <v>-0.234945649</v>
      </c>
      <c r="H181" s="196" t="n">
        <v>-204.25</v>
      </c>
      <c r="J181" s="200" t="inlineStr">
        <is>
          <t>Feb</t>
        </is>
      </c>
      <c r="K181" s="199" t="n">
        <v>2025</v>
      </c>
      <c r="L181" s="199" t="n">
        <v>2025</v>
      </c>
    </row>
    <row r="182" ht="15" customHeight="1" s="104">
      <c r="A182" s="194" t="n">
        <v>45716</v>
      </c>
      <c r="B182" s="195" t="inlineStr">
        <is>
          <t>Shopify</t>
        </is>
      </c>
      <c r="C182" s="195" t="inlineStr">
        <is>
          <t>Shipping Cost</t>
        </is>
      </c>
      <c r="D182" s="195" t="inlineStr">
        <is>
          <t>Shipping Cost</t>
        </is>
      </c>
      <c r="E182" s="198" t="n">
        <v>0</v>
      </c>
      <c r="F182" s="201" t="n">
        <v>0</v>
      </c>
      <c r="H182" s="198" t="n">
        <v>0</v>
      </c>
      <c r="J182" s="200" t="inlineStr">
        <is>
          <t>Feb</t>
        </is>
      </c>
      <c r="K182" s="199" t="n">
        <v>2025</v>
      </c>
      <c r="L182" s="199" t="n">
        <v>2025</v>
      </c>
    </row>
    <row r="183" ht="15" customHeight="1" s="104">
      <c r="A183" s="194" t="n">
        <v>45747</v>
      </c>
      <c r="B183" s="195" t="inlineStr">
        <is>
          <t>Amazon US</t>
        </is>
      </c>
      <c r="C183" s="195" t="inlineStr">
        <is>
          <t>Advertising cost</t>
        </is>
      </c>
      <c r="D183" s="195" t="inlineStr">
        <is>
          <t>Sponsored Products</t>
        </is>
      </c>
      <c r="E183" s="196" t="n">
        <v>-6637.98</v>
      </c>
      <c r="F183" s="204" t="n">
        <v>-0.08924268787</v>
      </c>
      <c r="H183" s="196" t="n">
        <v>-6637.98</v>
      </c>
      <c r="J183" s="200" t="inlineStr">
        <is>
          <t>Mar</t>
        </is>
      </c>
      <c r="K183" s="199" t="n">
        <v>2025</v>
      </c>
      <c r="L183" s="199" t="n">
        <v>2025</v>
      </c>
    </row>
    <row r="184" ht="15" customHeight="1" s="104">
      <c r="A184" s="194" t="n">
        <v>45747</v>
      </c>
      <c r="B184" s="195" t="inlineStr">
        <is>
          <t>Amazon US</t>
        </is>
      </c>
      <c r="C184" s="195" t="inlineStr">
        <is>
          <t>Advertising cost</t>
        </is>
      </c>
      <c r="D184" s="195" t="inlineStr">
        <is>
          <t>Sponsored Brands Video</t>
        </is>
      </c>
      <c r="E184" s="198" t="n">
        <v>0</v>
      </c>
      <c r="F184" s="201" t="n">
        <v>0</v>
      </c>
      <c r="H184" s="198" t="n">
        <v>0</v>
      </c>
      <c r="J184" s="200" t="inlineStr">
        <is>
          <t>Mar</t>
        </is>
      </c>
      <c r="K184" s="199" t="n">
        <v>2025</v>
      </c>
      <c r="L184" s="199" t="n">
        <v>2025</v>
      </c>
    </row>
    <row r="185" ht="15" customHeight="1" s="104">
      <c r="A185" s="194" t="n">
        <v>45747</v>
      </c>
      <c r="B185" s="195" t="inlineStr">
        <is>
          <t>Amazon US</t>
        </is>
      </c>
      <c r="C185" s="195" t="inlineStr">
        <is>
          <t>Advertising cost</t>
        </is>
      </c>
      <c r="D185" s="195" t="inlineStr">
        <is>
          <t>Sponsored Display</t>
        </is>
      </c>
      <c r="E185" s="198" t="n">
        <v>0</v>
      </c>
      <c r="F185" s="201" t="n">
        <v>0</v>
      </c>
      <c r="H185" s="198" t="n">
        <v>0</v>
      </c>
      <c r="J185" s="200" t="inlineStr">
        <is>
          <t>Mar</t>
        </is>
      </c>
      <c r="K185" s="199" t="n">
        <v>2025</v>
      </c>
      <c r="L185" s="199" t="n">
        <v>2025</v>
      </c>
    </row>
    <row r="186" ht="15" customHeight="1" s="104">
      <c r="A186" s="194" t="n">
        <v>45747</v>
      </c>
      <c r="B186" s="195" t="inlineStr">
        <is>
          <t>Amazon US</t>
        </is>
      </c>
      <c r="C186" s="195" t="inlineStr">
        <is>
          <t>Advertising cost</t>
        </is>
      </c>
      <c r="D186" s="195" t="inlineStr">
        <is>
          <t>Sponsored Brands</t>
        </is>
      </c>
      <c r="E186" s="198" t="n">
        <v>0</v>
      </c>
      <c r="F186" s="201" t="n">
        <v>0</v>
      </c>
      <c r="H186" s="198" t="n">
        <v>0</v>
      </c>
      <c r="J186" s="200" t="inlineStr">
        <is>
          <t>Mar</t>
        </is>
      </c>
      <c r="K186" s="199" t="n">
        <v>2025</v>
      </c>
      <c r="L186" s="199" t="n">
        <v>2025</v>
      </c>
    </row>
    <row r="187" ht="15" customHeight="1" s="104">
      <c r="A187" s="194" t="n">
        <v>45747</v>
      </c>
      <c r="B187" s="195" t="inlineStr">
        <is>
          <t>Amazon US</t>
        </is>
      </c>
      <c r="C187" s="195" t="inlineStr">
        <is>
          <t>Refund cost</t>
        </is>
      </c>
      <c r="D187" s="195" t="inlineStr">
        <is>
          <t>Refunded amount</t>
        </is>
      </c>
      <c r="E187" s="196" t="n">
        <v>-7924.29</v>
      </c>
      <c r="F187" s="204" t="n">
        <v>-0.106536166</v>
      </c>
      <c r="H187" s="196" t="n">
        <v>-7924.29</v>
      </c>
      <c r="J187" s="200" t="inlineStr">
        <is>
          <t>Mar</t>
        </is>
      </c>
      <c r="K187" s="199" t="n">
        <v>2025</v>
      </c>
      <c r="L187" s="199" t="n">
        <v>2025</v>
      </c>
    </row>
    <row r="188" ht="15" customHeight="1" s="104">
      <c r="A188" s="194" t="n">
        <v>45747</v>
      </c>
      <c r="B188" s="195" t="inlineStr">
        <is>
          <t>Amazon US</t>
        </is>
      </c>
      <c r="C188" s="195" t="inlineStr">
        <is>
          <t>Refund cost</t>
        </is>
      </c>
      <c r="D188" s="195" t="inlineStr">
        <is>
          <t>Refund commission</t>
        </is>
      </c>
      <c r="E188" s="196" t="n">
        <v>-236.02</v>
      </c>
      <c r="F188" s="204" t="n">
        <v>-0.003173112783</v>
      </c>
      <c r="H188" s="196" t="n">
        <v>-236.02</v>
      </c>
      <c r="J188" s="200" t="inlineStr">
        <is>
          <t>Mar</t>
        </is>
      </c>
      <c r="K188" s="199" t="n">
        <v>2025</v>
      </c>
      <c r="L188" s="199" t="n">
        <v>2025</v>
      </c>
    </row>
    <row r="189" ht="15" customHeight="1" s="104">
      <c r="A189" s="194" t="n">
        <v>45747</v>
      </c>
      <c r="B189" s="195" t="inlineStr">
        <is>
          <t>Amazon US</t>
        </is>
      </c>
      <c r="C189" s="195" t="inlineStr">
        <is>
          <t>Refund cost</t>
        </is>
      </c>
      <c r="D189" s="195" t="inlineStr">
        <is>
          <t>Promotion</t>
        </is>
      </c>
      <c r="E189" s="196" t="n">
        <v>35.2</v>
      </c>
      <c r="F189" s="204" t="n">
        <v>0.0004732377339</v>
      </c>
      <c r="H189" s="196" t="n">
        <v>35.2</v>
      </c>
      <c r="J189" s="200" t="inlineStr">
        <is>
          <t>Mar</t>
        </is>
      </c>
      <c r="K189" s="199" t="n">
        <v>2025</v>
      </c>
      <c r="L189" s="199" t="n">
        <v>2025</v>
      </c>
    </row>
    <row r="190" ht="15" customHeight="1" s="104">
      <c r="A190" s="194" t="n">
        <v>45747</v>
      </c>
      <c r="B190" s="195" t="inlineStr">
        <is>
          <t>Amazon US</t>
        </is>
      </c>
      <c r="C190" s="195" t="inlineStr">
        <is>
          <t>Refund cost</t>
        </is>
      </c>
      <c r="D190" s="195" t="inlineStr">
        <is>
          <t>Refunded referral fee</t>
        </is>
      </c>
      <c r="E190" s="196" t="n">
        <v>1183.62</v>
      </c>
      <c r="F190" s="204" t="n">
        <v>0.01591288769</v>
      </c>
      <c r="H190" s="196" t="n">
        <v>1183.62</v>
      </c>
      <c r="J190" s="200" t="inlineStr">
        <is>
          <t>Mar</t>
        </is>
      </c>
      <c r="K190" s="199" t="n">
        <v>2025</v>
      </c>
      <c r="L190" s="199" t="n">
        <v>2025</v>
      </c>
    </row>
    <row r="191" ht="15" customHeight="1" s="104">
      <c r="A191" s="194" t="n">
        <v>45747</v>
      </c>
      <c r="B191" s="195" t="inlineStr">
        <is>
          <t>Amazon US</t>
        </is>
      </c>
      <c r="C191" s="195" t="inlineStr">
        <is>
          <t>Refund cost</t>
        </is>
      </c>
      <c r="D191" s="195" t="inlineStr">
        <is>
          <t>Value of returned items</t>
        </is>
      </c>
      <c r="E191" s="196" t="n">
        <v>1212.8</v>
      </c>
      <c r="F191" s="204" t="n">
        <v>0.01630519101</v>
      </c>
      <c r="H191" s="196" t="n">
        <v>1212.8</v>
      </c>
      <c r="J191" s="200" t="inlineStr">
        <is>
          <t>Mar</t>
        </is>
      </c>
      <c r="K191" s="199" t="n">
        <v>2025</v>
      </c>
      <c r="L191" s="199" t="n">
        <v>2025</v>
      </c>
    </row>
    <row r="192" ht="15" customHeight="1" s="104">
      <c r="A192" s="194" t="n">
        <v>45747</v>
      </c>
      <c r="B192" s="195" t="inlineStr">
        <is>
          <t>Amazon US</t>
        </is>
      </c>
      <c r="C192" s="195" t="inlineStr">
        <is>
          <t>Amazon fees</t>
        </is>
      </c>
      <c r="D192" s="195" t="inlineStr">
        <is>
          <t>FBA per unit fulfilment fee</t>
        </is>
      </c>
      <c r="E192" s="196" t="n">
        <v>-13015.51</v>
      </c>
      <c r="F192" s="204" t="n">
        <v>-0.1749838198</v>
      </c>
      <c r="H192" s="196" t="n">
        <v>-13015.51</v>
      </c>
      <c r="J192" s="200" t="inlineStr">
        <is>
          <t>Mar</t>
        </is>
      </c>
      <c r="K192" s="199" t="n">
        <v>2025</v>
      </c>
      <c r="L192" s="199" t="n">
        <v>2025</v>
      </c>
    </row>
    <row r="193" ht="15" customHeight="1" s="104">
      <c r="A193" s="194" t="n">
        <v>45747</v>
      </c>
      <c r="B193" s="195" t="inlineStr">
        <is>
          <t>Amazon US</t>
        </is>
      </c>
      <c r="C193" s="195" t="inlineStr">
        <is>
          <t>Amazon fees</t>
        </is>
      </c>
      <c r="D193" s="195" t="inlineStr">
        <is>
          <t>Referral fee</t>
        </is>
      </c>
      <c r="E193" s="196" t="n">
        <v>-10959.89</v>
      </c>
      <c r="F193" s="204" t="n">
        <v>-0.1473475428</v>
      </c>
      <c r="H193" s="196" t="n">
        <v>-10959.89</v>
      </c>
      <c r="J193" s="200" t="inlineStr">
        <is>
          <t>Mar</t>
        </is>
      </c>
      <c r="K193" s="199" t="n">
        <v>2025</v>
      </c>
      <c r="L193" s="199" t="n">
        <v>2025</v>
      </c>
    </row>
    <row r="194" ht="15" customHeight="1" s="104">
      <c r="A194" s="194" t="n">
        <v>45747</v>
      </c>
      <c r="B194" s="195" t="inlineStr">
        <is>
          <t>Amazon US</t>
        </is>
      </c>
      <c r="C194" s="195" t="inlineStr">
        <is>
          <t>Amazon fees</t>
        </is>
      </c>
      <c r="D194" s="195" t="inlineStr">
        <is>
          <t>FBA storage fee</t>
        </is>
      </c>
      <c r="E194" s="196" t="n">
        <v>-1181.03</v>
      </c>
      <c r="F194" s="204" t="n">
        <v>-0.01587806707</v>
      </c>
      <c r="H194" s="196" t="n">
        <v>-1181.03</v>
      </c>
      <c r="J194" s="200" t="inlineStr">
        <is>
          <t>Mar</t>
        </is>
      </c>
      <c r="K194" s="199" t="n">
        <v>2025</v>
      </c>
      <c r="L194" s="199" t="n">
        <v>2025</v>
      </c>
    </row>
    <row r="195" ht="15" customHeight="1" s="104">
      <c r="A195" s="194" t="n">
        <v>45747</v>
      </c>
      <c r="B195" s="195" t="inlineStr">
        <is>
          <t>Amazon US</t>
        </is>
      </c>
      <c r="C195" s="195" t="inlineStr">
        <is>
          <t>Amazon fees</t>
        </is>
      </c>
      <c r="D195" s="195" t="inlineStr">
        <is>
          <t>FBA disposal fee</t>
        </is>
      </c>
      <c r="E195" s="196" t="n">
        <v>-406.88</v>
      </c>
      <c r="F195" s="204" t="n">
        <v>-0.005470197988</v>
      </c>
      <c r="H195" s="196" t="n">
        <v>-406.88</v>
      </c>
      <c r="J195" s="200" t="inlineStr">
        <is>
          <t>Mar</t>
        </is>
      </c>
      <c r="K195" s="199" t="n">
        <v>2025</v>
      </c>
      <c r="L195" s="199" t="n">
        <v>2025</v>
      </c>
    </row>
    <row r="196" ht="15" customHeight="1" s="104">
      <c r="A196" s="194" t="n">
        <v>45747</v>
      </c>
      <c r="B196" s="195" t="inlineStr">
        <is>
          <t>Amazon US</t>
        </is>
      </c>
      <c r="C196" s="195" t="inlineStr">
        <is>
          <t>Amazon fees</t>
        </is>
      </c>
      <c r="D196" s="195" t="inlineStr">
        <is>
          <t>AWD transportation fee</t>
        </is>
      </c>
      <c r="E196" s="198" t="n">
        <v>0</v>
      </c>
      <c r="F196" s="201" t="n">
        <v>0</v>
      </c>
      <c r="H196" s="198" t="n">
        <v>0</v>
      </c>
      <c r="J196" s="200" t="inlineStr">
        <is>
          <t>Mar</t>
        </is>
      </c>
      <c r="K196" s="199" t="n">
        <v>2025</v>
      </c>
      <c r="L196" s="199" t="n">
        <v>2025</v>
      </c>
    </row>
    <row r="197" ht="15" customHeight="1" s="104">
      <c r="A197" s="194" t="n">
        <v>45747</v>
      </c>
      <c r="B197" s="195" t="inlineStr">
        <is>
          <t>Amazon US</t>
        </is>
      </c>
      <c r="C197" s="195" t="inlineStr">
        <is>
          <t>Amazon fees</t>
        </is>
      </c>
      <c r="D197" s="195" t="inlineStr">
        <is>
          <t>AWD processing fee</t>
        </is>
      </c>
      <c r="E197" s="198" t="n">
        <v>0</v>
      </c>
      <c r="F197" s="201" t="n">
        <v>0</v>
      </c>
      <c r="H197" s="198" t="n">
        <v>0</v>
      </c>
      <c r="J197" s="200" t="inlineStr">
        <is>
          <t>Mar</t>
        </is>
      </c>
      <c r="K197" s="199" t="n">
        <v>2025</v>
      </c>
      <c r="L197" s="199" t="n">
        <v>2025</v>
      </c>
    </row>
    <row r="198" ht="15" customHeight="1" s="104">
      <c r="A198" s="194" t="n">
        <v>45747</v>
      </c>
      <c r="B198" s="195" t="inlineStr">
        <is>
          <t>Amazon US</t>
        </is>
      </c>
      <c r="C198" s="195" t="inlineStr">
        <is>
          <t>Amazon fees</t>
        </is>
      </c>
      <c r="D198" s="195" t="inlineStr">
        <is>
          <t>FBA inbound convenience fee</t>
        </is>
      </c>
      <c r="E198" s="196" t="n">
        <v>-776.38</v>
      </c>
      <c r="F198" s="204" t="n">
        <v>-0.01043784977</v>
      </c>
      <c r="H198" s="196" t="n">
        <v>-776.38</v>
      </c>
      <c r="J198" s="200" t="inlineStr">
        <is>
          <t>Mar</t>
        </is>
      </c>
      <c r="K198" s="199" t="n">
        <v>2025</v>
      </c>
      <c r="L198" s="199" t="n">
        <v>2025</v>
      </c>
    </row>
    <row r="199" ht="15" customHeight="1" s="104">
      <c r="A199" s="194" t="n">
        <v>45747</v>
      </c>
      <c r="B199" s="195" t="inlineStr">
        <is>
          <t>Amazon US</t>
        </is>
      </c>
      <c r="C199" s="195" t="inlineStr">
        <is>
          <t>Amazon fees</t>
        </is>
      </c>
      <c r="D199" s="195" t="inlineStr">
        <is>
          <t>Liquidations brokerage fee</t>
        </is>
      </c>
      <c r="E199" s="196" t="n">
        <v>-13</v>
      </c>
      <c r="F199" s="204" t="n">
        <v>-0.0001747752995</v>
      </c>
      <c r="H199" s="196" t="n">
        <v>-13</v>
      </c>
      <c r="J199" s="200" t="inlineStr">
        <is>
          <t>Mar</t>
        </is>
      </c>
      <c r="K199" s="199" t="n">
        <v>2025</v>
      </c>
      <c r="L199" s="199" t="n">
        <v>2025</v>
      </c>
    </row>
    <row r="200" ht="15" customHeight="1" s="104">
      <c r="A200" s="194" t="n">
        <v>45747</v>
      </c>
      <c r="B200" s="195" t="inlineStr">
        <is>
          <t>Amazon US</t>
        </is>
      </c>
      <c r="C200" s="195" t="inlineStr">
        <is>
          <t>Amazon fees</t>
        </is>
      </c>
      <c r="D200" s="195" t="inlineStr">
        <is>
          <t>Missing from inbound clawback</t>
        </is>
      </c>
      <c r="E200" s="198" t="n">
        <v>0</v>
      </c>
      <c r="F200" s="201" t="n">
        <v>0</v>
      </c>
      <c r="H200" s="198" t="n">
        <v>0</v>
      </c>
      <c r="J200" s="200" t="inlineStr">
        <is>
          <t>Mar</t>
        </is>
      </c>
      <c r="K200" s="199" t="n">
        <v>2025</v>
      </c>
      <c r="L200" s="199" t="n">
        <v>2025</v>
      </c>
    </row>
    <row r="201" ht="15" customHeight="1" s="104">
      <c r="A201" s="194" t="n">
        <v>45747</v>
      </c>
      <c r="B201" s="195" t="inlineStr">
        <is>
          <t>Amazon US</t>
        </is>
      </c>
      <c r="C201" s="195" t="inlineStr">
        <is>
          <t>Amazon fees</t>
        </is>
      </c>
      <c r="D201" s="195" t="inlineStr">
        <is>
          <t>Customer Return HRR Unit Fee</t>
        </is>
      </c>
      <c r="E201" s="196" t="n">
        <v>-31.16</v>
      </c>
      <c r="F201" s="204" t="n">
        <v>-0.0004189229486</v>
      </c>
      <c r="H201" s="196" t="n">
        <v>-31.16</v>
      </c>
      <c r="J201" s="200" t="inlineStr">
        <is>
          <t>Mar</t>
        </is>
      </c>
      <c r="K201" s="199" t="n">
        <v>2025</v>
      </c>
      <c r="L201" s="199" t="n">
        <v>2025</v>
      </c>
    </row>
    <row r="202" ht="15" customHeight="1" s="104">
      <c r="A202" s="194" t="n">
        <v>45747</v>
      </c>
      <c r="B202" s="195" t="inlineStr">
        <is>
          <t>Amazon US</t>
        </is>
      </c>
      <c r="C202" s="195" t="inlineStr">
        <is>
          <t>Amazon fees</t>
        </is>
      </c>
      <c r="D202" s="195" t="inlineStr">
        <is>
          <t>Subscription</t>
        </is>
      </c>
      <c r="E202" s="196" t="n">
        <v>-40</v>
      </c>
      <c r="F202" s="204" t="n">
        <v>-0.0005377701522</v>
      </c>
      <c r="H202" s="196" t="n">
        <v>-40</v>
      </c>
      <c r="J202" s="200" t="inlineStr">
        <is>
          <t>Mar</t>
        </is>
      </c>
      <c r="K202" s="199" t="n">
        <v>2025</v>
      </c>
      <c r="L202" s="199" t="n">
        <v>2025</v>
      </c>
    </row>
    <row r="203" ht="15" customHeight="1" s="104">
      <c r="A203" s="194" t="n">
        <v>45747</v>
      </c>
      <c r="B203" s="195" t="inlineStr">
        <is>
          <t>Amazon US</t>
        </is>
      </c>
      <c r="C203" s="195" t="inlineStr">
        <is>
          <t>Amazon fees</t>
        </is>
      </c>
      <c r="D203" s="195" t="inlineStr">
        <is>
          <t>Get paid faster fee</t>
        </is>
      </c>
      <c r="E203" s="196" t="n">
        <v>-26.36</v>
      </c>
      <c r="F203" s="204" t="n">
        <v>-0.0003543905303</v>
      </c>
      <c r="H203" s="196" t="n">
        <v>-26.36</v>
      </c>
      <c r="J203" s="200" t="inlineStr">
        <is>
          <t>Mar</t>
        </is>
      </c>
      <c r="K203" s="199" t="n">
        <v>2025</v>
      </c>
      <c r="L203" s="199" t="n">
        <v>2025</v>
      </c>
    </row>
    <row r="204" ht="15" customHeight="1" s="104">
      <c r="A204" s="194" t="n">
        <v>45747</v>
      </c>
      <c r="B204" s="195" t="inlineStr">
        <is>
          <t>Amazon US</t>
        </is>
      </c>
      <c r="C204" s="195" t="inlineStr">
        <is>
          <t>Amazon fees</t>
        </is>
      </c>
      <c r="D204" s="195" t="inlineStr">
        <is>
          <t>Compensated clawback</t>
        </is>
      </c>
      <c r="E204" s="196" t="n">
        <v>-57.91</v>
      </c>
      <c r="F204" s="204" t="n">
        <v>-0.0007785567378</v>
      </c>
      <c r="H204" s="196" t="n">
        <v>-57.91</v>
      </c>
      <c r="J204" s="200" t="inlineStr">
        <is>
          <t>Mar</t>
        </is>
      </c>
      <c r="K204" s="199" t="n">
        <v>2025</v>
      </c>
      <c r="L204" s="199" t="n">
        <v>2025</v>
      </c>
    </row>
    <row r="205" ht="15" customHeight="1" s="104">
      <c r="A205" s="194" t="n">
        <v>45747</v>
      </c>
      <c r="B205" s="195" t="inlineStr">
        <is>
          <t>Amazon US</t>
        </is>
      </c>
      <c r="C205" s="195" t="inlineStr">
        <is>
          <t>Amazon fees</t>
        </is>
      </c>
      <c r="D205" s="195" t="inlineStr">
        <is>
          <t>Star storage fee</t>
        </is>
      </c>
      <c r="E205" s="198" t="n">
        <v>0</v>
      </c>
      <c r="F205" s="201" t="n">
        <v>0</v>
      </c>
      <c r="H205" s="198" t="n">
        <v>0</v>
      </c>
      <c r="J205" s="200" t="inlineStr">
        <is>
          <t>Mar</t>
        </is>
      </c>
      <c r="K205" s="199" t="n">
        <v>2025</v>
      </c>
      <c r="L205" s="199" t="n">
        <v>2025</v>
      </c>
    </row>
    <row r="206" ht="15" customHeight="1" s="104">
      <c r="A206" s="194" t="n">
        <v>45747</v>
      </c>
      <c r="B206" s="195" t="inlineStr">
        <is>
          <t>Amazon US</t>
        </is>
      </c>
      <c r="C206" s="195" t="inlineStr">
        <is>
          <t>Amazon fees</t>
        </is>
      </c>
      <c r="D206" s="195" t="inlineStr">
        <is>
          <t>Free replacement refund items</t>
        </is>
      </c>
      <c r="E206" s="196" t="n">
        <v>50.42</v>
      </c>
      <c r="F206" s="204" t="n">
        <v>0.0006778592768</v>
      </c>
      <c r="H206" s="196" t="n">
        <v>50.42</v>
      </c>
      <c r="J206" s="200" t="inlineStr">
        <is>
          <t>Mar</t>
        </is>
      </c>
      <c r="K206" s="199" t="n">
        <v>2025</v>
      </c>
      <c r="L206" s="199" t="n">
        <v>2025</v>
      </c>
    </row>
    <row r="207" ht="15" customHeight="1" s="104">
      <c r="A207" s="194" t="n">
        <v>45747</v>
      </c>
      <c r="B207" s="195" t="inlineStr">
        <is>
          <t>Amazon US</t>
        </is>
      </c>
      <c r="C207" s="195" t="inlineStr">
        <is>
          <t>Amazon fees</t>
        </is>
      </c>
      <c r="D207" s="195" t="inlineStr">
        <is>
          <t>Warehouse lost</t>
        </is>
      </c>
      <c r="E207" s="196" t="n">
        <v>36.08</v>
      </c>
      <c r="F207" s="204" t="n">
        <v>0.0004850686773</v>
      </c>
      <c r="H207" s="196" t="n">
        <v>36.08</v>
      </c>
      <c r="J207" s="200" t="inlineStr">
        <is>
          <t>Mar</t>
        </is>
      </c>
      <c r="K207" s="199" t="n">
        <v>2025</v>
      </c>
      <c r="L207" s="199" t="n">
        <v>2025</v>
      </c>
    </row>
    <row r="208" ht="15" customHeight="1" s="104">
      <c r="A208" s="194" t="n">
        <v>45747</v>
      </c>
      <c r="B208" s="195" t="inlineStr">
        <is>
          <t>Amazon US</t>
        </is>
      </c>
      <c r="C208" s="195" t="inlineStr">
        <is>
          <t>Amazon fees</t>
        </is>
      </c>
      <c r="D208" s="195" t="inlineStr">
        <is>
          <t>Missing from inbound</t>
        </is>
      </c>
      <c r="E208" s="196" t="n">
        <v>806.8200000000001</v>
      </c>
      <c r="F208" s="204" t="n">
        <v>0.01084709285</v>
      </c>
      <c r="H208" s="196" t="n">
        <v>806.8200000000001</v>
      </c>
      <c r="J208" s="200" t="inlineStr">
        <is>
          <t>Mar</t>
        </is>
      </c>
      <c r="K208" s="199" t="n">
        <v>2025</v>
      </c>
      <c r="L208" s="199" t="n">
        <v>2025</v>
      </c>
    </row>
    <row r="209" ht="15" customHeight="1" s="104">
      <c r="A209" s="194" t="n">
        <v>45747</v>
      </c>
      <c r="B209" s="195" t="inlineStr">
        <is>
          <t>Amazon US</t>
        </is>
      </c>
      <c r="C209" s="195" t="inlineStr">
        <is>
          <t>Amazon fees</t>
        </is>
      </c>
      <c r="D209" s="195" t="inlineStr">
        <is>
          <t>Warehouse damage</t>
        </is>
      </c>
      <c r="E209" s="196" t="n">
        <v>116.49</v>
      </c>
      <c r="F209" s="204" t="n">
        <v>0.001566121126</v>
      </c>
      <c r="H209" s="196" t="n">
        <v>116.49</v>
      </c>
      <c r="J209" s="200" t="inlineStr">
        <is>
          <t>Mar</t>
        </is>
      </c>
      <c r="K209" s="199" t="n">
        <v>2025</v>
      </c>
      <c r="L209" s="199" t="n">
        <v>2025</v>
      </c>
    </row>
    <row r="210" ht="15" customHeight="1" s="104">
      <c r="A210" s="194" t="n">
        <v>45747</v>
      </c>
      <c r="B210" s="195" t="inlineStr">
        <is>
          <t>Amazon US</t>
        </is>
      </c>
      <c r="C210" s="195" t="inlineStr">
        <is>
          <t>Amazon fees</t>
        </is>
      </c>
      <c r="D210" s="195" t="inlineStr">
        <is>
          <t>Liquidations revenue</t>
        </is>
      </c>
      <c r="E210" s="196" t="n">
        <v>30.44</v>
      </c>
      <c r="F210" s="204" t="n">
        <v>0.0004092430858</v>
      </c>
      <c r="H210" s="196" t="n">
        <v>30.44</v>
      </c>
      <c r="J210" s="200" t="inlineStr">
        <is>
          <t>Mar</t>
        </is>
      </c>
      <c r="K210" s="199" t="n">
        <v>2025</v>
      </c>
      <c r="L210" s="199" t="n">
        <v>2025</v>
      </c>
    </row>
    <row r="211" ht="15" customHeight="1" s="104">
      <c r="A211" s="194" t="n">
        <v>45747</v>
      </c>
      <c r="B211" s="195" t="inlineStr">
        <is>
          <t>Amazon US</t>
        </is>
      </c>
      <c r="C211" s="195" t="inlineStr">
        <is>
          <t>Amazon fees</t>
        </is>
      </c>
      <c r="D211" s="195" t="inlineStr">
        <is>
          <t>Reversal reimbursement</t>
        </is>
      </c>
      <c r="E211" s="196" t="n">
        <v>708.73</v>
      </c>
      <c r="F211" s="204" t="n">
        <v>0.009528345999</v>
      </c>
      <c r="H211" s="196" t="n">
        <v>708.73</v>
      </c>
      <c r="J211" s="200" t="inlineStr">
        <is>
          <t>Mar</t>
        </is>
      </c>
      <c r="K211" s="199" t="n">
        <v>2025</v>
      </c>
      <c r="L211" s="199" t="n">
        <v>2025</v>
      </c>
    </row>
    <row r="212" ht="15" customHeight="1" s="104">
      <c r="A212" s="194" t="n">
        <v>45747</v>
      </c>
      <c r="B212" s="195" t="inlineStr">
        <is>
          <t>Amazon US</t>
        </is>
      </c>
      <c r="C212" s="195" t="inlineStr">
        <is>
          <t>Amazon fees</t>
        </is>
      </c>
      <c r="D212" s="195" t="inlineStr">
        <is>
          <t>Liquidations revenue adjustment</t>
        </is>
      </c>
      <c r="E212" s="198" t="n">
        <v>0</v>
      </c>
      <c r="F212" s="201" t="n">
        <v>0</v>
      </c>
      <c r="H212" s="198" t="n">
        <v>0</v>
      </c>
      <c r="J212" s="200" t="inlineStr">
        <is>
          <t>Mar</t>
        </is>
      </c>
      <c r="K212" s="199" t="n">
        <v>2025</v>
      </c>
      <c r="L212" s="199" t="n">
        <v>2025</v>
      </c>
    </row>
    <row r="213" ht="15" customHeight="1" s="104">
      <c r="A213" s="194" t="n">
        <v>45747</v>
      </c>
      <c r="B213" s="195" t="inlineStr">
        <is>
          <t>Amazon US</t>
        </is>
      </c>
      <c r="C213" s="195" t="inlineStr">
        <is>
          <t>Amazon fees</t>
        </is>
      </c>
      <c r="D213" s="195" t="inlineStr">
        <is>
          <t>Vine Fee</t>
        </is>
      </c>
      <c r="E213" s="198" t="n">
        <v>0</v>
      </c>
      <c r="F213" s="201" t="n">
        <v>0</v>
      </c>
      <c r="H213" s="198" t="n">
        <v>0</v>
      </c>
      <c r="J213" s="200" t="inlineStr">
        <is>
          <t>Mar</t>
        </is>
      </c>
      <c r="K213" s="199" t="n">
        <v>2025</v>
      </c>
      <c r="L213" s="199" t="n">
        <v>2025</v>
      </c>
    </row>
    <row r="214" ht="15" customHeight="1" s="104">
      <c r="A214" s="194" t="n">
        <v>45747</v>
      </c>
      <c r="B214" s="195" t="inlineStr">
        <is>
          <t>Amazon US</t>
        </is>
      </c>
      <c r="C214" s="195" t="inlineStr">
        <is>
          <t>Amazon fees</t>
        </is>
      </c>
      <c r="D214" s="195" t="inlineStr">
        <is>
          <t xml:space="preserve">Adjustment FBA per unit fulfillment fee
</t>
        </is>
      </c>
      <c r="E214" s="196" t="n">
        <v>7.2</v>
      </c>
      <c r="F214" s="204" t="n">
        <v>9.67986274e-05</v>
      </c>
      <c r="H214" s="196" t="n">
        <v>7.2</v>
      </c>
      <c r="J214" s="200" t="inlineStr">
        <is>
          <t>Mar</t>
        </is>
      </c>
      <c r="K214" s="199" t="n">
        <v>2025</v>
      </c>
      <c r="L214" s="199" t="n">
        <v>2025</v>
      </c>
    </row>
    <row r="215" ht="15" customHeight="1" s="104">
      <c r="A215" s="194" t="n">
        <v>45747</v>
      </c>
      <c r="B215" s="195" t="inlineStr">
        <is>
          <t>Amazon US</t>
        </is>
      </c>
      <c r="C215" s="195" t="inlineStr">
        <is>
          <t>Cost of goods</t>
        </is>
      </c>
      <c r="D215" s="195" t="inlineStr">
        <is>
          <t>Cost of goods sold</t>
        </is>
      </c>
      <c r="E215" s="196" t="n">
        <v>-20407.77</v>
      </c>
      <c r="F215" s="204" t="n">
        <v>-0.2743672395</v>
      </c>
      <c r="H215" s="196" t="n">
        <v>-20407.77</v>
      </c>
      <c r="J215" s="200" t="inlineStr">
        <is>
          <t>Mar</t>
        </is>
      </c>
      <c r="K215" s="199" t="n">
        <v>2025</v>
      </c>
      <c r="L215" s="199" t="n">
        <v>2025</v>
      </c>
    </row>
    <row r="216" ht="15" customHeight="1" s="104">
      <c r="A216" s="194" t="n">
        <v>45747</v>
      </c>
      <c r="B216" s="195" t="inlineStr">
        <is>
          <t>Amazon US</t>
        </is>
      </c>
      <c r="C216" s="195" t="inlineStr">
        <is>
          <t>Cost of goods</t>
        </is>
      </c>
      <c r="D216" s="195" t="inlineStr">
        <is>
          <t>Lost/damaged by Amazon</t>
        </is>
      </c>
      <c r="E216" s="196" t="n">
        <v>-481.25</v>
      </c>
      <c r="F216" s="204" t="n">
        <v>-0.006470047144</v>
      </c>
      <c r="H216" s="196" t="n">
        <v>-481.25</v>
      </c>
      <c r="J216" s="200" t="inlineStr">
        <is>
          <t>Mar</t>
        </is>
      </c>
      <c r="K216" s="199" t="n">
        <v>2025</v>
      </c>
      <c r="L216" s="199" t="n">
        <v>2025</v>
      </c>
    </row>
    <row r="217" ht="15" customHeight="1" s="104">
      <c r="A217" s="194" t="n">
        <v>45747</v>
      </c>
      <c r="B217" s="195" t="inlineStr">
        <is>
          <t>Amazon CA</t>
        </is>
      </c>
      <c r="C217" s="195" t="inlineStr">
        <is>
          <t>Advertising cost</t>
        </is>
      </c>
      <c r="D217" s="195" t="inlineStr">
        <is>
          <t>Sponsored Products</t>
        </is>
      </c>
      <c r="E217" s="196" t="n">
        <v>-532.8099999999999</v>
      </c>
      <c r="F217" s="204" t="n">
        <v>-0.06236451657</v>
      </c>
      <c r="H217" s="196" t="n">
        <v>-532.8099999999999</v>
      </c>
      <c r="J217" s="200" t="inlineStr">
        <is>
          <t>Mar</t>
        </is>
      </c>
      <c r="K217" s="199" t="n">
        <v>2025</v>
      </c>
      <c r="L217" s="199" t="n">
        <v>2025</v>
      </c>
    </row>
    <row r="218" ht="15" customHeight="1" s="104">
      <c r="A218" s="194" t="n">
        <v>45747</v>
      </c>
      <c r="B218" s="195" t="inlineStr">
        <is>
          <t>Amazon CA</t>
        </is>
      </c>
      <c r="C218" s="195" t="inlineStr">
        <is>
          <t>Advertising cost</t>
        </is>
      </c>
      <c r="D218" s="195" t="inlineStr">
        <is>
          <t>Sponsored Brands Video</t>
        </is>
      </c>
      <c r="E218" s="198" t="n">
        <v>0</v>
      </c>
      <c r="F218" s="201" t="n">
        <v>0</v>
      </c>
      <c r="H218" s="198" t="n">
        <v>0</v>
      </c>
      <c r="J218" s="200" t="inlineStr">
        <is>
          <t>Mar</t>
        </is>
      </c>
      <c r="K218" s="199" t="n">
        <v>2025</v>
      </c>
      <c r="L218" s="199" t="n">
        <v>2025</v>
      </c>
    </row>
    <row r="219" ht="15" customHeight="1" s="104">
      <c r="A219" s="194" t="n">
        <v>45747</v>
      </c>
      <c r="B219" s="195" t="inlineStr">
        <is>
          <t>Amazon CA</t>
        </is>
      </c>
      <c r="C219" s="195" t="inlineStr">
        <is>
          <t>Advertising cost</t>
        </is>
      </c>
      <c r="D219" s="195" t="inlineStr">
        <is>
          <t>Sponsored Display</t>
        </is>
      </c>
      <c r="E219" s="198" t="n">
        <v>0</v>
      </c>
      <c r="F219" s="201" t="n">
        <v>0</v>
      </c>
      <c r="H219" s="198" t="n">
        <v>0</v>
      </c>
      <c r="J219" s="200" t="inlineStr">
        <is>
          <t>Mar</t>
        </is>
      </c>
      <c r="K219" s="199" t="n">
        <v>2025</v>
      </c>
      <c r="L219" s="199" t="n">
        <v>2025</v>
      </c>
    </row>
    <row r="220" ht="15" customHeight="1" s="104">
      <c r="A220" s="194" t="n">
        <v>45747</v>
      </c>
      <c r="B220" s="195" t="inlineStr">
        <is>
          <t>Amazon CA</t>
        </is>
      </c>
      <c r="C220" s="195" t="inlineStr">
        <is>
          <t>Advertising cost</t>
        </is>
      </c>
      <c r="D220" s="195" t="inlineStr">
        <is>
          <t>Sponsored Brands</t>
        </is>
      </c>
      <c r="E220" s="198" t="n">
        <v>0</v>
      </c>
      <c r="F220" s="201" t="n">
        <v>0</v>
      </c>
      <c r="H220" s="198" t="n">
        <v>0</v>
      </c>
      <c r="J220" s="200" t="inlineStr">
        <is>
          <t>Mar</t>
        </is>
      </c>
      <c r="K220" s="199" t="n">
        <v>2025</v>
      </c>
      <c r="L220" s="199" t="n">
        <v>2025</v>
      </c>
    </row>
    <row r="221" ht="15" customHeight="1" s="104">
      <c r="A221" s="194" t="n">
        <v>45747</v>
      </c>
      <c r="B221" s="195" t="inlineStr">
        <is>
          <t>Amazon CA</t>
        </is>
      </c>
      <c r="C221" s="195" t="inlineStr">
        <is>
          <t>Refund cost</t>
        </is>
      </c>
      <c r="D221" s="195" t="inlineStr">
        <is>
          <t>Refunded amount</t>
        </is>
      </c>
      <c r="E221" s="196" t="n">
        <v>-1099.24</v>
      </c>
      <c r="F221" s="204" t="n">
        <v>-0.1286641977</v>
      </c>
      <c r="H221" s="196" t="n">
        <v>-1099.24</v>
      </c>
      <c r="J221" s="200" t="inlineStr">
        <is>
          <t>Mar</t>
        </is>
      </c>
      <c r="K221" s="199" t="n">
        <v>2025</v>
      </c>
      <c r="L221" s="199" t="n">
        <v>2025</v>
      </c>
    </row>
    <row r="222" ht="15" customHeight="1" s="104">
      <c r="A222" s="194" t="n">
        <v>45747</v>
      </c>
      <c r="B222" s="195" t="inlineStr">
        <is>
          <t>Amazon CA</t>
        </is>
      </c>
      <c r="C222" s="195" t="inlineStr">
        <is>
          <t>Refund cost</t>
        </is>
      </c>
      <c r="D222" s="195" t="inlineStr">
        <is>
          <t>Refund commission</t>
        </is>
      </c>
      <c r="E222" s="196" t="n">
        <v>-32.96</v>
      </c>
      <c r="F222" s="204" t="n">
        <v>-0.003857912701</v>
      </c>
      <c r="H222" s="196" t="n">
        <v>-32.96</v>
      </c>
      <c r="J222" s="200" t="inlineStr">
        <is>
          <t>Mar</t>
        </is>
      </c>
      <c r="K222" s="199" t="n">
        <v>2025</v>
      </c>
      <c r="L222" s="199" t="n">
        <v>2025</v>
      </c>
    </row>
    <row r="223" ht="15" customHeight="1" s="104">
      <c r="A223" s="194" t="n">
        <v>45747</v>
      </c>
      <c r="B223" s="195" t="inlineStr">
        <is>
          <t>Amazon CA</t>
        </is>
      </c>
      <c r="C223" s="195" t="inlineStr">
        <is>
          <t>Refund cost</t>
        </is>
      </c>
      <c r="D223" s="195" t="inlineStr">
        <is>
          <t>Refunded referral fee</t>
        </is>
      </c>
      <c r="E223" s="196" t="n">
        <v>164.92</v>
      </c>
      <c r="F223" s="204" t="n">
        <v>0.0193036093</v>
      </c>
      <c r="H223" s="196" t="n">
        <v>164.92</v>
      </c>
      <c r="J223" s="200" t="inlineStr">
        <is>
          <t>Mar</t>
        </is>
      </c>
      <c r="K223" s="199" t="n">
        <v>2025</v>
      </c>
      <c r="L223" s="199" t="n">
        <v>2025</v>
      </c>
    </row>
    <row r="224" ht="15" customHeight="1" s="104">
      <c r="A224" s="194" t="n">
        <v>45747</v>
      </c>
      <c r="B224" s="195" t="inlineStr">
        <is>
          <t>Amazon CA</t>
        </is>
      </c>
      <c r="C224" s="195" t="inlineStr">
        <is>
          <t>Refund cost</t>
        </is>
      </c>
      <c r="D224" s="195" t="inlineStr">
        <is>
          <t>Value of returned items</t>
        </is>
      </c>
      <c r="E224" s="196" t="n">
        <v>89.81999999999999</v>
      </c>
      <c r="F224" s="204" t="n">
        <v>0.0105132803</v>
      </c>
      <c r="H224" s="196" t="n">
        <v>89.81999999999999</v>
      </c>
      <c r="J224" s="200" t="inlineStr">
        <is>
          <t>Mar</t>
        </is>
      </c>
      <c r="K224" s="199" t="n">
        <v>2025</v>
      </c>
      <c r="L224" s="199" t="n">
        <v>2025</v>
      </c>
    </row>
    <row r="225" ht="15" customHeight="1" s="104">
      <c r="A225" s="194" t="n">
        <v>45747</v>
      </c>
      <c r="B225" s="195" t="inlineStr">
        <is>
          <t>Amazon CA</t>
        </is>
      </c>
      <c r="C225" s="195" t="inlineStr">
        <is>
          <t>Amazon fees</t>
        </is>
      </c>
      <c r="D225" s="195" t="inlineStr">
        <is>
          <t>FBA per unit fulfilment fee</t>
        </is>
      </c>
      <c r="E225" s="196" t="n">
        <v>-1454.71</v>
      </c>
      <c r="F225" s="204" t="n">
        <v>-0.1702713648</v>
      </c>
      <c r="H225" s="196" t="n">
        <v>-1454.71</v>
      </c>
      <c r="J225" s="200" t="inlineStr">
        <is>
          <t>Mar</t>
        </is>
      </c>
      <c r="K225" s="199" t="n">
        <v>2025</v>
      </c>
      <c r="L225" s="199" t="n">
        <v>2025</v>
      </c>
    </row>
    <row r="226" ht="15" customHeight="1" s="104">
      <c r="A226" s="194" t="n">
        <v>45747</v>
      </c>
      <c r="B226" s="195" t="inlineStr">
        <is>
          <t>Amazon CA</t>
        </is>
      </c>
      <c r="C226" s="195" t="inlineStr">
        <is>
          <t>Amazon fees</t>
        </is>
      </c>
      <c r="D226" s="195" t="inlineStr">
        <is>
          <t>Referral fee</t>
        </is>
      </c>
      <c r="E226" s="196" t="n">
        <v>-1286.76</v>
      </c>
      <c r="F226" s="204" t="n">
        <v>-0.1506130991</v>
      </c>
      <c r="H226" s="196" t="n">
        <v>-1286.76</v>
      </c>
      <c r="J226" s="200" t="inlineStr">
        <is>
          <t>Mar</t>
        </is>
      </c>
      <c r="K226" s="199" t="n">
        <v>2025</v>
      </c>
      <c r="L226" s="199" t="n">
        <v>2025</v>
      </c>
    </row>
    <row r="227" ht="15" customHeight="1" s="104">
      <c r="A227" s="194" t="n">
        <v>45747</v>
      </c>
      <c r="B227" s="195" t="inlineStr">
        <is>
          <t>Amazon CA</t>
        </is>
      </c>
      <c r="C227" s="195" t="inlineStr">
        <is>
          <t>Amazon fees</t>
        </is>
      </c>
      <c r="D227" s="195" t="inlineStr">
        <is>
          <t>FBA storage fee</t>
        </is>
      </c>
      <c r="E227" s="196" t="n">
        <v>-45.77</v>
      </c>
      <c r="F227" s="204" t="n">
        <v>-0.005357301708</v>
      </c>
      <c r="H227" s="196" t="n">
        <v>-45.77</v>
      </c>
      <c r="J227" s="200" t="inlineStr">
        <is>
          <t>Mar</t>
        </is>
      </c>
      <c r="K227" s="199" t="n">
        <v>2025</v>
      </c>
      <c r="L227" s="199" t="n">
        <v>2025</v>
      </c>
    </row>
    <row r="228" ht="15" customHeight="1" s="104">
      <c r="A228" s="194" t="n">
        <v>45747</v>
      </c>
      <c r="B228" s="195" t="inlineStr">
        <is>
          <t>Amazon CA</t>
        </is>
      </c>
      <c r="C228" s="195" t="inlineStr">
        <is>
          <t>Amazon fees</t>
        </is>
      </c>
      <c r="D228" s="195" t="inlineStr">
        <is>
          <t>Digital services fee</t>
        </is>
      </c>
      <c r="E228" s="196" t="n">
        <v>-25.91</v>
      </c>
      <c r="F228" s="204" t="n">
        <v>-0.003032722029</v>
      </c>
      <c r="H228" s="196" t="n">
        <v>-25.91</v>
      </c>
      <c r="J228" s="200" t="inlineStr">
        <is>
          <t>Mar</t>
        </is>
      </c>
      <c r="K228" s="199" t="n">
        <v>2025</v>
      </c>
      <c r="L228" s="199" t="n">
        <v>2025</v>
      </c>
    </row>
    <row r="229" ht="15" customHeight="1" s="104">
      <c r="A229" s="194" t="n">
        <v>45747</v>
      </c>
      <c r="B229" s="195" t="inlineStr">
        <is>
          <t>Amazon CA</t>
        </is>
      </c>
      <c r="C229" s="195" t="inlineStr">
        <is>
          <t>Cost of goods</t>
        </is>
      </c>
      <c r="D229" s="195" t="inlineStr">
        <is>
          <t>Cost of goods sold</t>
        </is>
      </c>
      <c r="E229" s="196" t="n">
        <v>-2290.02</v>
      </c>
      <c r="F229" s="204" t="n">
        <v>-0.2680429989</v>
      </c>
      <c r="H229" s="196" t="n">
        <v>-2290.02</v>
      </c>
      <c r="J229" s="200" t="inlineStr">
        <is>
          <t>Mar</t>
        </is>
      </c>
      <c r="K229" s="199" t="n">
        <v>2025</v>
      </c>
      <c r="L229" s="199" t="n">
        <v>2025</v>
      </c>
    </row>
    <row r="230" ht="15" customHeight="1" s="104">
      <c r="A230" s="194" t="n">
        <v>45747</v>
      </c>
      <c r="B230" s="195" t="inlineStr">
        <is>
          <t>Shopify</t>
        </is>
      </c>
      <c r="C230" s="195" t="inlineStr">
        <is>
          <t>Payment fees</t>
        </is>
      </c>
      <c r="D230" s="195" t="inlineStr">
        <is>
          <t>Shopify Payments fee</t>
        </is>
      </c>
      <c r="E230" s="196" t="n">
        <v>-158</v>
      </c>
      <c r="F230" s="204" t="n">
        <v>-0.0321918799</v>
      </c>
      <c r="H230" s="196" t="n">
        <v>-158</v>
      </c>
      <c r="J230" s="200" t="inlineStr">
        <is>
          <t>Mar</t>
        </is>
      </c>
      <c r="K230" s="199" t="n">
        <v>2025</v>
      </c>
      <c r="L230" s="199" t="n">
        <v>2025</v>
      </c>
    </row>
    <row r="231" ht="15" customHeight="1" s="104">
      <c r="A231" s="194" t="n">
        <v>45747</v>
      </c>
      <c r="B231" s="195" t="inlineStr">
        <is>
          <t>Shopify</t>
        </is>
      </c>
      <c r="C231" s="195" t="inlineStr">
        <is>
          <t>Cost of goods</t>
        </is>
      </c>
      <c r="D231" s="195" t="inlineStr">
        <is>
          <t>Cost of goods sold</t>
        </is>
      </c>
      <c r="E231" s="196" t="n">
        <v>-1904.26</v>
      </c>
      <c r="F231" s="204" t="n">
        <v>-0.3879855014</v>
      </c>
      <c r="H231" s="196" t="n">
        <v>-1904.26</v>
      </c>
      <c r="J231" s="200" t="inlineStr">
        <is>
          <t>Mar</t>
        </is>
      </c>
      <c r="K231" s="199" t="n">
        <v>2025</v>
      </c>
      <c r="L231" s="199" t="n">
        <v>2025</v>
      </c>
    </row>
    <row r="232" ht="15" customHeight="1" s="104">
      <c r="A232" s="194" t="n">
        <v>45747</v>
      </c>
      <c r="B232" s="195" t="inlineStr">
        <is>
          <t>Shopify</t>
        </is>
      </c>
      <c r="C232" s="195" t="inlineStr">
        <is>
          <t>Tax</t>
        </is>
      </c>
      <c r="D232" s="195" t="inlineStr">
        <is>
          <t>Virginia State Tax</t>
        </is>
      </c>
      <c r="E232" s="198" t="n">
        <v>0</v>
      </c>
      <c r="F232" s="201" t="n">
        <v>0</v>
      </c>
      <c r="H232" s="198" t="n">
        <v>0</v>
      </c>
      <c r="J232" s="200" t="inlineStr">
        <is>
          <t>Mar</t>
        </is>
      </c>
      <c r="K232" s="199" t="n">
        <v>2025</v>
      </c>
      <c r="L232" s="199" t="n">
        <v>2025</v>
      </c>
    </row>
    <row r="233" ht="15" customHeight="1" s="104">
      <c r="A233" s="194" t="n">
        <v>45747</v>
      </c>
      <c r="B233" s="195" t="inlineStr">
        <is>
          <t>Shopify</t>
        </is>
      </c>
      <c r="C233" s="195" t="inlineStr">
        <is>
          <t>Tax</t>
        </is>
      </c>
      <c r="D233" s="195" t="inlineStr">
        <is>
          <t>Henrico County Tax</t>
        </is>
      </c>
      <c r="E233" s="198" t="n">
        <v>0</v>
      </c>
      <c r="F233" s="201" t="n">
        <v>0</v>
      </c>
      <c r="H233" s="198" t="n">
        <v>0</v>
      </c>
      <c r="J233" s="200" t="inlineStr">
        <is>
          <t>Mar</t>
        </is>
      </c>
      <c r="K233" s="199" t="n">
        <v>2025</v>
      </c>
      <c r="L233" s="199" t="n">
        <v>2025</v>
      </c>
    </row>
    <row r="234" ht="15" customHeight="1" s="104">
      <c r="A234" s="194" t="n">
        <v>45747</v>
      </c>
      <c r="B234" s="195" t="inlineStr">
        <is>
          <t>Shopify</t>
        </is>
      </c>
      <c r="C234" s="195" t="inlineStr">
        <is>
          <t>Tax</t>
        </is>
      </c>
      <c r="D234" s="195" t="inlineStr">
        <is>
          <t>Henrico Co Sp</t>
        </is>
      </c>
      <c r="E234" s="198" t="n">
        <v>0</v>
      </c>
      <c r="F234" s="201" t="n">
        <v>0</v>
      </c>
      <c r="H234" s="198" t="n">
        <v>0</v>
      </c>
      <c r="J234" s="200" t="inlineStr">
        <is>
          <t>Mar</t>
        </is>
      </c>
      <c r="K234" s="199" t="n">
        <v>2025</v>
      </c>
      <c r="L234" s="199" t="n">
        <v>2025</v>
      </c>
    </row>
    <row r="235" ht="15" customHeight="1" s="104">
      <c r="A235" s="194" t="n">
        <v>45747</v>
      </c>
      <c r="B235" s="195" t="inlineStr">
        <is>
          <t>Shopify</t>
        </is>
      </c>
      <c r="C235" s="195" t="inlineStr">
        <is>
          <t>MCF Shipping fees</t>
        </is>
      </c>
      <c r="D235" s="195" t="inlineStr">
        <is>
          <t>MCF Shipping fees</t>
        </is>
      </c>
      <c r="E235" s="196" t="n">
        <v>-909.67</v>
      </c>
      <c r="F235" s="204" t="n">
        <v>-0.1853416924</v>
      </c>
      <c r="H235" s="196" t="n">
        <v>-909.67</v>
      </c>
      <c r="J235" s="200" t="inlineStr">
        <is>
          <t>Mar</t>
        </is>
      </c>
      <c r="K235" s="199" t="n">
        <v>2025</v>
      </c>
      <c r="L235" s="199" t="n">
        <v>2025</v>
      </c>
    </row>
    <row r="236" ht="15" customHeight="1" s="104">
      <c r="A236" s="194" t="n">
        <v>45747</v>
      </c>
      <c r="B236" s="195" t="inlineStr">
        <is>
          <t>Shopify</t>
        </is>
      </c>
      <c r="C236" s="195" t="inlineStr">
        <is>
          <t>Shipping Cost</t>
        </is>
      </c>
      <c r="D236" s="195" t="inlineStr">
        <is>
          <t>Shipping Cost</t>
        </is>
      </c>
      <c r="E236" s="198" t="n">
        <v>0</v>
      </c>
      <c r="F236" s="201" t="n">
        <v>0</v>
      </c>
      <c r="H236" s="198" t="n">
        <v>0</v>
      </c>
      <c r="J236" s="200" t="inlineStr">
        <is>
          <t>Mar</t>
        </is>
      </c>
      <c r="K236" s="199" t="n">
        <v>2025</v>
      </c>
      <c r="L236" s="199" t="n">
        <v>2025</v>
      </c>
    </row>
    <row r="237" ht="15" customHeight="1" s="104">
      <c r="A237" s="194" t="n">
        <v>45747</v>
      </c>
      <c r="B237" s="195" t="inlineStr">
        <is>
          <t>Shopify</t>
        </is>
      </c>
      <c r="C237" s="195" t="inlineStr">
        <is>
          <t>Advertising cost</t>
        </is>
      </c>
      <c r="D237" s="195" t="inlineStr">
        <is>
          <t>Advertising Cost</t>
        </is>
      </c>
      <c r="E237" s="196" t="n">
        <v>-519.48</v>
      </c>
      <c r="F237" s="204" t="n">
        <v>-0.1058420112</v>
      </c>
      <c r="H237" s="196" t="n">
        <v>-519.48</v>
      </c>
      <c r="J237" s="200" t="inlineStr">
        <is>
          <t>Mar</t>
        </is>
      </c>
      <c r="K237" s="199" t="n">
        <v>2025</v>
      </c>
      <c r="L237" s="199" t="n">
        <v>2025</v>
      </c>
    </row>
    <row r="238" ht="15" customHeight="1" s="104">
      <c r="A238" s="194" t="n">
        <v>45747</v>
      </c>
      <c r="B238" s="195" t="inlineStr">
        <is>
          <t>Tiktok</t>
        </is>
      </c>
      <c r="C238" s="195" t="inlineStr">
        <is>
          <t>Tiktok Shipping</t>
        </is>
      </c>
      <c r="D238" s="195" t="inlineStr">
        <is>
          <t>TikTok Shop shipping fee</t>
        </is>
      </c>
      <c r="E238" s="198" t="n">
        <v>0</v>
      </c>
      <c r="F238" s="201" t="n">
        <v>0</v>
      </c>
      <c r="H238" s="198" t="n">
        <v>0</v>
      </c>
      <c r="J238" s="200" t="inlineStr">
        <is>
          <t>Mar</t>
        </is>
      </c>
      <c r="K238" s="199" t="n">
        <v>2025</v>
      </c>
      <c r="L238" s="199" t="n">
        <v>2025</v>
      </c>
    </row>
    <row r="239" ht="15" customHeight="1" s="104">
      <c r="A239" s="194" t="n">
        <v>45747</v>
      </c>
      <c r="B239" s="195" t="inlineStr">
        <is>
          <t>Tiktok</t>
        </is>
      </c>
      <c r="C239" s="195" t="inlineStr">
        <is>
          <t>Tiktok Shipping</t>
        </is>
      </c>
      <c r="D239" s="195" t="inlineStr">
        <is>
          <t>Fulfilled by TikTok Shop (FBT) shipping fee</t>
        </is>
      </c>
      <c r="E239" s="198" t="n">
        <v>0</v>
      </c>
      <c r="F239" s="201" t="n">
        <v>0</v>
      </c>
      <c r="H239" s="198" t="n">
        <v>0</v>
      </c>
      <c r="J239" s="200" t="inlineStr">
        <is>
          <t>Mar</t>
        </is>
      </c>
      <c r="K239" s="199" t="n">
        <v>2025</v>
      </c>
      <c r="L239" s="199" t="n">
        <v>2025</v>
      </c>
    </row>
    <row r="240" ht="15" customHeight="1" s="104">
      <c r="A240" s="194" t="n">
        <v>45747</v>
      </c>
      <c r="B240" s="195" t="inlineStr">
        <is>
          <t>Tiktok</t>
        </is>
      </c>
      <c r="C240" s="195" t="inlineStr">
        <is>
          <t>Tiktok Shipping</t>
        </is>
      </c>
      <c r="D240" s="195" t="inlineStr">
        <is>
          <t>Signature confirmation service fee</t>
        </is>
      </c>
      <c r="E240" s="198" t="n">
        <v>0</v>
      </c>
      <c r="F240" s="201" t="n">
        <v>0</v>
      </c>
      <c r="H240" s="198" t="n">
        <v>0</v>
      </c>
      <c r="J240" s="200" t="inlineStr">
        <is>
          <t>Mar</t>
        </is>
      </c>
      <c r="K240" s="199" t="n">
        <v>2025</v>
      </c>
      <c r="L240" s="199" t="n">
        <v>2025</v>
      </c>
    </row>
    <row r="241" ht="15" customHeight="1" s="104">
      <c r="A241" s="194" t="n">
        <v>45747</v>
      </c>
      <c r="B241" s="195" t="inlineStr">
        <is>
          <t>Tiktok</t>
        </is>
      </c>
      <c r="C241" s="195" t="inlineStr">
        <is>
          <t>Tiktok Shipping</t>
        </is>
      </c>
      <c r="D241" s="195" t="inlineStr">
        <is>
          <t>Shipping insurance fee</t>
        </is>
      </c>
      <c r="E241" s="198" t="n">
        <v>0</v>
      </c>
      <c r="F241" s="201" t="n">
        <v>0</v>
      </c>
      <c r="H241" s="198" t="n">
        <v>0</v>
      </c>
      <c r="J241" s="200" t="inlineStr">
        <is>
          <t>Mar</t>
        </is>
      </c>
      <c r="K241" s="199" t="n">
        <v>2025</v>
      </c>
      <c r="L241" s="199" t="n">
        <v>2025</v>
      </c>
    </row>
    <row r="242" ht="15" customHeight="1" s="104">
      <c r="A242" s="194" t="n">
        <v>45747</v>
      </c>
      <c r="B242" s="195" t="inlineStr">
        <is>
          <t>Tiktok</t>
        </is>
      </c>
      <c r="C242" s="195" t="inlineStr">
        <is>
          <t>Tiktok Shipping</t>
        </is>
      </c>
      <c r="D242" s="195" t="inlineStr">
        <is>
          <t>Customer-paid shipping fee</t>
        </is>
      </c>
      <c r="E242" s="196" t="n">
        <v>65.89</v>
      </c>
      <c r="F242" s="204" t="n">
        <v>0.01083606606</v>
      </c>
      <c r="H242" s="196" t="n">
        <v>65.89</v>
      </c>
      <c r="J242" s="200" t="inlineStr">
        <is>
          <t>Mar</t>
        </is>
      </c>
      <c r="K242" s="199" t="n">
        <v>2025</v>
      </c>
      <c r="L242" s="199" t="n">
        <v>2025</v>
      </c>
    </row>
    <row r="243" ht="15" customHeight="1" s="104">
      <c r="A243" s="194" t="n">
        <v>45747</v>
      </c>
      <c r="B243" s="195" t="inlineStr">
        <is>
          <t>Tiktok</t>
        </is>
      </c>
      <c r="C243" s="195" t="inlineStr">
        <is>
          <t>Tiktok Shipping</t>
        </is>
      </c>
      <c r="D243" s="195" t="inlineStr">
        <is>
          <t>Customer-paid shipping fee refund</t>
        </is>
      </c>
      <c r="E243" s="196" t="n">
        <v>-5.59</v>
      </c>
      <c r="F243" s="204" t="n">
        <v>-0.0009193141489</v>
      </c>
      <c r="H243" s="196" t="n">
        <v>-5.59</v>
      </c>
      <c r="J243" s="200" t="inlineStr">
        <is>
          <t>Mar</t>
        </is>
      </c>
      <c r="K243" s="199" t="n">
        <v>2025</v>
      </c>
      <c r="L243" s="199" t="n">
        <v>2025</v>
      </c>
    </row>
    <row r="244" ht="15" customHeight="1" s="104">
      <c r="A244" s="194" t="n">
        <v>45747</v>
      </c>
      <c r="B244" s="195" t="inlineStr">
        <is>
          <t>Tiktok</t>
        </is>
      </c>
      <c r="C244" s="195" t="inlineStr">
        <is>
          <t>Tiktok Shipping</t>
        </is>
      </c>
      <c r="D244" s="195" t="inlineStr">
        <is>
          <t>TikTok Shop shipping incentive</t>
        </is>
      </c>
      <c r="E244" s="196" t="n">
        <v>132.03</v>
      </c>
      <c r="F244" s="204" t="n">
        <v>0.02171324635</v>
      </c>
      <c r="H244" s="196" t="n">
        <v>132.03</v>
      </c>
      <c r="J244" s="200" t="inlineStr">
        <is>
          <t>Mar</t>
        </is>
      </c>
      <c r="K244" s="199" t="n">
        <v>2025</v>
      </c>
      <c r="L244" s="199" t="n">
        <v>2025</v>
      </c>
    </row>
    <row r="245" ht="15" customHeight="1" s="104">
      <c r="A245" s="194" t="n">
        <v>45747</v>
      </c>
      <c r="B245" s="195" t="inlineStr">
        <is>
          <t>Tiktok</t>
        </is>
      </c>
      <c r="C245" s="195" t="inlineStr">
        <is>
          <t>Tiktok Shipping</t>
        </is>
      </c>
      <c r="D245" s="195" t="inlineStr">
        <is>
          <t>TikTok Shop shipping incentive refund</t>
        </is>
      </c>
      <c r="E245" s="198" t="n">
        <v>0</v>
      </c>
      <c r="F245" s="201" t="n">
        <v>0</v>
      </c>
      <c r="H245" s="198" t="n">
        <v>0</v>
      </c>
      <c r="J245" s="200" t="inlineStr">
        <is>
          <t>Mar</t>
        </is>
      </c>
      <c r="K245" s="199" t="n">
        <v>2025</v>
      </c>
      <c r="L245" s="199" t="n">
        <v>2025</v>
      </c>
    </row>
    <row r="246" ht="15" customHeight="1" s="104">
      <c r="A246" s="194" t="n">
        <v>45747</v>
      </c>
      <c r="B246" s="195" t="inlineStr">
        <is>
          <t>Tiktok</t>
        </is>
      </c>
      <c r="C246" s="195" t="inlineStr">
        <is>
          <t>Tiktok Shipping</t>
        </is>
      </c>
      <c r="D246" s="195" t="inlineStr">
        <is>
          <t>Shipping fee subsidy</t>
        </is>
      </c>
      <c r="E246" s="198" t="n">
        <v>0</v>
      </c>
      <c r="F246" s="201" t="n">
        <v>0</v>
      </c>
      <c r="H246" s="198" t="n">
        <v>0</v>
      </c>
      <c r="J246" s="200" t="inlineStr">
        <is>
          <t>Mar</t>
        </is>
      </c>
      <c r="K246" s="199" t="n">
        <v>2025</v>
      </c>
      <c r="L246" s="199" t="n">
        <v>2025</v>
      </c>
    </row>
    <row r="247" ht="15" customHeight="1" s="104">
      <c r="A247" s="194" t="n">
        <v>45747</v>
      </c>
      <c r="B247" s="195" t="inlineStr">
        <is>
          <t>Tiktok</t>
        </is>
      </c>
      <c r="C247" s="195" t="inlineStr">
        <is>
          <t>Tiktok Shipping</t>
        </is>
      </c>
      <c r="D247" s="195" t="inlineStr">
        <is>
          <t>Return shipping fee</t>
        </is>
      </c>
      <c r="E247" s="198" t="n">
        <v>0</v>
      </c>
      <c r="F247" s="201" t="n">
        <v>0</v>
      </c>
      <c r="H247" s="198" t="n">
        <v>0</v>
      </c>
      <c r="J247" s="200" t="inlineStr">
        <is>
          <t>Mar</t>
        </is>
      </c>
      <c r="K247" s="199" t="n">
        <v>2025</v>
      </c>
      <c r="L247" s="199" t="n">
        <v>2025</v>
      </c>
    </row>
    <row r="248" ht="15" customHeight="1" s="104">
      <c r="A248" s="194" t="n">
        <v>45747</v>
      </c>
      <c r="B248" s="195" t="inlineStr">
        <is>
          <t>Tiktok</t>
        </is>
      </c>
      <c r="C248" s="195" t="inlineStr">
        <is>
          <t>Tiktok Shipping</t>
        </is>
      </c>
      <c r="D248" s="195" t="inlineStr">
        <is>
          <t>FBT fulfillment fee</t>
        </is>
      </c>
      <c r="E248" s="196" t="n">
        <v>-347.07</v>
      </c>
      <c r="F248" s="204" t="n">
        <v>-0.05707806112</v>
      </c>
      <c r="H248" s="196" t="n">
        <v>-347.07</v>
      </c>
      <c r="J248" s="200" t="inlineStr">
        <is>
          <t>Mar</t>
        </is>
      </c>
      <c r="K248" s="199" t="n">
        <v>2025</v>
      </c>
      <c r="L248" s="199" t="n">
        <v>2025</v>
      </c>
    </row>
    <row r="249" ht="15" customHeight="1" s="104">
      <c r="A249" s="194" t="n">
        <v>45747</v>
      </c>
      <c r="B249" s="195" t="inlineStr">
        <is>
          <t>Tiktok</t>
        </is>
      </c>
      <c r="C249" s="195" t="inlineStr">
        <is>
          <t>Tiktok Shipping</t>
        </is>
      </c>
      <c r="D249" s="195" t="inlineStr">
        <is>
          <t>Customer shipping fee offset</t>
        </is>
      </c>
      <c r="E249" s="196" t="n">
        <v>-197.92</v>
      </c>
      <c r="F249" s="204" t="n">
        <v>-0.03254931241</v>
      </c>
      <c r="H249" s="196" t="n">
        <v>-197.92</v>
      </c>
      <c r="J249" s="200" t="inlineStr">
        <is>
          <t>Mar</t>
        </is>
      </c>
      <c r="K249" s="199" t="n">
        <v>2025</v>
      </c>
      <c r="L249" s="199" t="n">
        <v>2025</v>
      </c>
    </row>
    <row r="250" ht="15" customHeight="1" s="104">
      <c r="A250" s="194" t="n">
        <v>45747</v>
      </c>
      <c r="B250" s="195" t="inlineStr">
        <is>
          <t>Tiktok</t>
        </is>
      </c>
      <c r="C250" s="195" t="inlineStr">
        <is>
          <t>Tiktok Shipping</t>
        </is>
      </c>
      <c r="D250" s="195" t="inlineStr">
        <is>
          <t>Co-funded free shipping reimbursement</t>
        </is>
      </c>
      <c r="E250" s="196" t="n">
        <v>33</v>
      </c>
      <c r="F250" s="204" t="n">
        <v>0.00542707816</v>
      </c>
      <c r="H250" s="196" t="n">
        <v>33</v>
      </c>
      <c r="J250" s="200" t="inlineStr">
        <is>
          <t>Mar</t>
        </is>
      </c>
      <c r="K250" s="199" t="n">
        <v>2025</v>
      </c>
      <c r="L250" s="199" t="n">
        <v>2025</v>
      </c>
    </row>
    <row r="251" ht="15" customHeight="1" s="104">
      <c r="A251" s="194" t="n">
        <v>45747</v>
      </c>
      <c r="B251" s="195" t="inlineStr">
        <is>
          <t>Tiktok</t>
        </is>
      </c>
      <c r="C251" s="195" t="inlineStr">
        <is>
          <t>MCF Shipping fees</t>
        </is>
      </c>
      <c r="D251" s="195" t="inlineStr">
        <is>
          <t>MCF Shipping fees</t>
        </is>
      </c>
      <c r="E251" s="196" t="n">
        <v>-1077.6</v>
      </c>
      <c r="F251" s="204" t="n">
        <v>-0.1772187705</v>
      </c>
      <c r="H251" s="196" t="n">
        <v>-1077.6</v>
      </c>
      <c r="J251" s="200" t="inlineStr">
        <is>
          <t>Mar</t>
        </is>
      </c>
      <c r="K251" s="199" t="n">
        <v>2025</v>
      </c>
      <c r="L251" s="199" t="n">
        <v>2025</v>
      </c>
    </row>
    <row r="252" ht="15" customHeight="1" s="104">
      <c r="A252" s="194" t="n">
        <v>45747</v>
      </c>
      <c r="B252" s="195" t="inlineStr">
        <is>
          <t>Tiktok</t>
        </is>
      </c>
      <c r="C252" s="195" t="inlineStr">
        <is>
          <t>Fees</t>
        </is>
      </c>
      <c r="D252" s="195" t="inlineStr">
        <is>
          <t>Transaction fee</t>
        </is>
      </c>
      <c r="E252" s="198" t="n">
        <v>0</v>
      </c>
      <c r="F252" s="201" t="n">
        <v>0</v>
      </c>
      <c r="H252" s="198" t="n">
        <v>0</v>
      </c>
      <c r="J252" s="200" t="inlineStr">
        <is>
          <t>Mar</t>
        </is>
      </c>
      <c r="K252" s="199" t="n">
        <v>2025</v>
      </c>
      <c r="L252" s="199" t="n">
        <v>2025</v>
      </c>
    </row>
    <row r="253" ht="15" customHeight="1" s="104">
      <c r="A253" s="194" t="n">
        <v>45747</v>
      </c>
      <c r="B253" s="195" t="inlineStr">
        <is>
          <t>Tiktok</t>
        </is>
      </c>
      <c r="C253" s="195" t="inlineStr">
        <is>
          <t>Fees</t>
        </is>
      </c>
      <c r="D253" s="195" t="inlineStr">
        <is>
          <t>Referral fee</t>
        </is>
      </c>
      <c r="E253" s="196" t="n">
        <v>-368.17</v>
      </c>
      <c r="F253" s="204" t="n">
        <v>-0.060548102</v>
      </c>
      <c r="H253" s="196" t="n">
        <v>-368.17</v>
      </c>
      <c r="J253" s="200" t="inlineStr">
        <is>
          <t>Mar</t>
        </is>
      </c>
      <c r="K253" s="199" t="n">
        <v>2025</v>
      </c>
      <c r="L253" s="199" t="n">
        <v>2025</v>
      </c>
    </row>
    <row r="254" ht="15" customHeight="1" s="104">
      <c r="A254" s="194" t="n">
        <v>45747</v>
      </c>
      <c r="B254" s="195" t="inlineStr">
        <is>
          <t>Tiktok</t>
        </is>
      </c>
      <c r="C254" s="195" t="inlineStr">
        <is>
          <t>Fees</t>
        </is>
      </c>
      <c r="D254" s="195" t="inlineStr">
        <is>
          <t>Refund administration fee</t>
        </is>
      </c>
      <c r="E254" s="196" t="n">
        <v>-6.23</v>
      </c>
      <c r="F254" s="204" t="n">
        <v>-0.001024566574</v>
      </c>
      <c r="H254" s="196" t="n">
        <v>-6.23</v>
      </c>
      <c r="J254" s="200" t="inlineStr">
        <is>
          <t>Mar</t>
        </is>
      </c>
      <c r="K254" s="199" t="n">
        <v>2025</v>
      </c>
      <c r="L254" s="199" t="n">
        <v>2025</v>
      </c>
    </row>
    <row r="255" ht="15" customHeight="1" s="104">
      <c r="A255" s="194" t="n">
        <v>45747</v>
      </c>
      <c r="B255" s="195" t="inlineStr">
        <is>
          <t>Tiktok</t>
        </is>
      </c>
      <c r="C255" s="195" t="inlineStr">
        <is>
          <t>Fees</t>
        </is>
      </c>
      <c r="D255" s="195" t="inlineStr">
        <is>
          <t>Affiliate commission</t>
        </is>
      </c>
      <c r="E255" s="196" t="n">
        <v>-603.54</v>
      </c>
      <c r="F255" s="204" t="n">
        <v>-0.09925632584000001</v>
      </c>
      <c r="H255" s="196" t="n">
        <v>-603.54</v>
      </c>
      <c r="J255" s="200" t="inlineStr">
        <is>
          <t>Mar</t>
        </is>
      </c>
      <c r="K255" s="199" t="n">
        <v>2025</v>
      </c>
      <c r="L255" s="199" t="n">
        <v>2025</v>
      </c>
    </row>
    <row r="256" ht="15" customHeight="1" s="104">
      <c r="A256" s="194" t="n">
        <v>45747</v>
      </c>
      <c r="B256" s="195" t="inlineStr">
        <is>
          <t>Tiktok</t>
        </is>
      </c>
      <c r="C256" s="195" t="inlineStr">
        <is>
          <t>Fees</t>
        </is>
      </c>
      <c r="D256" s="195" t="inlineStr">
        <is>
          <t>Affiliate partner commission</t>
        </is>
      </c>
      <c r="E256" s="198" t="n">
        <v>0</v>
      </c>
      <c r="F256" s="201" t="n">
        <v>0</v>
      </c>
      <c r="H256" s="198" t="n">
        <v>0</v>
      </c>
      <c r="J256" s="200" t="inlineStr">
        <is>
          <t>Mar</t>
        </is>
      </c>
      <c r="K256" s="199" t="n">
        <v>2025</v>
      </c>
      <c r="L256" s="199" t="n">
        <v>2025</v>
      </c>
    </row>
    <row r="257" ht="15" customHeight="1" s="104">
      <c r="A257" s="194" t="n">
        <v>45747</v>
      </c>
      <c r="B257" s="195" t="inlineStr">
        <is>
          <t>Tiktok</t>
        </is>
      </c>
      <c r="C257" s="195" t="inlineStr">
        <is>
          <t>Fees</t>
        </is>
      </c>
      <c r="D257" s="195" t="inlineStr">
        <is>
          <t>Affiliate Shop Ads commission</t>
        </is>
      </c>
      <c r="E257" s="196" t="n">
        <v>-6</v>
      </c>
      <c r="F257" s="204" t="n">
        <v>-0.0009867414836000001</v>
      </c>
      <c r="H257" s="196" t="n">
        <v>-6</v>
      </c>
      <c r="J257" s="200" t="inlineStr">
        <is>
          <t>Mar</t>
        </is>
      </c>
      <c r="K257" s="199" t="n">
        <v>2025</v>
      </c>
      <c r="L257" s="199" t="n">
        <v>2025</v>
      </c>
    </row>
    <row r="258" ht="15" customHeight="1" s="104">
      <c r="A258" s="194" t="n">
        <v>45747</v>
      </c>
      <c r="B258" s="195" t="inlineStr">
        <is>
          <t>Tiktok</t>
        </is>
      </c>
      <c r="C258" s="195" t="inlineStr">
        <is>
          <t>Fees</t>
        </is>
      </c>
      <c r="D258" s="195" t="inlineStr">
        <is>
          <t>Co-funded promotion service fee</t>
        </is>
      </c>
      <c r="E258" s="198" t="n">
        <v>0</v>
      </c>
      <c r="F258" s="201" t="n">
        <v>0</v>
      </c>
      <c r="H258" s="198" t="n">
        <v>0</v>
      </c>
      <c r="J258" s="200" t="inlineStr">
        <is>
          <t>Mar</t>
        </is>
      </c>
      <c r="K258" s="199" t="n">
        <v>2025</v>
      </c>
      <c r="L258" s="199" t="n">
        <v>2025</v>
      </c>
    </row>
    <row r="259" ht="15" customHeight="1" s="104">
      <c r="A259" s="194" t="n">
        <v>45747</v>
      </c>
      <c r="B259" s="195" t="inlineStr">
        <is>
          <t>Tiktok</t>
        </is>
      </c>
      <c r="C259" s="195" t="inlineStr">
        <is>
          <t xml:space="preserve">Adjustments
</t>
        </is>
      </c>
      <c r="D259" s="195" t="inlineStr">
        <is>
          <t>Logistics adjustment</t>
        </is>
      </c>
      <c r="E259" s="198" t="n">
        <v>0</v>
      </c>
      <c r="F259" s="201" t="n">
        <v>0</v>
      </c>
      <c r="H259" s="198" t="n">
        <v>0</v>
      </c>
      <c r="J259" s="200" t="inlineStr">
        <is>
          <t>Mar</t>
        </is>
      </c>
      <c r="K259" s="199" t="n">
        <v>2025</v>
      </c>
      <c r="L259" s="199" t="n">
        <v>2025</v>
      </c>
    </row>
    <row r="260" ht="15" customHeight="1" s="104">
      <c r="A260" s="194" t="n">
        <v>45747</v>
      </c>
      <c r="B260" s="195" t="inlineStr">
        <is>
          <t>Tiktok</t>
        </is>
      </c>
      <c r="C260" s="195" t="inlineStr">
        <is>
          <t xml:space="preserve">Adjustments
</t>
        </is>
      </c>
      <c r="D260" s="195" t="inlineStr">
        <is>
          <t>Logistics reimbursement</t>
        </is>
      </c>
      <c r="E260" s="198" t="n">
        <v>0</v>
      </c>
      <c r="F260" s="201" t="n">
        <v>0</v>
      </c>
      <c r="H260" s="198" t="n">
        <v>0</v>
      </c>
      <c r="J260" s="200" t="inlineStr">
        <is>
          <t>Mar</t>
        </is>
      </c>
      <c r="K260" s="199" t="n">
        <v>2025</v>
      </c>
      <c r="L260" s="199" t="n">
        <v>2025</v>
      </c>
    </row>
    <row r="261" ht="15" customHeight="1" s="104">
      <c r="A261" s="194" t="n">
        <v>45747</v>
      </c>
      <c r="B261" s="195" t="inlineStr">
        <is>
          <t>Tiktok</t>
        </is>
      </c>
      <c r="C261" s="195" t="inlineStr">
        <is>
          <t xml:space="preserve">Adjustments
</t>
        </is>
      </c>
      <c r="D261" s="195" t="inlineStr">
        <is>
          <t>Logistics deduction</t>
        </is>
      </c>
      <c r="E261" s="198" t="n">
        <v>0</v>
      </c>
      <c r="F261" s="201" t="n">
        <v>0</v>
      </c>
      <c r="H261" s="198" t="n">
        <v>0</v>
      </c>
      <c r="J261" s="200" t="inlineStr">
        <is>
          <t>Mar</t>
        </is>
      </c>
      <c r="K261" s="199" t="n">
        <v>2025</v>
      </c>
      <c r="L261" s="199" t="n">
        <v>2025</v>
      </c>
    </row>
    <row r="262" ht="15" customHeight="1" s="104">
      <c r="A262" s="194" t="n">
        <v>45747</v>
      </c>
      <c r="B262" s="195" t="inlineStr">
        <is>
          <t>Tiktok</t>
        </is>
      </c>
      <c r="C262" s="195" t="inlineStr">
        <is>
          <t xml:space="preserve">Adjustments
</t>
        </is>
      </c>
      <c r="D262" s="195" t="inlineStr">
        <is>
          <t>TikTok Shop reimbursement</t>
        </is>
      </c>
      <c r="E262" s="196" t="n">
        <v>115.97</v>
      </c>
      <c r="F262" s="204" t="n">
        <v>0.01907206831</v>
      </c>
      <c r="H262" s="196" t="n">
        <v>115.97</v>
      </c>
      <c r="J262" s="200" t="inlineStr">
        <is>
          <t>Mar</t>
        </is>
      </c>
      <c r="K262" s="199" t="n">
        <v>2025</v>
      </c>
      <c r="L262" s="199" t="n">
        <v>2025</v>
      </c>
    </row>
    <row r="263" ht="15" customHeight="1" s="104">
      <c r="A263" s="194" t="n">
        <v>45747</v>
      </c>
      <c r="B263" s="195" t="inlineStr">
        <is>
          <t>Tiktok</t>
        </is>
      </c>
      <c r="C263" s="195" t="inlineStr">
        <is>
          <t xml:space="preserve">Adjustments
</t>
        </is>
      </c>
      <c r="D263" s="195" t="inlineStr">
        <is>
          <t>Policy violation deduction</t>
        </is>
      </c>
      <c r="E263" s="198" t="n">
        <v>0</v>
      </c>
      <c r="F263" s="201" t="n">
        <v>0</v>
      </c>
      <c r="H263" s="198" t="n">
        <v>0</v>
      </c>
      <c r="J263" s="200" t="inlineStr">
        <is>
          <t>Mar</t>
        </is>
      </c>
      <c r="K263" s="199" t="n">
        <v>2025</v>
      </c>
      <c r="L263" s="199" t="n">
        <v>2025</v>
      </c>
    </row>
    <row r="264" ht="15" customHeight="1" s="104">
      <c r="A264" s="194" t="n">
        <v>45747</v>
      </c>
      <c r="B264" s="195" t="inlineStr">
        <is>
          <t>Tiktok</t>
        </is>
      </c>
      <c r="C264" s="195" t="inlineStr">
        <is>
          <t xml:space="preserve">Adjustments
</t>
        </is>
      </c>
      <c r="D264" s="195" t="inlineStr">
        <is>
          <t>TikTok fees adjustment</t>
        </is>
      </c>
      <c r="E264" s="198" t="n">
        <v>0</v>
      </c>
      <c r="F264" s="201" t="n">
        <v>0</v>
      </c>
      <c r="H264" s="198" t="n">
        <v>0</v>
      </c>
      <c r="J264" s="200" t="inlineStr">
        <is>
          <t>Mar</t>
        </is>
      </c>
      <c r="K264" s="199" t="n">
        <v>2025</v>
      </c>
      <c r="L264" s="199" t="n">
        <v>2025</v>
      </c>
    </row>
    <row r="265" ht="15" customHeight="1" s="104">
      <c r="A265" s="194" t="n">
        <v>45747</v>
      </c>
      <c r="B265" s="195" t="inlineStr">
        <is>
          <t>Tiktok</t>
        </is>
      </c>
      <c r="C265" s="195" t="inlineStr">
        <is>
          <t xml:space="preserve">Adjustments
</t>
        </is>
      </c>
      <c r="D265" s="195" t="inlineStr">
        <is>
          <t>Promotion adjustment</t>
        </is>
      </c>
      <c r="E265" s="198" t="n">
        <v>0</v>
      </c>
      <c r="F265" s="201" t="n">
        <v>0</v>
      </c>
      <c r="H265" s="198" t="n">
        <v>0</v>
      </c>
      <c r="J265" s="200" t="inlineStr">
        <is>
          <t>Mar</t>
        </is>
      </c>
      <c r="K265" s="199" t="n">
        <v>2025</v>
      </c>
      <c r="L265" s="199" t="n">
        <v>2025</v>
      </c>
    </row>
    <row r="266" ht="15" customHeight="1" s="104">
      <c r="A266" s="194" t="n">
        <v>45747</v>
      </c>
      <c r="B266" s="195" t="inlineStr">
        <is>
          <t>Tiktok</t>
        </is>
      </c>
      <c r="C266" s="195" t="inlineStr">
        <is>
          <t xml:space="preserve">Adjustments
</t>
        </is>
      </c>
      <c r="D266" s="195" t="inlineStr">
        <is>
          <t>Adjustment from settlement account</t>
        </is>
      </c>
      <c r="E266" s="198" t="n">
        <v>0</v>
      </c>
      <c r="F266" s="201" t="n">
        <v>0</v>
      </c>
      <c r="H266" s="198" t="n">
        <v>0</v>
      </c>
      <c r="J266" s="200" t="inlineStr">
        <is>
          <t>Mar</t>
        </is>
      </c>
      <c r="K266" s="199" t="n">
        <v>2025</v>
      </c>
      <c r="L266" s="199" t="n">
        <v>2025</v>
      </c>
    </row>
    <row r="267" ht="15" customHeight="1" s="104">
      <c r="A267" s="194" t="n">
        <v>45747</v>
      </c>
      <c r="B267" s="195" t="inlineStr">
        <is>
          <t>Tiktok</t>
        </is>
      </c>
      <c r="C267" s="195" t="inlineStr">
        <is>
          <t xml:space="preserve">Adjustments
</t>
        </is>
      </c>
      <c r="D267" s="195" t="inlineStr">
        <is>
          <t>Chargeback</t>
        </is>
      </c>
      <c r="E267" s="198" t="n">
        <v>0</v>
      </c>
      <c r="F267" s="201" t="n">
        <v>0</v>
      </c>
      <c r="H267" s="198" t="n">
        <v>0</v>
      </c>
      <c r="J267" s="200" t="inlineStr">
        <is>
          <t>Mar</t>
        </is>
      </c>
      <c r="K267" s="199" t="n">
        <v>2025</v>
      </c>
      <c r="L267" s="199" t="n">
        <v>2025</v>
      </c>
    </row>
    <row r="268" ht="15" customHeight="1" s="104">
      <c r="A268" s="194" t="n">
        <v>45747</v>
      </c>
      <c r="B268" s="195" t="inlineStr">
        <is>
          <t>Tiktok</t>
        </is>
      </c>
      <c r="C268" s="195" t="inlineStr">
        <is>
          <t xml:space="preserve">Adjustments
</t>
        </is>
      </c>
      <c r="D268" s="195" t="inlineStr">
        <is>
          <t>Other adjustment</t>
        </is>
      </c>
      <c r="E268" s="198" t="n">
        <v>0</v>
      </c>
      <c r="F268" s="201" t="n">
        <v>0</v>
      </c>
      <c r="H268" s="198" t="n">
        <v>0</v>
      </c>
      <c r="J268" s="200" t="inlineStr">
        <is>
          <t>Mar</t>
        </is>
      </c>
      <c r="K268" s="199" t="n">
        <v>2025</v>
      </c>
      <c r="L268" s="199" t="n">
        <v>2025</v>
      </c>
    </row>
    <row r="269" ht="15" customHeight="1" s="104">
      <c r="A269" s="194" t="n">
        <v>45747</v>
      </c>
      <c r="B269" s="195" t="inlineStr">
        <is>
          <t>Tiktok</t>
        </is>
      </c>
      <c r="C269" s="195" t="inlineStr">
        <is>
          <t xml:space="preserve">Adjustments
</t>
        </is>
      </c>
      <c r="D269" s="195" t="inlineStr">
        <is>
          <t>Top up ads balance using GMV payments</t>
        </is>
      </c>
      <c r="E269" s="198" t="n">
        <v>0</v>
      </c>
      <c r="F269" s="201" t="n">
        <v>0</v>
      </c>
      <c r="H269" s="198" t="n">
        <v>0</v>
      </c>
      <c r="J269" s="200" t="inlineStr">
        <is>
          <t>Mar</t>
        </is>
      </c>
      <c r="K269" s="199" t="n">
        <v>2025</v>
      </c>
      <c r="L269" s="199" t="n">
        <v>2025</v>
      </c>
    </row>
    <row r="270" ht="15" customHeight="1" s="104">
      <c r="A270" s="194" t="n">
        <v>45747</v>
      </c>
      <c r="B270" s="195" t="inlineStr">
        <is>
          <t>Tiktok</t>
        </is>
      </c>
      <c r="C270" s="195" t="inlineStr">
        <is>
          <t xml:space="preserve">Adjustments
</t>
        </is>
      </c>
      <c r="D270" s="195" t="inlineStr">
        <is>
          <t>FBT warehouse service fee</t>
        </is>
      </c>
      <c r="E270" s="196" t="n">
        <v>-148.09</v>
      </c>
      <c r="F270" s="204" t="n">
        <v>-0.02435442438</v>
      </c>
      <c r="H270" s="196" t="n">
        <v>-148.09</v>
      </c>
      <c r="J270" s="200" t="inlineStr">
        <is>
          <t>Mar</t>
        </is>
      </c>
      <c r="K270" s="199" t="n">
        <v>2025</v>
      </c>
      <c r="L270" s="199" t="n">
        <v>2025</v>
      </c>
    </row>
    <row r="271" ht="15" customHeight="1" s="104">
      <c r="A271" s="194" t="n">
        <v>45747</v>
      </c>
      <c r="B271" s="195" t="inlineStr">
        <is>
          <t>Tiktok</t>
        </is>
      </c>
      <c r="C271" s="195" t="inlineStr">
        <is>
          <t xml:space="preserve">Adjustments
</t>
        </is>
      </c>
      <c r="D271" s="195" t="inlineStr">
        <is>
          <t>Co-funded creator activity</t>
        </is>
      </c>
      <c r="E271" s="198" t="n">
        <v>0</v>
      </c>
      <c r="F271" s="201" t="n">
        <v>0</v>
      </c>
      <c r="H271" s="198" t="n">
        <v>0</v>
      </c>
      <c r="J271" s="200" t="inlineStr">
        <is>
          <t>Mar</t>
        </is>
      </c>
      <c r="K271" s="199" t="n">
        <v>2025</v>
      </c>
      <c r="L271" s="199" t="n">
        <v>2025</v>
      </c>
    </row>
    <row r="272" ht="15" customHeight="1" s="104">
      <c r="A272" s="194" t="n">
        <v>45747</v>
      </c>
      <c r="B272" s="195" t="inlineStr">
        <is>
          <t>Tiktok</t>
        </is>
      </c>
      <c r="C272" s="195" t="inlineStr">
        <is>
          <t xml:space="preserve">Adjustments
</t>
        </is>
      </c>
      <c r="D272" s="195" t="inlineStr">
        <is>
          <t>Rebate</t>
        </is>
      </c>
      <c r="E272" s="198" t="n">
        <v>0</v>
      </c>
      <c r="F272" s="201" t="n">
        <v>0</v>
      </c>
      <c r="H272" s="198" t="n">
        <v>0</v>
      </c>
      <c r="J272" s="200" t="inlineStr">
        <is>
          <t>Mar</t>
        </is>
      </c>
      <c r="K272" s="199" t="n">
        <v>2025</v>
      </c>
      <c r="L272" s="199" t="n">
        <v>2025</v>
      </c>
    </row>
    <row r="273" ht="15" customHeight="1" s="104">
      <c r="A273" s="194" t="n">
        <v>45747</v>
      </c>
      <c r="B273" s="195" t="inlineStr">
        <is>
          <t>Tiktok</t>
        </is>
      </c>
      <c r="C273" s="195" t="inlineStr">
        <is>
          <t>Cost of goods</t>
        </is>
      </c>
      <c r="D273" s="195" t="inlineStr">
        <is>
          <t>Cost of goods sold</t>
        </is>
      </c>
      <c r="E273" s="196" t="n">
        <v>-2635.35</v>
      </c>
      <c r="F273" s="204" t="n">
        <v>-0.4334015281</v>
      </c>
      <c r="H273" s="196" t="n">
        <v>-2635.35</v>
      </c>
      <c r="J273" s="200" t="inlineStr">
        <is>
          <t>Mar</t>
        </is>
      </c>
      <c r="K273" s="199" t="n">
        <v>2025</v>
      </c>
      <c r="L273" s="199" t="n">
        <v>2025</v>
      </c>
    </row>
    <row r="274" ht="15" customHeight="1" s="104">
      <c r="A274" s="194" t="n">
        <v>45747</v>
      </c>
      <c r="B274" s="195" t="inlineStr">
        <is>
          <t>Tiktok</t>
        </is>
      </c>
      <c r="C274" s="195" t="inlineStr">
        <is>
          <t>Advertising cost</t>
        </is>
      </c>
      <c r="D274" s="195" t="inlineStr">
        <is>
          <t>Advertising Cost</t>
        </is>
      </c>
      <c r="E274" s="196" t="n">
        <v>-558.59</v>
      </c>
      <c r="F274" s="204" t="n">
        <v>-0.09186398755</v>
      </c>
      <c r="H274" s="196" t="n">
        <v>-558.59</v>
      </c>
      <c r="J274" s="200" t="inlineStr">
        <is>
          <t>Mar</t>
        </is>
      </c>
      <c r="K274" s="199" t="n">
        <v>2025</v>
      </c>
      <c r="L274" s="199" t="n">
        <v>2025</v>
      </c>
    </row>
    <row r="275" ht="15" customHeight="1" s="104">
      <c r="A275" s="194" t="n">
        <v>45747</v>
      </c>
      <c r="B275" s="195" t="inlineStr">
        <is>
          <t>Walmart</t>
        </is>
      </c>
      <c r="C275" s="195" t="inlineStr">
        <is>
          <t>Advertising cost</t>
        </is>
      </c>
      <c r="D275" s="195" t="inlineStr">
        <is>
          <t>Advertising Cost</t>
        </is>
      </c>
      <c r="E275" s="196" t="n">
        <v>-349.56</v>
      </c>
      <c r="F275" s="204" t="n">
        <v>-0.06019030302</v>
      </c>
      <c r="H275" s="196" t="n">
        <v>-349.56</v>
      </c>
      <c r="J275" s="200" t="inlineStr">
        <is>
          <t>Mar</t>
        </is>
      </c>
      <c r="K275" s="199" t="n">
        <v>2025</v>
      </c>
      <c r="L275" s="199" t="n">
        <v>2025</v>
      </c>
    </row>
    <row r="276" ht="15" customHeight="1" s="104">
      <c r="A276" s="194" t="n">
        <v>45747</v>
      </c>
      <c r="B276" s="195" t="inlineStr">
        <is>
          <t>Walmart</t>
        </is>
      </c>
      <c r="C276" s="195" t="inlineStr">
        <is>
          <t>Shipping Cost</t>
        </is>
      </c>
      <c r="D276" s="195" t="inlineStr">
        <is>
          <t>WFS Fulfillment fee</t>
        </is>
      </c>
      <c r="E276" s="196" t="n">
        <v>-670.25</v>
      </c>
      <c r="F276" s="204" t="n">
        <v>-0.1154095165</v>
      </c>
      <c r="H276" s="196" t="n">
        <v>-670.25</v>
      </c>
      <c r="J276" s="200" t="inlineStr">
        <is>
          <t>Mar</t>
        </is>
      </c>
      <c r="K276" s="199" t="n">
        <v>2025</v>
      </c>
      <c r="L276" s="199" t="n">
        <v>2025</v>
      </c>
    </row>
    <row r="277" ht="15" customHeight="1" s="104">
      <c r="A277" s="194" t="n">
        <v>45747</v>
      </c>
      <c r="B277" s="195" t="inlineStr">
        <is>
          <t>Walmart</t>
        </is>
      </c>
      <c r="C277" s="195" t="inlineStr">
        <is>
          <t>Fees</t>
        </is>
      </c>
      <c r="D277" s="195" t="inlineStr">
        <is>
          <t>Commission on product</t>
        </is>
      </c>
      <c r="E277" s="196" t="n">
        <v>-913.3099999999999</v>
      </c>
      <c r="F277" s="204" t="n">
        <v>-0.1572617166</v>
      </c>
      <c r="H277" s="196" t="n">
        <v>-913.3099999999999</v>
      </c>
      <c r="J277" s="200" t="inlineStr">
        <is>
          <t>Mar</t>
        </is>
      </c>
      <c r="K277" s="199" t="n">
        <v>2025</v>
      </c>
      <c r="L277" s="199" t="n">
        <v>2025</v>
      </c>
    </row>
    <row r="278" ht="15" customHeight="1" s="104">
      <c r="A278" s="194" t="n">
        <v>45747</v>
      </c>
      <c r="B278" s="195" t="inlineStr">
        <is>
          <t>Walmart</t>
        </is>
      </c>
      <c r="C278" s="195" t="inlineStr">
        <is>
          <t>Fees</t>
        </is>
      </c>
      <c r="D278" s="195" t="inlineStr">
        <is>
          <t>Storage fee</t>
        </is>
      </c>
      <c r="E278" s="196" t="n">
        <v>-20.92</v>
      </c>
      <c r="F278" s="204" t="n">
        <v>-0.003602188864</v>
      </c>
      <c r="H278" s="196" t="n">
        <v>-20.92</v>
      </c>
      <c r="J278" s="200" t="inlineStr">
        <is>
          <t>Mar</t>
        </is>
      </c>
      <c r="K278" s="199" t="n">
        <v>2025</v>
      </c>
      <c r="L278" s="199" t="n">
        <v>2025</v>
      </c>
    </row>
    <row r="279" ht="15" customHeight="1" s="104">
      <c r="A279" s="194" t="n">
        <v>45747</v>
      </c>
      <c r="B279" s="195" t="inlineStr">
        <is>
          <t>Walmart</t>
        </is>
      </c>
      <c r="C279" s="195" t="inlineStr">
        <is>
          <t>Cost of goods</t>
        </is>
      </c>
      <c r="D279" s="195" t="inlineStr">
        <is>
          <t>Cost of goods sold</t>
        </is>
      </c>
      <c r="E279" s="196" t="n">
        <v>-1691.7</v>
      </c>
      <c r="F279" s="204" t="n">
        <v>-0.2912917256</v>
      </c>
      <c r="H279" s="196" t="n">
        <v>-1691.7</v>
      </c>
      <c r="I279" s="200" t="inlineStr">
        <is>
          <t>please re-check the cogs</t>
        </is>
      </c>
      <c r="J279" s="200" t="inlineStr">
        <is>
          <t>Mar</t>
        </is>
      </c>
      <c r="K279" s="199" t="n">
        <v>2025</v>
      </c>
      <c r="L279" s="199" t="n">
        <v>2025</v>
      </c>
    </row>
    <row r="280" ht="15" customHeight="1" s="104">
      <c r="A280" s="194" t="n">
        <v>45747</v>
      </c>
      <c r="B280" s="195" t="inlineStr">
        <is>
          <t>Walmart</t>
        </is>
      </c>
      <c r="C280" s="195" t="inlineStr">
        <is>
          <t>Cost of goods</t>
        </is>
      </c>
      <c r="D280" s="195" t="inlineStr">
        <is>
          <t>Value of returned items</t>
        </is>
      </c>
      <c r="E280" s="196" t="n">
        <v>87.2</v>
      </c>
      <c r="F280" s="204" t="n">
        <v>0.01501485989</v>
      </c>
      <c r="H280" s="196" t="n">
        <v>87.2</v>
      </c>
      <c r="J280" s="200" t="inlineStr">
        <is>
          <t>Mar</t>
        </is>
      </c>
      <c r="K280" s="199" t="n">
        <v>2025</v>
      </c>
      <c r="L280" s="199" t="n">
        <v>2025</v>
      </c>
    </row>
    <row r="281" ht="15" customHeight="1" s="104">
      <c r="A281" s="194" t="n">
        <v>45777</v>
      </c>
      <c r="B281" s="195" t="inlineStr">
        <is>
          <t>Amazon US</t>
        </is>
      </c>
      <c r="C281" s="195" t="inlineStr">
        <is>
          <t>Advertising cost</t>
        </is>
      </c>
      <c r="D281" s="195" t="inlineStr">
        <is>
          <t>Sponsored Products</t>
        </is>
      </c>
      <c r="E281" s="196" t="n">
        <v>-5095.96</v>
      </c>
      <c r="F281" s="204" t="n">
        <v>-0.04908782243</v>
      </c>
      <c r="H281" s="196" t="n">
        <v>-5095.96</v>
      </c>
      <c r="J281" s="200" t="inlineStr">
        <is>
          <t>Apr</t>
        </is>
      </c>
      <c r="K281" s="199" t="n">
        <v>2025</v>
      </c>
      <c r="L281" s="199" t="n">
        <v>2025</v>
      </c>
    </row>
    <row r="282" ht="15" customHeight="1" s="104">
      <c r="A282" s="194" t="n">
        <v>45777</v>
      </c>
      <c r="B282" s="195" t="inlineStr">
        <is>
          <t>Amazon US</t>
        </is>
      </c>
      <c r="C282" s="195" t="inlineStr">
        <is>
          <t>Advertising cost</t>
        </is>
      </c>
      <c r="D282" s="195" t="inlineStr">
        <is>
          <t>Sponsored Brands Video</t>
        </is>
      </c>
      <c r="E282" s="198" t="n">
        <v>0</v>
      </c>
      <c r="F282" s="201" t="n">
        <v>0</v>
      </c>
      <c r="H282" s="198" t="n">
        <v>0</v>
      </c>
      <c r="J282" s="200" t="inlineStr">
        <is>
          <t>Apr</t>
        </is>
      </c>
      <c r="K282" s="199" t="n">
        <v>2025</v>
      </c>
      <c r="L282" s="199" t="n">
        <v>2025</v>
      </c>
    </row>
    <row r="283" ht="15" customHeight="1" s="104">
      <c r="A283" s="194" t="n">
        <v>45777</v>
      </c>
      <c r="B283" s="195" t="inlineStr">
        <is>
          <t>Amazon US</t>
        </is>
      </c>
      <c r="C283" s="195" t="inlineStr">
        <is>
          <t>Advertising cost</t>
        </is>
      </c>
      <c r="D283" s="195" t="inlineStr">
        <is>
          <t>Sponsored Display</t>
        </is>
      </c>
      <c r="E283" s="198" t="n">
        <v>0</v>
      </c>
      <c r="F283" s="201" t="n">
        <v>0</v>
      </c>
      <c r="H283" s="198" t="n">
        <v>0</v>
      </c>
      <c r="J283" s="200" t="inlineStr">
        <is>
          <t>Apr</t>
        </is>
      </c>
      <c r="K283" s="199" t="n">
        <v>2025</v>
      </c>
      <c r="L283" s="199" t="n">
        <v>2025</v>
      </c>
    </row>
    <row r="284" ht="15" customHeight="1" s="104">
      <c r="A284" s="194" t="n">
        <v>45777</v>
      </c>
      <c r="B284" s="195" t="inlineStr">
        <is>
          <t>Amazon US</t>
        </is>
      </c>
      <c r="C284" s="195" t="inlineStr">
        <is>
          <t>Advertising cost</t>
        </is>
      </c>
      <c r="D284" s="195" t="inlineStr">
        <is>
          <t>Sponsored Brands</t>
        </is>
      </c>
      <c r="E284" s="198" t="n">
        <v>0</v>
      </c>
      <c r="F284" s="201" t="n">
        <v>0</v>
      </c>
      <c r="H284" s="198" t="n">
        <v>0</v>
      </c>
      <c r="J284" s="200" t="inlineStr">
        <is>
          <t>Apr</t>
        </is>
      </c>
      <c r="K284" s="199" t="n">
        <v>2025</v>
      </c>
      <c r="L284" s="199" t="n">
        <v>2025</v>
      </c>
    </row>
    <row r="285" ht="15" customHeight="1" s="104">
      <c r="A285" s="194" t="n">
        <v>45777</v>
      </c>
      <c r="B285" s="195" t="inlineStr">
        <is>
          <t>Amazon US</t>
        </is>
      </c>
      <c r="C285" s="195" t="inlineStr">
        <is>
          <t>Refund cost</t>
        </is>
      </c>
      <c r="D285" s="195" t="inlineStr">
        <is>
          <t>Refunded amount</t>
        </is>
      </c>
      <c r="E285" s="196" t="n">
        <v>-6201.74</v>
      </c>
      <c r="F285" s="204" t="n">
        <v>-0.0597394626</v>
      </c>
      <c r="H285" s="196" t="n">
        <v>-6201.74</v>
      </c>
      <c r="J285" s="200" t="inlineStr">
        <is>
          <t>Apr</t>
        </is>
      </c>
      <c r="K285" s="199" t="n">
        <v>2025</v>
      </c>
      <c r="L285" s="199" t="n">
        <v>2025</v>
      </c>
    </row>
    <row r="286" ht="15" customHeight="1" s="104">
      <c r="A286" s="194" t="n">
        <v>45777</v>
      </c>
      <c r="B286" s="195" t="inlineStr">
        <is>
          <t>Amazon US</t>
        </is>
      </c>
      <c r="C286" s="195" t="inlineStr">
        <is>
          <t>Refund cost</t>
        </is>
      </c>
      <c r="D286" s="195" t="inlineStr">
        <is>
          <t>Refund commission</t>
        </is>
      </c>
      <c r="E286" s="196" t="n">
        <v>-184.24</v>
      </c>
      <c r="F286" s="204" t="n">
        <v>-0.00177472751</v>
      </c>
      <c r="H286" s="196" t="n">
        <v>-184.24</v>
      </c>
      <c r="J286" s="200" t="inlineStr">
        <is>
          <t>Apr</t>
        </is>
      </c>
      <c r="K286" s="199" t="n">
        <v>2025</v>
      </c>
      <c r="L286" s="199" t="n">
        <v>2025</v>
      </c>
    </row>
    <row r="287" ht="15" customHeight="1" s="104">
      <c r="A287" s="194" t="n">
        <v>45777</v>
      </c>
      <c r="B287" s="195" t="inlineStr">
        <is>
          <t>Amazon US</t>
        </is>
      </c>
      <c r="C287" s="195" t="inlineStr">
        <is>
          <t>Refund cost</t>
        </is>
      </c>
      <c r="D287" s="195" t="inlineStr">
        <is>
          <t>Promotion</t>
        </is>
      </c>
      <c r="E287" s="196" t="n">
        <v>61</v>
      </c>
      <c r="F287" s="204" t="n">
        <v>0.0005875943233</v>
      </c>
      <c r="H287" s="196" t="n">
        <v>61</v>
      </c>
      <c r="J287" s="200" t="inlineStr">
        <is>
          <t>Apr</t>
        </is>
      </c>
      <c r="K287" s="199" t="n">
        <v>2025</v>
      </c>
      <c r="L287" s="199" t="n">
        <v>2025</v>
      </c>
    </row>
    <row r="288" ht="15" customHeight="1" s="104">
      <c r="A288" s="194" t="n">
        <v>45777</v>
      </c>
      <c r="B288" s="195" t="inlineStr">
        <is>
          <t>Amazon US</t>
        </is>
      </c>
      <c r="C288" s="195" t="inlineStr">
        <is>
          <t>Refund cost</t>
        </is>
      </c>
      <c r="D288" s="195" t="inlineStr">
        <is>
          <t>Refunded referral fee</t>
        </is>
      </c>
      <c r="E288" s="196" t="n">
        <v>921.24</v>
      </c>
      <c r="F288" s="204" t="n">
        <v>0.008874022860000001</v>
      </c>
      <c r="H288" s="196" t="n">
        <v>921.24</v>
      </c>
      <c r="J288" s="200" t="inlineStr">
        <is>
          <t>Apr</t>
        </is>
      </c>
      <c r="K288" s="199" t="n">
        <v>2025</v>
      </c>
      <c r="L288" s="199" t="n">
        <v>2025</v>
      </c>
    </row>
    <row r="289" ht="15" customHeight="1" s="104">
      <c r="A289" s="194" t="n">
        <v>45777</v>
      </c>
      <c r="B289" s="195" t="inlineStr">
        <is>
          <t>Amazon US</t>
        </is>
      </c>
      <c r="C289" s="195" t="inlineStr">
        <is>
          <t>Refund cost</t>
        </is>
      </c>
      <c r="D289" s="195" t="inlineStr">
        <is>
          <t>Value of returned items</t>
        </is>
      </c>
      <c r="E289" s="196" t="n">
        <v>757.5700000000001</v>
      </c>
      <c r="F289" s="204" t="n">
        <v>0.007297439861</v>
      </c>
      <c r="H289" s="196" t="n">
        <v>757.5700000000001</v>
      </c>
      <c r="J289" s="200" t="inlineStr">
        <is>
          <t>Apr</t>
        </is>
      </c>
      <c r="K289" s="199" t="n">
        <v>2025</v>
      </c>
      <c r="L289" s="199" t="n">
        <v>2025</v>
      </c>
    </row>
    <row r="290" ht="15" customHeight="1" s="104">
      <c r="A290" s="194" t="n">
        <v>45777</v>
      </c>
      <c r="B290" s="195" t="inlineStr">
        <is>
          <t>Amazon US</t>
        </is>
      </c>
      <c r="C290" s="195" t="inlineStr">
        <is>
          <t>Amazon fees</t>
        </is>
      </c>
      <c r="D290" s="195" t="inlineStr">
        <is>
          <t>FBA per unit fulfilment fee</t>
        </is>
      </c>
      <c r="E290" s="196" t="n">
        <v>-17734.84</v>
      </c>
      <c r="F290" s="204" t="n">
        <v>-0.1708342838</v>
      </c>
      <c r="H290" s="196" t="n">
        <v>-17734.84</v>
      </c>
      <c r="J290" s="200" t="inlineStr">
        <is>
          <t>Apr</t>
        </is>
      </c>
      <c r="K290" s="199" t="n">
        <v>2025</v>
      </c>
      <c r="L290" s="199" t="n">
        <v>2025</v>
      </c>
    </row>
    <row r="291" ht="15" customHeight="1" s="104">
      <c r="A291" s="194" t="n">
        <v>45777</v>
      </c>
      <c r="B291" s="195" t="inlineStr">
        <is>
          <t>Amazon US</t>
        </is>
      </c>
      <c r="C291" s="195" t="inlineStr">
        <is>
          <t>Amazon fees</t>
        </is>
      </c>
      <c r="D291" s="195" t="inlineStr">
        <is>
          <t>Referral fee</t>
        </is>
      </c>
      <c r="E291" s="196" t="n">
        <v>-15483.44</v>
      </c>
      <c r="F291" s="204" t="n">
        <v>-0.1491472369</v>
      </c>
      <c r="H291" s="196" t="n">
        <v>-15483.44</v>
      </c>
      <c r="J291" s="200" t="inlineStr">
        <is>
          <t>Apr</t>
        </is>
      </c>
      <c r="K291" s="199" t="n">
        <v>2025</v>
      </c>
      <c r="L291" s="199" t="n">
        <v>2025</v>
      </c>
    </row>
    <row r="292" ht="15" customHeight="1" s="104">
      <c r="A292" s="194" t="n">
        <v>45777</v>
      </c>
      <c r="B292" s="195" t="inlineStr">
        <is>
          <t>Amazon US</t>
        </is>
      </c>
      <c r="C292" s="195" t="inlineStr">
        <is>
          <t>Amazon fees</t>
        </is>
      </c>
      <c r="D292" s="195" t="inlineStr">
        <is>
          <t>FBA storage fee</t>
        </is>
      </c>
      <c r="E292" s="196" t="n">
        <v>-1151.39</v>
      </c>
      <c r="F292" s="204" t="n">
        <v>-0.01109098734</v>
      </c>
      <c r="H292" s="196" t="n">
        <v>-1151.39</v>
      </c>
      <c r="J292" s="200" t="inlineStr">
        <is>
          <t>Apr</t>
        </is>
      </c>
      <c r="K292" s="199" t="n">
        <v>2025</v>
      </c>
      <c r="L292" s="199" t="n">
        <v>2025</v>
      </c>
    </row>
    <row r="293" ht="15" customHeight="1" s="104">
      <c r="A293" s="194" t="n">
        <v>45777</v>
      </c>
      <c r="B293" s="195" t="inlineStr">
        <is>
          <t>Amazon US</t>
        </is>
      </c>
      <c r="C293" s="195" t="inlineStr">
        <is>
          <t>Amazon fees</t>
        </is>
      </c>
      <c r="D293" s="195" t="inlineStr">
        <is>
          <t>FBA disposal fee</t>
        </is>
      </c>
      <c r="E293" s="196" t="n">
        <v>-802.61</v>
      </c>
      <c r="F293" s="204" t="n">
        <v>-0.007731296391</v>
      </c>
      <c r="H293" s="196" t="n">
        <v>-802.61</v>
      </c>
      <c r="J293" s="200" t="inlineStr">
        <is>
          <t>Apr</t>
        </is>
      </c>
      <c r="K293" s="199" t="n">
        <v>2025</v>
      </c>
      <c r="L293" s="199" t="n">
        <v>2025</v>
      </c>
    </row>
    <row r="294" ht="15" customHeight="1" s="104">
      <c r="A294" s="194" t="n">
        <v>45777</v>
      </c>
      <c r="B294" s="195" t="inlineStr">
        <is>
          <t>Amazon US</t>
        </is>
      </c>
      <c r="C294" s="195" t="inlineStr">
        <is>
          <t>Amazon fees</t>
        </is>
      </c>
      <c r="D294" s="195" t="inlineStr">
        <is>
          <t>AWD transportation fee</t>
        </is>
      </c>
      <c r="E294" s="198" t="n">
        <v>0</v>
      </c>
      <c r="F294" s="201" t="n">
        <v>0</v>
      </c>
      <c r="H294" s="198" t="n">
        <v>0</v>
      </c>
      <c r="J294" s="200" t="inlineStr">
        <is>
          <t>Apr</t>
        </is>
      </c>
      <c r="K294" s="199" t="n">
        <v>2025</v>
      </c>
      <c r="L294" s="199" t="n">
        <v>2025</v>
      </c>
    </row>
    <row r="295" ht="15" customHeight="1" s="104">
      <c r="A295" s="194" t="n">
        <v>45777</v>
      </c>
      <c r="B295" s="195" t="inlineStr">
        <is>
          <t>Amazon US</t>
        </is>
      </c>
      <c r="C295" s="195" t="inlineStr">
        <is>
          <t>Amazon fees</t>
        </is>
      </c>
      <c r="D295" s="195" t="inlineStr">
        <is>
          <t>AWD processing fee</t>
        </is>
      </c>
      <c r="E295" s="198" t="n">
        <v>0</v>
      </c>
      <c r="F295" s="201" t="n">
        <v>0</v>
      </c>
      <c r="H295" s="198" t="n">
        <v>0</v>
      </c>
      <c r="J295" s="200" t="inlineStr">
        <is>
          <t>Apr</t>
        </is>
      </c>
      <c r="K295" s="199" t="n">
        <v>2025</v>
      </c>
      <c r="L295" s="199" t="n">
        <v>2025</v>
      </c>
    </row>
    <row r="296" ht="15" customHeight="1" s="104">
      <c r="A296" s="194" t="n">
        <v>45777</v>
      </c>
      <c r="B296" s="195" t="inlineStr">
        <is>
          <t>Amazon US</t>
        </is>
      </c>
      <c r="C296" s="195" t="inlineStr">
        <is>
          <t>Amazon fees</t>
        </is>
      </c>
      <c r="D296" s="195" t="inlineStr">
        <is>
          <t>FBA inbound convenience fee</t>
        </is>
      </c>
      <c r="E296" s="196" t="n">
        <v>-1094.05</v>
      </c>
      <c r="F296" s="204" t="n">
        <v>-0.01053864868</v>
      </c>
      <c r="H296" s="196" t="n">
        <v>-1094.05</v>
      </c>
      <c r="J296" s="200" t="inlineStr">
        <is>
          <t>Apr</t>
        </is>
      </c>
      <c r="K296" s="199" t="n">
        <v>2025</v>
      </c>
      <c r="L296" s="199" t="n">
        <v>2025</v>
      </c>
    </row>
    <row r="297" ht="15" customHeight="1" s="104">
      <c r="A297" s="194" t="n">
        <v>45777</v>
      </c>
      <c r="B297" s="195" t="inlineStr">
        <is>
          <t>Amazon US</t>
        </is>
      </c>
      <c r="C297" s="195" t="inlineStr">
        <is>
          <t>Amazon fees</t>
        </is>
      </c>
      <c r="D297" s="195" t="inlineStr">
        <is>
          <t>Liquidations brokerage fee</t>
        </is>
      </c>
      <c r="E297" s="197" t="n">
        <v>-0.49</v>
      </c>
      <c r="F297" s="204" t="n">
        <v>-4.720019974e-06</v>
      </c>
      <c r="H297" s="197" t="n">
        <v>-0.49</v>
      </c>
      <c r="J297" s="200" t="inlineStr">
        <is>
          <t>Apr</t>
        </is>
      </c>
      <c r="K297" s="199" t="n">
        <v>2025</v>
      </c>
      <c r="L297" s="199" t="n">
        <v>2025</v>
      </c>
    </row>
    <row r="298" ht="15" customHeight="1" s="104">
      <c r="A298" s="194" t="n">
        <v>45777</v>
      </c>
      <c r="B298" s="195" t="inlineStr">
        <is>
          <t>Amazon US</t>
        </is>
      </c>
      <c r="C298" s="195" t="inlineStr">
        <is>
          <t>Amazon fees</t>
        </is>
      </c>
      <c r="D298" s="195" t="inlineStr">
        <is>
          <t>Missing from inbound clawback</t>
        </is>
      </c>
      <c r="E298" s="198" t="n">
        <v>0</v>
      </c>
      <c r="F298" s="201" t="n">
        <v>0</v>
      </c>
      <c r="H298" s="198" t="n">
        <v>0</v>
      </c>
      <c r="J298" s="200" t="inlineStr">
        <is>
          <t>Apr</t>
        </is>
      </c>
      <c r="K298" s="199" t="n">
        <v>2025</v>
      </c>
      <c r="L298" s="199" t="n">
        <v>2025</v>
      </c>
    </row>
    <row r="299" ht="15" customHeight="1" s="104">
      <c r="A299" s="194" t="n">
        <v>45777</v>
      </c>
      <c r="B299" s="195" t="inlineStr">
        <is>
          <t>Amazon US</t>
        </is>
      </c>
      <c r="C299" s="195" t="inlineStr">
        <is>
          <t>Amazon fees</t>
        </is>
      </c>
      <c r="D299" s="195" t="inlineStr">
        <is>
          <t>Customer Return HRR Unit Fee</t>
        </is>
      </c>
      <c r="E299" s="198" t="n">
        <v>0</v>
      </c>
      <c r="F299" s="201" t="n">
        <v>0</v>
      </c>
      <c r="H299" s="198" t="n">
        <v>0</v>
      </c>
      <c r="J299" s="200" t="inlineStr">
        <is>
          <t>Apr</t>
        </is>
      </c>
      <c r="K299" s="199" t="n">
        <v>2025</v>
      </c>
      <c r="L299" s="199" t="n">
        <v>2025</v>
      </c>
    </row>
    <row r="300" ht="15" customHeight="1" s="104">
      <c r="A300" s="194" t="n">
        <v>45777</v>
      </c>
      <c r="B300" s="195" t="inlineStr">
        <is>
          <t>Amazon US</t>
        </is>
      </c>
      <c r="C300" s="195" t="inlineStr">
        <is>
          <t>Amazon fees</t>
        </is>
      </c>
      <c r="D300" s="195" t="inlineStr">
        <is>
          <t>Subscription</t>
        </is>
      </c>
      <c r="E300" s="196" t="n">
        <v>-40.06</v>
      </c>
      <c r="F300" s="204" t="n">
        <v>-0.0003858857146</v>
      </c>
      <c r="H300" s="196" t="n">
        <v>-40.06</v>
      </c>
      <c r="J300" s="200" t="inlineStr">
        <is>
          <t>Apr</t>
        </is>
      </c>
      <c r="K300" s="199" t="n">
        <v>2025</v>
      </c>
      <c r="L300" s="199" t="n">
        <v>2025</v>
      </c>
    </row>
    <row r="301" ht="15" customHeight="1" s="104">
      <c r="A301" s="194" t="n">
        <v>45777</v>
      </c>
      <c r="B301" s="195" t="inlineStr">
        <is>
          <t>Amazon US</t>
        </is>
      </c>
      <c r="C301" s="195" t="inlineStr">
        <is>
          <t>Amazon fees</t>
        </is>
      </c>
      <c r="D301" s="195" t="inlineStr">
        <is>
          <t>Get paid faster fee</t>
        </is>
      </c>
      <c r="E301" s="196" t="n">
        <v>-47.49</v>
      </c>
      <c r="F301" s="204" t="n">
        <v>-0.0004574566298</v>
      </c>
      <c r="H301" s="196" t="n">
        <v>-47.49</v>
      </c>
      <c r="J301" s="200" t="inlineStr">
        <is>
          <t>Apr</t>
        </is>
      </c>
      <c r="K301" s="199" t="n">
        <v>2025</v>
      </c>
      <c r="L301" s="199" t="n">
        <v>2025</v>
      </c>
    </row>
    <row r="302" ht="15" customHeight="1" s="104">
      <c r="A302" s="194" t="n">
        <v>45777</v>
      </c>
      <c r="B302" s="195" t="inlineStr">
        <is>
          <t>Amazon US</t>
        </is>
      </c>
      <c r="C302" s="195" t="inlineStr">
        <is>
          <t>Amazon fees</t>
        </is>
      </c>
      <c r="D302" s="195" t="inlineStr">
        <is>
          <t>Compensated clawback</t>
        </is>
      </c>
      <c r="E302" s="196" t="n">
        <v>-66.28</v>
      </c>
      <c r="F302" s="204" t="n">
        <v>-0.0006384549467</v>
      </c>
      <c r="H302" s="196" t="n">
        <v>-66.28</v>
      </c>
      <c r="J302" s="200" t="inlineStr">
        <is>
          <t>Apr</t>
        </is>
      </c>
      <c r="K302" s="199" t="n">
        <v>2025</v>
      </c>
      <c r="L302" s="199" t="n">
        <v>2025</v>
      </c>
    </row>
    <row r="303" ht="15" customHeight="1" s="104">
      <c r="A303" s="194" t="n">
        <v>45777</v>
      </c>
      <c r="B303" s="195" t="inlineStr">
        <is>
          <t>Amazon US</t>
        </is>
      </c>
      <c r="C303" s="195" t="inlineStr">
        <is>
          <t>Amazon fees</t>
        </is>
      </c>
      <c r="D303" s="195" t="inlineStr">
        <is>
          <t>Star storage fee</t>
        </is>
      </c>
      <c r="E303" s="198" t="n">
        <v>0</v>
      </c>
      <c r="F303" s="201" t="n">
        <v>0</v>
      </c>
      <c r="H303" s="198" t="n">
        <v>0</v>
      </c>
      <c r="J303" s="200" t="inlineStr">
        <is>
          <t>Apr</t>
        </is>
      </c>
      <c r="K303" s="199" t="n">
        <v>2025</v>
      </c>
      <c r="L303" s="199" t="n">
        <v>2025</v>
      </c>
    </row>
    <row r="304" ht="15" customHeight="1" s="104">
      <c r="A304" s="194" t="n">
        <v>45777</v>
      </c>
      <c r="B304" s="195" t="inlineStr">
        <is>
          <t>Amazon US</t>
        </is>
      </c>
      <c r="C304" s="195" t="inlineStr">
        <is>
          <t>Amazon fees</t>
        </is>
      </c>
      <c r="D304" s="195" t="inlineStr">
        <is>
          <t>Free replacement refund items</t>
        </is>
      </c>
      <c r="E304" s="196" t="n">
        <v>109.51</v>
      </c>
      <c r="F304" s="204" t="n">
        <v>0.001054876301</v>
      </c>
      <c r="H304" s="196" t="n">
        <v>109.51</v>
      </c>
      <c r="J304" s="200" t="inlineStr">
        <is>
          <t>Apr</t>
        </is>
      </c>
      <c r="K304" s="199" t="n">
        <v>2025</v>
      </c>
      <c r="L304" s="199" t="n">
        <v>2025</v>
      </c>
    </row>
    <row r="305" ht="15" customHeight="1" s="104">
      <c r="A305" s="194" t="n">
        <v>45777</v>
      </c>
      <c r="B305" s="195" t="inlineStr">
        <is>
          <t>Amazon US</t>
        </is>
      </c>
      <c r="C305" s="195" t="inlineStr">
        <is>
          <t>Amazon fees</t>
        </is>
      </c>
      <c r="D305" s="195" t="inlineStr">
        <is>
          <t>Warehouse lost</t>
        </is>
      </c>
      <c r="E305" s="196" t="n">
        <v>173.46</v>
      </c>
      <c r="F305" s="204" t="n">
        <v>0.001670887071</v>
      </c>
      <c r="H305" s="196" t="n">
        <v>173.46</v>
      </c>
      <c r="J305" s="200" t="inlineStr">
        <is>
          <t>Apr</t>
        </is>
      </c>
      <c r="K305" s="199" t="n">
        <v>2025</v>
      </c>
      <c r="L305" s="199" t="n">
        <v>2025</v>
      </c>
    </row>
    <row r="306" ht="15" customHeight="1" s="104">
      <c r="A306" s="194" t="n">
        <v>45777</v>
      </c>
      <c r="B306" s="195" t="inlineStr">
        <is>
          <t>Amazon US</t>
        </is>
      </c>
      <c r="C306" s="195" t="inlineStr">
        <is>
          <t>Amazon fees</t>
        </is>
      </c>
      <c r="D306" s="195" t="inlineStr">
        <is>
          <t>Missing from inbound</t>
        </is>
      </c>
      <c r="E306" s="196" t="n">
        <v>768.46</v>
      </c>
      <c r="F306" s="204" t="n">
        <v>0.007402339897</v>
      </c>
      <c r="H306" s="196" t="n">
        <v>768.46</v>
      </c>
      <c r="J306" s="200" t="inlineStr">
        <is>
          <t>Apr</t>
        </is>
      </c>
      <c r="K306" s="199" t="n">
        <v>2025</v>
      </c>
      <c r="L306" s="199" t="n">
        <v>2025</v>
      </c>
    </row>
    <row r="307" ht="15" customHeight="1" s="104">
      <c r="A307" s="194" t="n">
        <v>45777</v>
      </c>
      <c r="B307" s="195" t="inlineStr">
        <is>
          <t>Amazon US</t>
        </is>
      </c>
      <c r="C307" s="195" t="inlineStr">
        <is>
          <t>Amazon fees</t>
        </is>
      </c>
      <c r="D307" s="195" t="inlineStr">
        <is>
          <t>Warehouse damage</t>
        </is>
      </c>
      <c r="E307" s="196" t="n">
        <v>189.56</v>
      </c>
      <c r="F307" s="204" t="n">
        <v>0.001825973442</v>
      </c>
      <c r="H307" s="196" t="n">
        <v>189.56</v>
      </c>
      <c r="J307" s="200" t="inlineStr">
        <is>
          <t>Apr</t>
        </is>
      </c>
      <c r="K307" s="199" t="n">
        <v>2025</v>
      </c>
      <c r="L307" s="199" t="n">
        <v>2025</v>
      </c>
    </row>
    <row r="308" ht="15" customHeight="1" s="104">
      <c r="A308" s="194" t="n">
        <v>45777</v>
      </c>
      <c r="B308" s="195" t="inlineStr">
        <is>
          <t>Amazon US</t>
        </is>
      </c>
      <c r="C308" s="195" t="inlineStr">
        <is>
          <t>Amazon fees</t>
        </is>
      </c>
      <c r="D308" s="195" t="inlineStr">
        <is>
          <t>Liquidations revenue</t>
        </is>
      </c>
      <c r="E308" s="197" t="n">
        <v>0.9</v>
      </c>
      <c r="F308" s="204" t="n">
        <v>8.669424442999999e-06</v>
      </c>
      <c r="H308" s="197" t="n">
        <v>0.9</v>
      </c>
      <c r="J308" s="200" t="inlineStr">
        <is>
          <t>Apr</t>
        </is>
      </c>
      <c r="K308" s="199" t="n">
        <v>2025</v>
      </c>
      <c r="L308" s="199" t="n">
        <v>2025</v>
      </c>
    </row>
    <row r="309" ht="15" customHeight="1" s="104">
      <c r="A309" s="194" t="n">
        <v>45777</v>
      </c>
      <c r="B309" s="195" t="inlineStr">
        <is>
          <t>Amazon US</t>
        </is>
      </c>
      <c r="C309" s="195" t="inlineStr">
        <is>
          <t>Amazon fees</t>
        </is>
      </c>
      <c r="D309" s="195" t="inlineStr">
        <is>
          <t>Reversal reimbursement</t>
        </is>
      </c>
      <c r="E309" s="196" t="n">
        <v>556.2</v>
      </c>
      <c r="F309" s="204" t="n">
        <v>0.005357704306</v>
      </c>
      <c r="H309" s="196" t="n">
        <v>556.2</v>
      </c>
      <c r="J309" s="200" t="inlineStr">
        <is>
          <t>Apr</t>
        </is>
      </c>
      <c r="K309" s="199" t="n">
        <v>2025</v>
      </c>
      <c r="L309" s="199" t="n">
        <v>2025</v>
      </c>
    </row>
    <row r="310" ht="15" customHeight="1" s="104">
      <c r="A310" s="194" t="n">
        <v>45777</v>
      </c>
      <c r="B310" s="195" t="inlineStr">
        <is>
          <t>Amazon US</t>
        </is>
      </c>
      <c r="C310" s="195" t="inlineStr">
        <is>
          <t>Amazon fees</t>
        </is>
      </c>
      <c r="D310" s="195" t="inlineStr">
        <is>
          <t>Liquidations revenue adjustment</t>
        </is>
      </c>
      <c r="E310" s="198" t="n">
        <v>0</v>
      </c>
      <c r="F310" s="201" t="n">
        <v>0</v>
      </c>
      <c r="H310" s="198" t="n">
        <v>0</v>
      </c>
      <c r="J310" s="200" t="inlineStr">
        <is>
          <t>Apr</t>
        </is>
      </c>
      <c r="K310" s="199" t="n">
        <v>2025</v>
      </c>
      <c r="L310" s="199" t="n">
        <v>2025</v>
      </c>
    </row>
    <row r="311" ht="15" customHeight="1" s="104">
      <c r="A311" s="194" t="n">
        <v>45777</v>
      </c>
      <c r="B311" s="195" t="inlineStr">
        <is>
          <t>Amazon US</t>
        </is>
      </c>
      <c r="C311" s="195" t="inlineStr">
        <is>
          <t>Amazon fees</t>
        </is>
      </c>
      <c r="D311" s="195" t="inlineStr">
        <is>
          <t>Vine Fee</t>
        </is>
      </c>
      <c r="E311" s="198" t="n">
        <v>0</v>
      </c>
      <c r="F311" s="201" t="n">
        <v>0</v>
      </c>
      <c r="H311" s="198" t="n">
        <v>0</v>
      </c>
      <c r="J311" s="200" t="inlineStr">
        <is>
          <t>Apr</t>
        </is>
      </c>
      <c r="K311" s="199" t="n">
        <v>2025</v>
      </c>
      <c r="L311" s="199" t="n">
        <v>2025</v>
      </c>
    </row>
    <row r="312" ht="15" customHeight="1" s="104">
      <c r="A312" s="194" t="n">
        <v>45777</v>
      </c>
      <c r="B312" s="195" t="inlineStr">
        <is>
          <t>Amazon US</t>
        </is>
      </c>
      <c r="C312" s="195" t="inlineStr">
        <is>
          <t>Amazon fees</t>
        </is>
      </c>
      <c r="D312" s="195" t="inlineStr">
        <is>
          <t xml:space="preserve">Adjustment FBA per unit fulfillment fee
</t>
        </is>
      </c>
      <c r="E312" s="198" t="n">
        <v>0</v>
      </c>
      <c r="F312" s="201" t="n">
        <v>0</v>
      </c>
      <c r="H312" s="198" t="n">
        <v>0</v>
      </c>
      <c r="J312" s="200" t="inlineStr">
        <is>
          <t>Apr</t>
        </is>
      </c>
      <c r="K312" s="199" t="n">
        <v>2025</v>
      </c>
      <c r="L312" s="199" t="n">
        <v>2025</v>
      </c>
    </row>
    <row r="313" ht="15" customHeight="1" s="104">
      <c r="A313" s="194" t="n">
        <v>45777</v>
      </c>
      <c r="B313" s="195" t="inlineStr">
        <is>
          <t>Amazon US</t>
        </is>
      </c>
      <c r="C313" s="195" t="inlineStr">
        <is>
          <t>Amazon fees</t>
        </is>
      </c>
      <c r="D313" s="195" t="inlineStr">
        <is>
          <t>Re-evaluation</t>
        </is>
      </c>
      <c r="E313" s="196" t="n">
        <v>74.48</v>
      </c>
      <c r="F313" s="204" t="n">
        <v>0.0007174430361</v>
      </c>
    </row>
    <row r="314" ht="15" customHeight="1" s="104">
      <c r="A314" s="194" t="n">
        <v>45777</v>
      </c>
      <c r="B314" s="195" t="inlineStr">
        <is>
          <t>Amazon US</t>
        </is>
      </c>
      <c r="C314" s="195" t="inlineStr">
        <is>
          <t>Cost of goods</t>
        </is>
      </c>
      <c r="D314" s="195" t="inlineStr">
        <is>
          <t>Cost of goods sold</t>
        </is>
      </c>
      <c r="E314" s="196" t="n">
        <v>-27430.57</v>
      </c>
      <c r="F314" s="204" t="n">
        <v>-0.2642302823</v>
      </c>
      <c r="H314" s="196" t="n">
        <v>-27430.57</v>
      </c>
      <c r="J314" s="200" t="inlineStr">
        <is>
          <t>Apr</t>
        </is>
      </c>
      <c r="K314" s="199" t="n">
        <v>2025</v>
      </c>
      <c r="L314" s="199" t="n">
        <v>2025</v>
      </c>
    </row>
    <row r="315" ht="15" customHeight="1" s="104">
      <c r="A315" s="194" t="n">
        <v>45777</v>
      </c>
      <c r="B315" s="195" t="inlineStr">
        <is>
          <t>Amazon US</t>
        </is>
      </c>
      <c r="C315" s="195" t="inlineStr">
        <is>
          <t>Cost of goods</t>
        </is>
      </c>
      <c r="D315" s="195" t="inlineStr">
        <is>
          <t>Lost/damaged by Amazon</t>
        </is>
      </c>
      <c r="E315" s="196" t="n">
        <v>-960.35</v>
      </c>
      <c r="F315" s="204" t="n">
        <v>-0.009250757514999999</v>
      </c>
      <c r="H315" s="196" t="n">
        <v>-960.35</v>
      </c>
      <c r="J315" s="200" t="inlineStr">
        <is>
          <t>Apr</t>
        </is>
      </c>
      <c r="K315" s="199" t="n">
        <v>2025</v>
      </c>
      <c r="L315" s="199" t="n">
        <v>2025</v>
      </c>
    </row>
    <row r="316" ht="15" customHeight="1" s="104">
      <c r="A316" s="194" t="n">
        <v>45777</v>
      </c>
      <c r="B316" s="195" t="inlineStr">
        <is>
          <t>Amazon CA</t>
        </is>
      </c>
      <c r="C316" s="195" t="inlineStr">
        <is>
          <t>Advertising cost</t>
        </is>
      </c>
      <c r="D316" s="195" t="inlineStr">
        <is>
          <t>Sponsored Products</t>
        </is>
      </c>
      <c r="E316" s="196" t="n">
        <v>-604.46</v>
      </c>
      <c r="F316" s="204" t="n">
        <v>-0.1385778609</v>
      </c>
      <c r="H316" s="196" t="n">
        <v>-604.46</v>
      </c>
      <c r="J316" s="200" t="inlineStr">
        <is>
          <t>Apr</t>
        </is>
      </c>
      <c r="K316" s="199" t="n">
        <v>2025</v>
      </c>
      <c r="L316" s="199" t="n">
        <v>2025</v>
      </c>
    </row>
    <row r="317" ht="15" customHeight="1" s="104">
      <c r="A317" s="194" t="n">
        <v>45777</v>
      </c>
      <c r="B317" s="195" t="inlineStr">
        <is>
          <t>Amazon CA</t>
        </is>
      </c>
      <c r="C317" s="195" t="inlineStr">
        <is>
          <t>Advertising cost</t>
        </is>
      </c>
      <c r="D317" s="195" t="inlineStr">
        <is>
          <t>Sponsored Brands Video</t>
        </is>
      </c>
      <c r="E317" s="198" t="n">
        <v>0</v>
      </c>
      <c r="F317" s="201" t="n">
        <v>0</v>
      </c>
      <c r="H317" s="198" t="n">
        <v>0</v>
      </c>
      <c r="J317" s="200" t="inlineStr">
        <is>
          <t>Apr</t>
        </is>
      </c>
      <c r="K317" s="199" t="n">
        <v>2025</v>
      </c>
      <c r="L317" s="199" t="n">
        <v>2025</v>
      </c>
    </row>
    <row r="318" ht="15" customHeight="1" s="104">
      <c r="A318" s="194" t="n">
        <v>45777</v>
      </c>
      <c r="B318" s="195" t="inlineStr">
        <is>
          <t>Amazon CA</t>
        </is>
      </c>
      <c r="C318" s="195" t="inlineStr">
        <is>
          <t>Advertising cost</t>
        </is>
      </c>
      <c r="D318" s="195" t="inlineStr">
        <is>
          <t>Sponsored Display</t>
        </is>
      </c>
      <c r="E318" s="198" t="n">
        <v>0</v>
      </c>
      <c r="F318" s="201" t="n">
        <v>0</v>
      </c>
      <c r="H318" s="198" t="n">
        <v>0</v>
      </c>
      <c r="J318" s="200" t="inlineStr">
        <is>
          <t>Apr</t>
        </is>
      </c>
      <c r="K318" s="199" t="n">
        <v>2025</v>
      </c>
      <c r="L318" s="199" t="n">
        <v>2025</v>
      </c>
    </row>
    <row r="319" ht="15" customHeight="1" s="104">
      <c r="A319" s="194" t="n">
        <v>45777</v>
      </c>
      <c r="B319" s="195" t="inlineStr">
        <is>
          <t>Amazon CA</t>
        </is>
      </c>
      <c r="C319" s="195" t="inlineStr">
        <is>
          <t>Advertising cost</t>
        </is>
      </c>
      <c r="D319" s="195" t="inlineStr">
        <is>
          <t>Sponsored Brands</t>
        </is>
      </c>
      <c r="E319" s="198" t="n">
        <v>0</v>
      </c>
      <c r="F319" s="201" t="n">
        <v>0</v>
      </c>
      <c r="H319" s="198" t="n">
        <v>0</v>
      </c>
      <c r="J319" s="200" t="inlineStr">
        <is>
          <t>Apr</t>
        </is>
      </c>
      <c r="K319" s="199" t="n">
        <v>2025</v>
      </c>
      <c r="L319" s="199" t="n">
        <v>2025</v>
      </c>
    </row>
    <row r="320" ht="15" customHeight="1" s="104">
      <c r="A320" s="194" t="n">
        <v>45777</v>
      </c>
      <c r="B320" s="195" t="inlineStr">
        <is>
          <t>Amazon CA</t>
        </is>
      </c>
      <c r="C320" s="195" t="inlineStr">
        <is>
          <t>Refund cost</t>
        </is>
      </c>
      <c r="D320" s="195" t="inlineStr">
        <is>
          <t>Refunded amount</t>
        </is>
      </c>
      <c r="E320" s="196" t="n">
        <v>-468.51</v>
      </c>
      <c r="F320" s="204" t="n">
        <v>-0.1074101076</v>
      </c>
      <c r="H320" s="196" t="n">
        <v>-468.51</v>
      </c>
      <c r="J320" s="200" t="inlineStr">
        <is>
          <t>Apr</t>
        </is>
      </c>
      <c r="K320" s="199" t="n">
        <v>2025</v>
      </c>
      <c r="L320" s="199" t="n">
        <v>2025</v>
      </c>
    </row>
    <row r="321" ht="15" customHeight="1" s="104">
      <c r="A321" s="194" t="n">
        <v>45777</v>
      </c>
      <c r="B321" s="195" t="inlineStr">
        <is>
          <t>Amazon CA</t>
        </is>
      </c>
      <c r="C321" s="195" t="inlineStr">
        <is>
          <t>Refund cost</t>
        </is>
      </c>
      <c r="D321" s="195" t="inlineStr">
        <is>
          <t>Refund commission</t>
        </is>
      </c>
      <c r="E321" s="196" t="n">
        <v>-14.05</v>
      </c>
      <c r="F321" s="204" t="n">
        <v>-0.003221088155</v>
      </c>
      <c r="H321" s="196" t="n">
        <v>-14.05</v>
      </c>
      <c r="J321" s="200" t="inlineStr">
        <is>
          <t>Apr</t>
        </is>
      </c>
      <c r="K321" s="199" t="n">
        <v>2025</v>
      </c>
      <c r="L321" s="199" t="n">
        <v>2025</v>
      </c>
    </row>
    <row r="322" ht="15" customHeight="1" s="104">
      <c r="A322" s="194" t="n">
        <v>45777</v>
      </c>
      <c r="B322" s="195" t="inlineStr">
        <is>
          <t>Amazon CA</t>
        </is>
      </c>
      <c r="C322" s="195" t="inlineStr">
        <is>
          <t>Refund cost</t>
        </is>
      </c>
      <c r="D322" s="195" t="inlineStr">
        <is>
          <t>Refunded referral fee</t>
        </is>
      </c>
      <c r="E322" s="196" t="n">
        <v>70.3</v>
      </c>
      <c r="F322" s="204" t="n">
        <v>0.01611690372</v>
      </c>
      <c r="H322" s="196" t="n">
        <v>70.3</v>
      </c>
      <c r="J322" s="200" t="inlineStr">
        <is>
          <t>Apr</t>
        </is>
      </c>
      <c r="K322" s="199" t="n">
        <v>2025</v>
      </c>
      <c r="L322" s="199" t="n">
        <v>2025</v>
      </c>
    </row>
    <row r="323" ht="15" customHeight="1" s="104">
      <c r="A323" s="194" t="n">
        <v>45777</v>
      </c>
      <c r="B323" s="195" t="inlineStr">
        <is>
          <t>Amazon CA</t>
        </is>
      </c>
      <c r="C323" s="195" t="inlineStr">
        <is>
          <t>Refund cost</t>
        </is>
      </c>
      <c r="D323" s="195" t="inlineStr">
        <is>
          <t>Value of returned items</t>
        </is>
      </c>
      <c r="E323" s="196" t="n">
        <v>79.09999999999999</v>
      </c>
      <c r="F323" s="204" t="n">
        <v>0.01813438242</v>
      </c>
      <c r="H323" s="196" t="n">
        <v>79.09999999999999</v>
      </c>
      <c r="J323" s="200" t="inlineStr">
        <is>
          <t>Apr</t>
        </is>
      </c>
      <c r="K323" s="199" t="n">
        <v>2025</v>
      </c>
      <c r="L323" s="199" t="n">
        <v>2025</v>
      </c>
    </row>
    <row r="324" ht="15" customHeight="1" s="104">
      <c r="A324" s="194" t="n">
        <v>45777</v>
      </c>
      <c r="B324" s="195" t="inlineStr">
        <is>
          <t>Amazon CA</t>
        </is>
      </c>
      <c r="C324" s="195" t="inlineStr">
        <is>
          <t>Amazon fees</t>
        </is>
      </c>
      <c r="D324" s="195" t="inlineStr">
        <is>
          <t>FBA per unit fulfilment fee</t>
        </is>
      </c>
      <c r="E324" s="196" t="n">
        <v>-555.6900000000001</v>
      </c>
      <c r="F324" s="204" t="n">
        <v>-0.1273969023</v>
      </c>
      <c r="H324" s="196" t="n">
        <v>-555.6900000000001</v>
      </c>
      <c r="J324" s="200" t="inlineStr">
        <is>
          <t>Apr</t>
        </is>
      </c>
      <c r="K324" s="199" t="n">
        <v>2025</v>
      </c>
      <c r="L324" s="199" t="n">
        <v>2025</v>
      </c>
    </row>
    <row r="325" ht="15" customHeight="1" s="104">
      <c r="A325" s="194" t="n">
        <v>45777</v>
      </c>
      <c r="B325" s="195" t="inlineStr">
        <is>
          <t>Amazon CA</t>
        </is>
      </c>
      <c r="C325" s="195" t="inlineStr">
        <is>
          <t>Amazon fees</t>
        </is>
      </c>
      <c r="D325" s="195" t="inlineStr">
        <is>
          <t>Referral fee</t>
        </is>
      </c>
      <c r="E325" s="196" t="n">
        <v>-659.26</v>
      </c>
      <c r="F325" s="204" t="n">
        <v>-0.151141251</v>
      </c>
      <c r="H325" s="196" t="n">
        <v>-659.26</v>
      </c>
      <c r="J325" s="200" t="inlineStr">
        <is>
          <t>Apr</t>
        </is>
      </c>
      <c r="K325" s="199" t="n">
        <v>2025</v>
      </c>
      <c r="L325" s="199" t="n">
        <v>2025</v>
      </c>
    </row>
    <row r="326" ht="15" customHeight="1" s="104">
      <c r="A326" s="194" t="n">
        <v>45777</v>
      </c>
      <c r="B326" s="195" t="inlineStr">
        <is>
          <t>Amazon CA</t>
        </is>
      </c>
      <c r="C326" s="195" t="inlineStr">
        <is>
          <t>Amazon fees</t>
        </is>
      </c>
      <c r="D326" s="195" t="inlineStr">
        <is>
          <t>FBA storage fee</t>
        </is>
      </c>
      <c r="E326" s="196" t="n">
        <v>-91.62</v>
      </c>
      <c r="F326" s="204" t="n">
        <v>-0.02100470439</v>
      </c>
      <c r="H326" s="196" t="n">
        <v>-91.62</v>
      </c>
      <c r="J326" s="200" t="inlineStr">
        <is>
          <t>Apr</t>
        </is>
      </c>
      <c r="K326" s="199" t="n">
        <v>2025</v>
      </c>
      <c r="L326" s="199" t="n">
        <v>2025</v>
      </c>
    </row>
    <row r="327" ht="15" customHeight="1" s="104">
      <c r="A327" s="194" t="n">
        <v>45777</v>
      </c>
      <c r="B327" s="195" t="inlineStr">
        <is>
          <t>Amazon CA</t>
        </is>
      </c>
      <c r="C327" s="195" t="inlineStr">
        <is>
          <t>Amazon fees</t>
        </is>
      </c>
      <c r="D327" s="195" t="inlineStr">
        <is>
          <t>Digital services fee</t>
        </is>
      </c>
      <c r="E327" s="196" t="n">
        <v>-13.25</v>
      </c>
      <c r="F327" s="204" t="n">
        <v>-0.003037681</v>
      </c>
      <c r="H327" s="196" t="n">
        <v>-13.25</v>
      </c>
      <c r="J327" s="200" t="inlineStr">
        <is>
          <t>Apr</t>
        </is>
      </c>
      <c r="K327" s="199" t="n">
        <v>2025</v>
      </c>
      <c r="L327" s="199" t="n">
        <v>2025</v>
      </c>
    </row>
    <row r="328" ht="15" customHeight="1" s="104">
      <c r="A328" s="194" t="n">
        <v>45777</v>
      </c>
      <c r="B328" s="195" t="inlineStr">
        <is>
          <t>Amazon CA</t>
        </is>
      </c>
      <c r="C328" s="195" t="inlineStr">
        <is>
          <t>Cost of goods</t>
        </is>
      </c>
      <c r="D328" s="195" t="inlineStr">
        <is>
          <t>Cost of goods sold</t>
        </is>
      </c>
      <c r="E328" s="196" t="n">
        <v>-1230.26</v>
      </c>
      <c r="F328" s="204" t="n">
        <v>-0.2820481077</v>
      </c>
      <c r="H328" s="196" t="n">
        <v>-1230.26</v>
      </c>
      <c r="J328" s="200" t="inlineStr">
        <is>
          <t>Apr</t>
        </is>
      </c>
      <c r="K328" s="199" t="n">
        <v>2025</v>
      </c>
      <c r="L328" s="199" t="n">
        <v>2025</v>
      </c>
    </row>
    <row r="329" ht="15" customHeight="1" s="104">
      <c r="A329" s="194" t="n">
        <v>45777</v>
      </c>
      <c r="B329" s="195" t="inlineStr">
        <is>
          <t>Shopify</t>
        </is>
      </c>
      <c r="C329" s="195" t="inlineStr">
        <is>
          <t>Payment fees</t>
        </is>
      </c>
      <c r="D329" s="195" t="inlineStr">
        <is>
          <t>Shopify Payments fee</t>
        </is>
      </c>
      <c r="E329" s="196" t="n">
        <v>-446.53</v>
      </c>
      <c r="F329" s="204" t="n">
        <v>-0.03313227757</v>
      </c>
      <c r="H329" s="196" t="n">
        <v>-446.53</v>
      </c>
      <c r="J329" s="200" t="inlineStr">
        <is>
          <t>Apr</t>
        </is>
      </c>
      <c r="K329" s="199" t="n">
        <v>2025</v>
      </c>
      <c r="L329" s="199" t="n">
        <v>2025</v>
      </c>
    </row>
    <row r="330" ht="15" customHeight="1" s="104">
      <c r="A330" s="194" t="n">
        <v>45777</v>
      </c>
      <c r="B330" s="195" t="inlineStr">
        <is>
          <t>Shopify</t>
        </is>
      </c>
      <c r="C330" s="195" t="inlineStr">
        <is>
          <t>Cost of goods</t>
        </is>
      </c>
      <c r="D330" s="195" t="inlineStr">
        <is>
          <t>Cost of goods sold</t>
        </is>
      </c>
      <c r="E330" s="196" t="n">
        <v>-4530.05</v>
      </c>
      <c r="F330" s="204" t="n">
        <v>-0.3361271897</v>
      </c>
      <c r="H330" s="196" t="n">
        <v>-4530.05</v>
      </c>
      <c r="I330" s="200" t="inlineStr">
        <is>
          <t>please check of cogs is correct</t>
        </is>
      </c>
      <c r="J330" s="200" t="inlineStr">
        <is>
          <t>Apr</t>
        </is>
      </c>
      <c r="K330" s="199" t="n">
        <v>2025</v>
      </c>
      <c r="L330" s="199" t="n">
        <v>2025</v>
      </c>
    </row>
    <row r="331" ht="15" customHeight="1" s="104">
      <c r="A331" s="194" t="n">
        <v>45777</v>
      </c>
      <c r="B331" s="195" t="inlineStr">
        <is>
          <t>Shopify</t>
        </is>
      </c>
      <c r="C331" s="195" t="inlineStr">
        <is>
          <t>Tax</t>
        </is>
      </c>
      <c r="D331" s="195" t="inlineStr">
        <is>
          <t>Texas State Tax</t>
        </is>
      </c>
      <c r="E331" s="196" t="n">
        <v>-30.99</v>
      </c>
      <c r="F331" s="204" t="n">
        <v>-0.002299440759</v>
      </c>
      <c r="H331" s="196" t="n">
        <v>-30.99</v>
      </c>
      <c r="J331" s="200" t="inlineStr">
        <is>
          <t>Apr</t>
        </is>
      </c>
      <c r="K331" s="199" t="n">
        <v>2025</v>
      </c>
      <c r="L331" s="199" t="n">
        <v>2025</v>
      </c>
    </row>
    <row r="332" ht="15" customHeight="1" s="104">
      <c r="A332" s="194" t="n">
        <v>45777</v>
      </c>
      <c r="B332" s="195" t="inlineStr">
        <is>
          <t>Shopify</t>
        </is>
      </c>
      <c r="C332" s="195" t="inlineStr">
        <is>
          <t>Tax</t>
        </is>
      </c>
      <c r="D332" s="195" t="inlineStr">
        <is>
          <t>Galveston City Tax</t>
        </is>
      </c>
      <c r="E332" s="196" t="n">
        <v>-9.92</v>
      </c>
      <c r="F332" s="204" t="n">
        <v>-0.000736058481</v>
      </c>
      <c r="H332" s="196" t="n">
        <v>-9.92</v>
      </c>
      <c r="J332" s="200" t="inlineStr">
        <is>
          <t>Apr</t>
        </is>
      </c>
      <c r="K332" s="199" t="n">
        <v>2025</v>
      </c>
      <c r="L332" s="199" t="n">
        <v>2025</v>
      </c>
    </row>
    <row r="333" ht="15" customHeight="1" s="104">
      <c r="A333" s="194" t="n">
        <v>45777</v>
      </c>
      <c r="B333" s="195" t="inlineStr">
        <is>
          <t>Shopify</t>
        </is>
      </c>
      <c r="C333" s="195" t="inlineStr">
        <is>
          <t>Tax</t>
        </is>
      </c>
      <c r="D333" s="195" t="inlineStr">
        <is>
          <t>Henrico Co Sp</t>
        </is>
      </c>
      <c r="E333" s="198" t="n">
        <v>0</v>
      </c>
      <c r="F333" s="201" t="n">
        <v>0</v>
      </c>
      <c r="H333" s="198" t="n">
        <v>0</v>
      </c>
      <c r="J333" s="200" t="inlineStr">
        <is>
          <t>Apr</t>
        </is>
      </c>
      <c r="K333" s="199" t="n">
        <v>2025</v>
      </c>
      <c r="L333" s="199" t="n">
        <v>2025</v>
      </c>
    </row>
    <row r="334" ht="15" customHeight="1" s="104">
      <c r="A334" s="194" t="n">
        <v>45777</v>
      </c>
      <c r="B334" s="195" t="inlineStr">
        <is>
          <t>Shopify</t>
        </is>
      </c>
      <c r="C334" s="195" t="inlineStr">
        <is>
          <t>MCF Shipping fees</t>
        </is>
      </c>
      <c r="D334" s="195" t="inlineStr">
        <is>
          <t>MCF Shipping fees</t>
        </is>
      </c>
      <c r="E334" s="196" t="n">
        <v>-3655.5</v>
      </c>
      <c r="F334" s="204" t="n">
        <v>-0.2712360663</v>
      </c>
      <c r="H334" s="196" t="n">
        <v>-3655.5</v>
      </c>
      <c r="I334" s="200" t="inlineStr">
        <is>
          <t>please check of MCF is correct</t>
        </is>
      </c>
      <c r="J334" s="200" t="inlineStr">
        <is>
          <t>Apr</t>
        </is>
      </c>
      <c r="K334" s="199" t="n">
        <v>2025</v>
      </c>
      <c r="L334" s="199" t="n">
        <v>2025</v>
      </c>
    </row>
    <row r="335" ht="15" customHeight="1" s="104">
      <c r="A335" s="194" t="n">
        <v>45777</v>
      </c>
      <c r="B335" s="195" t="inlineStr">
        <is>
          <t>Shopify</t>
        </is>
      </c>
      <c r="C335" s="195" t="inlineStr">
        <is>
          <t>Shipping Cost</t>
        </is>
      </c>
      <c r="D335" s="195" t="inlineStr">
        <is>
          <t>Shipping Cost</t>
        </is>
      </c>
      <c r="E335" s="198" t="n">
        <v>0</v>
      </c>
      <c r="F335" s="201" t="n">
        <v>0</v>
      </c>
      <c r="H335" s="198" t="n">
        <v>0</v>
      </c>
      <c r="J335" s="200" t="inlineStr">
        <is>
          <t>Apr</t>
        </is>
      </c>
      <c r="K335" s="199" t="n">
        <v>2025</v>
      </c>
      <c r="L335" s="199" t="n">
        <v>2025</v>
      </c>
    </row>
    <row r="336" ht="15" customHeight="1" s="104">
      <c r="A336" s="194" t="n">
        <v>45777</v>
      </c>
      <c r="B336" s="195" t="inlineStr">
        <is>
          <t>Shopify</t>
        </is>
      </c>
      <c r="C336" s="195" t="inlineStr">
        <is>
          <t>Advertising cost</t>
        </is>
      </c>
      <c r="D336" s="195" t="inlineStr">
        <is>
          <t>Advertising Cost</t>
        </is>
      </c>
      <c r="E336" s="196" t="n">
        <v>-2217.12</v>
      </c>
      <c r="F336" s="204" t="n">
        <v>-0.1645090705</v>
      </c>
      <c r="H336" s="196" t="n">
        <v>-2217.12</v>
      </c>
      <c r="J336" s="200" t="inlineStr">
        <is>
          <t>Apr</t>
        </is>
      </c>
      <c r="K336" s="199" t="n">
        <v>2025</v>
      </c>
      <c r="L336" s="199" t="n">
        <v>2025</v>
      </c>
    </row>
    <row r="337" ht="15" customHeight="1" s="104">
      <c r="A337" s="194" t="n">
        <v>45777</v>
      </c>
      <c r="B337" s="195" t="inlineStr">
        <is>
          <t>Tiktok</t>
        </is>
      </c>
      <c r="C337" s="195" t="inlineStr">
        <is>
          <t>Tiktok Shipping</t>
        </is>
      </c>
      <c r="D337" s="195" t="inlineStr">
        <is>
          <t>TikTok Shop shipping fee</t>
        </is>
      </c>
      <c r="E337" s="198" t="n">
        <v>0</v>
      </c>
      <c r="F337" s="201" t="n">
        <v>0</v>
      </c>
      <c r="H337" s="198" t="n">
        <v>0</v>
      </c>
      <c r="J337" s="200" t="inlineStr">
        <is>
          <t>Apr</t>
        </is>
      </c>
      <c r="K337" s="199" t="n">
        <v>2025</v>
      </c>
      <c r="L337" s="199" t="n">
        <v>2025</v>
      </c>
    </row>
    <row r="338" ht="15" customHeight="1" s="104">
      <c r="A338" s="194" t="n">
        <v>45777</v>
      </c>
      <c r="B338" s="195" t="inlineStr">
        <is>
          <t>Tiktok</t>
        </is>
      </c>
      <c r="C338" s="195" t="inlineStr">
        <is>
          <t>Tiktok Shipping</t>
        </is>
      </c>
      <c r="D338" s="195" t="inlineStr">
        <is>
          <t>Fulfilled by TikTok Shop (FBT) shipping fee</t>
        </is>
      </c>
      <c r="E338" s="198" t="n">
        <v>0</v>
      </c>
      <c r="F338" s="201" t="n">
        <v>0</v>
      </c>
      <c r="H338" s="198" t="n">
        <v>0</v>
      </c>
      <c r="J338" s="200" t="inlineStr">
        <is>
          <t>Apr</t>
        </is>
      </c>
      <c r="K338" s="199" t="n">
        <v>2025</v>
      </c>
      <c r="L338" s="199" t="n">
        <v>2025</v>
      </c>
    </row>
    <row r="339" ht="15" customHeight="1" s="104">
      <c r="A339" s="194" t="n">
        <v>45777</v>
      </c>
      <c r="B339" s="195" t="inlineStr">
        <is>
          <t>Tiktok</t>
        </is>
      </c>
      <c r="C339" s="195" t="inlineStr">
        <is>
          <t>Tiktok Shipping</t>
        </is>
      </c>
      <c r="D339" s="195" t="inlineStr">
        <is>
          <t>Signature confirmation service fee</t>
        </is>
      </c>
      <c r="E339" s="198" t="n">
        <v>0</v>
      </c>
      <c r="F339" s="201" t="n">
        <v>0</v>
      </c>
      <c r="H339" s="198" t="n">
        <v>0</v>
      </c>
      <c r="J339" s="200" t="inlineStr">
        <is>
          <t>Apr</t>
        </is>
      </c>
      <c r="K339" s="199" t="n">
        <v>2025</v>
      </c>
      <c r="L339" s="199" t="n">
        <v>2025</v>
      </c>
    </row>
    <row r="340" ht="15" customHeight="1" s="104">
      <c r="A340" s="194" t="n">
        <v>45777</v>
      </c>
      <c r="B340" s="195" t="inlineStr">
        <is>
          <t>Tiktok</t>
        </is>
      </c>
      <c r="C340" s="195" t="inlineStr">
        <is>
          <t>Tiktok Shipping</t>
        </is>
      </c>
      <c r="D340" s="195" t="inlineStr">
        <is>
          <t>Shipping insurance fee</t>
        </is>
      </c>
      <c r="E340" s="198" t="n">
        <v>0</v>
      </c>
      <c r="F340" s="201" t="n">
        <v>0</v>
      </c>
      <c r="H340" s="198" t="n">
        <v>0</v>
      </c>
      <c r="J340" s="200" t="inlineStr">
        <is>
          <t>Apr</t>
        </is>
      </c>
      <c r="K340" s="199" t="n">
        <v>2025</v>
      </c>
      <c r="L340" s="199" t="n">
        <v>2025</v>
      </c>
    </row>
    <row r="341" ht="15" customHeight="1" s="104">
      <c r="A341" s="194" t="n">
        <v>45777</v>
      </c>
      <c r="B341" s="195" t="inlineStr">
        <is>
          <t>Tiktok</t>
        </is>
      </c>
      <c r="C341" s="195" t="inlineStr">
        <is>
          <t>Tiktok Shipping</t>
        </is>
      </c>
      <c r="D341" s="195" t="inlineStr">
        <is>
          <t>Customer-paid shipping fee</t>
        </is>
      </c>
      <c r="E341" s="198" t="n">
        <v>0</v>
      </c>
      <c r="F341" s="201" t="n">
        <v>0</v>
      </c>
      <c r="H341" s="198" t="n">
        <v>0</v>
      </c>
      <c r="J341" s="200" t="inlineStr">
        <is>
          <t>Apr</t>
        </is>
      </c>
      <c r="K341" s="199" t="n">
        <v>2025</v>
      </c>
      <c r="L341" s="199" t="n">
        <v>2025</v>
      </c>
    </row>
    <row r="342" ht="15" customHeight="1" s="104">
      <c r="A342" s="194" t="n">
        <v>45777</v>
      </c>
      <c r="B342" s="195" t="inlineStr">
        <is>
          <t>Tiktok</t>
        </is>
      </c>
      <c r="C342" s="195" t="inlineStr">
        <is>
          <t>Tiktok Shipping</t>
        </is>
      </c>
      <c r="D342" s="195" t="inlineStr">
        <is>
          <t>Customer-paid shipping fee refund</t>
        </is>
      </c>
      <c r="E342" s="198" t="n">
        <v>0</v>
      </c>
      <c r="F342" s="201" t="n">
        <v>0</v>
      </c>
      <c r="H342" s="198" t="n">
        <v>0</v>
      </c>
      <c r="J342" s="200" t="inlineStr">
        <is>
          <t>Apr</t>
        </is>
      </c>
      <c r="K342" s="199" t="n">
        <v>2025</v>
      </c>
      <c r="L342" s="199" t="n">
        <v>2025</v>
      </c>
    </row>
    <row r="343" ht="15" customHeight="1" s="104">
      <c r="A343" s="194" t="n">
        <v>45777</v>
      </c>
      <c r="B343" s="195" t="inlineStr">
        <is>
          <t>Tiktok</t>
        </is>
      </c>
      <c r="C343" s="195" t="inlineStr">
        <is>
          <t>Tiktok Shipping</t>
        </is>
      </c>
      <c r="D343" s="195" t="inlineStr">
        <is>
          <t>TikTok Shop shipping incentive</t>
        </is>
      </c>
      <c r="E343" s="196" t="n">
        <v>41.92</v>
      </c>
      <c r="F343" s="204" t="n">
        <v>0.007178303441</v>
      </c>
      <c r="H343" s="196" t="n">
        <v>41.92</v>
      </c>
      <c r="J343" s="200" t="inlineStr">
        <is>
          <t>Apr</t>
        </is>
      </c>
      <c r="K343" s="199" t="n">
        <v>2025</v>
      </c>
      <c r="L343" s="199" t="n">
        <v>2025</v>
      </c>
    </row>
    <row r="344" ht="15" customHeight="1" s="104">
      <c r="A344" s="194" t="n">
        <v>45777</v>
      </c>
      <c r="B344" s="195" t="inlineStr">
        <is>
          <t>Tiktok</t>
        </is>
      </c>
      <c r="C344" s="195" t="inlineStr">
        <is>
          <t>Tiktok Shipping</t>
        </is>
      </c>
      <c r="D344" s="195" t="inlineStr">
        <is>
          <t>TikTok Shop shipping incentive refund</t>
        </is>
      </c>
      <c r="E344" s="198" t="n">
        <v>0</v>
      </c>
      <c r="F344" s="201" t="n">
        <v>0</v>
      </c>
      <c r="H344" s="198" t="n">
        <v>0</v>
      </c>
      <c r="J344" s="200" t="inlineStr">
        <is>
          <t>Apr</t>
        </is>
      </c>
      <c r="K344" s="199" t="n">
        <v>2025</v>
      </c>
      <c r="L344" s="199" t="n">
        <v>2025</v>
      </c>
    </row>
    <row r="345" ht="15" customHeight="1" s="104">
      <c r="A345" s="194" t="n">
        <v>45777</v>
      </c>
      <c r="B345" s="195" t="inlineStr">
        <is>
          <t>Tiktok</t>
        </is>
      </c>
      <c r="C345" s="195" t="inlineStr">
        <is>
          <t>Tiktok Shipping</t>
        </is>
      </c>
      <c r="D345" s="195" t="inlineStr">
        <is>
          <t>Shipping fee subsidy</t>
        </is>
      </c>
      <c r="E345" s="196" t="n">
        <v>76</v>
      </c>
      <c r="F345" s="204" t="n">
        <v>0.01301409975</v>
      </c>
      <c r="H345" s="196" t="n">
        <v>76</v>
      </c>
      <c r="J345" s="200" t="inlineStr">
        <is>
          <t>Apr</t>
        </is>
      </c>
      <c r="K345" s="199" t="n">
        <v>2025</v>
      </c>
      <c r="L345" s="199" t="n">
        <v>2025</v>
      </c>
    </row>
    <row r="346" ht="15" customHeight="1" s="104">
      <c r="A346" s="194" t="n">
        <v>45777</v>
      </c>
      <c r="B346" s="195" t="inlineStr">
        <is>
          <t>Tiktok</t>
        </is>
      </c>
      <c r="C346" s="195" t="inlineStr">
        <is>
          <t>Tiktok Shipping</t>
        </is>
      </c>
      <c r="D346" s="195" t="inlineStr">
        <is>
          <t>Return shipping fee</t>
        </is>
      </c>
      <c r="E346" s="196" t="n">
        <v>-73.05</v>
      </c>
      <c r="F346" s="204" t="n">
        <v>-0.01250894719</v>
      </c>
      <c r="H346" s="196" t="n">
        <v>-73.05</v>
      </c>
      <c r="J346" s="200" t="inlineStr">
        <is>
          <t>Apr</t>
        </is>
      </c>
      <c r="K346" s="199" t="n">
        <v>2025</v>
      </c>
      <c r="L346" s="199" t="n">
        <v>2025</v>
      </c>
    </row>
    <row r="347" ht="15" customHeight="1" s="104">
      <c r="A347" s="194" t="n">
        <v>45777</v>
      </c>
      <c r="B347" s="195" t="inlineStr">
        <is>
          <t>Tiktok</t>
        </is>
      </c>
      <c r="C347" s="195" t="inlineStr">
        <is>
          <t>Tiktok Shipping</t>
        </is>
      </c>
      <c r="D347" s="195" t="inlineStr">
        <is>
          <t>FBT fulfillment fee</t>
        </is>
      </c>
      <c r="E347" s="196" t="n">
        <v>-60.44</v>
      </c>
      <c r="F347" s="204" t="n">
        <v>-0.01034963406</v>
      </c>
      <c r="H347" s="196" t="n">
        <v>-60.44</v>
      </c>
      <c r="J347" s="200" t="inlineStr">
        <is>
          <t>Apr</t>
        </is>
      </c>
      <c r="K347" s="199" t="n">
        <v>2025</v>
      </c>
      <c r="L347" s="199" t="n">
        <v>2025</v>
      </c>
    </row>
    <row r="348" ht="15" customHeight="1" s="104">
      <c r="A348" s="194" t="n">
        <v>45777</v>
      </c>
      <c r="B348" s="195" t="inlineStr">
        <is>
          <t>Tiktok</t>
        </is>
      </c>
      <c r="C348" s="195" t="inlineStr">
        <is>
          <t>Tiktok Shipping</t>
        </is>
      </c>
      <c r="D348" s="195" t="inlineStr">
        <is>
          <t>Customer shipping fee offset</t>
        </is>
      </c>
      <c r="E348" s="196" t="n">
        <v>-43.91</v>
      </c>
      <c r="F348" s="204" t="n">
        <v>-0.007519067369</v>
      </c>
      <c r="H348" s="196" t="n">
        <v>-43.91</v>
      </c>
      <c r="J348" s="200" t="inlineStr">
        <is>
          <t>Apr</t>
        </is>
      </c>
      <c r="K348" s="199" t="n">
        <v>2025</v>
      </c>
      <c r="L348" s="199" t="n">
        <v>2025</v>
      </c>
    </row>
    <row r="349" ht="15" customHeight="1" s="104">
      <c r="A349" s="194" t="n">
        <v>45777</v>
      </c>
      <c r="B349" s="195" t="inlineStr">
        <is>
          <t>Tiktok</t>
        </is>
      </c>
      <c r="C349" s="195" t="inlineStr">
        <is>
          <t>Tiktok Shipping</t>
        </is>
      </c>
      <c r="D349" s="195" t="inlineStr">
        <is>
          <t>Co-funded free shipping reimbursement</t>
        </is>
      </c>
      <c r="E349" s="196" t="n">
        <v>5.25</v>
      </c>
      <c r="F349" s="204" t="n">
        <v>0.0008990003117</v>
      </c>
      <c r="H349" s="196" t="n">
        <v>5.25</v>
      </c>
      <c r="J349" s="200" t="inlineStr">
        <is>
          <t>Apr</t>
        </is>
      </c>
      <c r="K349" s="199" t="n">
        <v>2025</v>
      </c>
      <c r="L349" s="199" t="n">
        <v>2025</v>
      </c>
    </row>
    <row r="350" ht="15" customHeight="1" s="104">
      <c r="A350" s="194" t="n">
        <v>45777</v>
      </c>
      <c r="B350" s="195" t="inlineStr">
        <is>
          <t>Tiktok</t>
        </is>
      </c>
      <c r="C350" s="195" t="inlineStr">
        <is>
          <t>MCF Shipping fees</t>
        </is>
      </c>
      <c r="D350" s="195" t="inlineStr">
        <is>
          <t>MCF Shipping fees</t>
        </is>
      </c>
      <c r="E350" s="196" t="n">
        <v>-1164.39</v>
      </c>
      <c r="F350" s="204" t="n">
        <v>-0.1993879948</v>
      </c>
      <c r="H350" s="196" t="n">
        <v>-1164.39</v>
      </c>
      <c r="J350" s="200" t="inlineStr">
        <is>
          <t>Apr</t>
        </is>
      </c>
      <c r="K350" s="199" t="n">
        <v>2025</v>
      </c>
      <c r="L350" s="199" t="n">
        <v>2025</v>
      </c>
    </row>
    <row r="351" ht="15" customHeight="1" s="104">
      <c r="A351" s="194" t="n">
        <v>45777</v>
      </c>
      <c r="B351" s="195" t="inlineStr">
        <is>
          <t>Tiktok</t>
        </is>
      </c>
      <c r="C351" s="195" t="inlineStr">
        <is>
          <t>Fees</t>
        </is>
      </c>
      <c r="D351" s="195" t="inlineStr">
        <is>
          <t>Transaction fee</t>
        </is>
      </c>
      <c r="E351" s="198" t="n">
        <v>0</v>
      </c>
      <c r="F351" s="201" t="n">
        <v>0</v>
      </c>
      <c r="H351" s="198" t="n">
        <v>0</v>
      </c>
      <c r="J351" s="200" t="inlineStr">
        <is>
          <t>Apr</t>
        </is>
      </c>
      <c r="K351" s="199" t="n">
        <v>2025</v>
      </c>
      <c r="L351" s="199" t="n">
        <v>2025</v>
      </c>
    </row>
    <row r="352" ht="15" customHeight="1" s="104">
      <c r="A352" s="194" t="n">
        <v>45777</v>
      </c>
      <c r="B352" s="195" t="inlineStr">
        <is>
          <t>Tiktok</t>
        </is>
      </c>
      <c r="C352" s="195" t="inlineStr">
        <is>
          <t>Fees</t>
        </is>
      </c>
      <c r="D352" s="195" t="inlineStr">
        <is>
          <t>Referral fee</t>
        </is>
      </c>
      <c r="E352" s="196" t="n">
        <v>-350.18</v>
      </c>
      <c r="F352" s="204" t="n">
        <v>-0.05996417698</v>
      </c>
      <c r="H352" s="196" t="n">
        <v>-350.18</v>
      </c>
      <c r="J352" s="200" t="inlineStr">
        <is>
          <t>Apr</t>
        </is>
      </c>
      <c r="K352" s="199" t="n">
        <v>2025</v>
      </c>
      <c r="L352" s="199" t="n">
        <v>2025</v>
      </c>
    </row>
    <row r="353" ht="15" customHeight="1" s="104">
      <c r="A353" s="194" t="n">
        <v>45777</v>
      </c>
      <c r="B353" s="195" t="inlineStr">
        <is>
          <t>Tiktok</t>
        </is>
      </c>
      <c r="C353" s="195" t="inlineStr">
        <is>
          <t>Fees</t>
        </is>
      </c>
      <c r="D353" s="195" t="inlineStr">
        <is>
          <t>Refund administration fee</t>
        </is>
      </c>
      <c r="E353" s="196" t="n">
        <v>-6.54</v>
      </c>
      <c r="F353" s="204" t="n">
        <v>-0.001119897531</v>
      </c>
      <c r="H353" s="196" t="n">
        <v>-6.54</v>
      </c>
      <c r="J353" s="200" t="inlineStr">
        <is>
          <t>Apr</t>
        </is>
      </c>
      <c r="K353" s="199" t="n">
        <v>2025</v>
      </c>
      <c r="L353" s="199" t="n">
        <v>2025</v>
      </c>
    </row>
    <row r="354" ht="15" customHeight="1" s="104">
      <c r="A354" s="194" t="n">
        <v>45777</v>
      </c>
      <c r="B354" s="195" t="inlineStr">
        <is>
          <t>Tiktok</t>
        </is>
      </c>
      <c r="C354" s="195" t="inlineStr">
        <is>
          <t>Fees</t>
        </is>
      </c>
      <c r="D354" s="195" t="inlineStr">
        <is>
          <t>Affiliate commission</t>
        </is>
      </c>
      <c r="E354" s="196" t="n">
        <v>-595.09</v>
      </c>
      <c r="F354" s="204" t="n">
        <v>-0.1019021134</v>
      </c>
      <c r="H354" s="196" t="n">
        <v>-595.09</v>
      </c>
      <c r="J354" s="200" t="inlineStr">
        <is>
          <t>Apr</t>
        </is>
      </c>
      <c r="K354" s="199" t="n">
        <v>2025</v>
      </c>
      <c r="L354" s="199" t="n">
        <v>2025</v>
      </c>
    </row>
    <row r="355" ht="15" customHeight="1" s="104">
      <c r="A355" s="194" t="n">
        <v>45777</v>
      </c>
      <c r="B355" s="195" t="inlineStr">
        <is>
          <t>Tiktok</t>
        </is>
      </c>
      <c r="C355" s="195" t="inlineStr">
        <is>
          <t>Fees</t>
        </is>
      </c>
      <c r="D355" s="195" t="inlineStr">
        <is>
          <t>Affiliate partner commission</t>
        </is>
      </c>
      <c r="E355" s="198" t="n">
        <v>0</v>
      </c>
      <c r="F355" s="201" t="n">
        <v>0</v>
      </c>
      <c r="H355" s="198" t="n">
        <v>0</v>
      </c>
      <c r="J355" s="200" t="inlineStr">
        <is>
          <t>Apr</t>
        </is>
      </c>
      <c r="K355" s="199" t="n">
        <v>2025</v>
      </c>
      <c r="L355" s="199" t="n">
        <v>2025</v>
      </c>
    </row>
    <row r="356" ht="15" customHeight="1" s="104">
      <c r="A356" s="194" t="n">
        <v>45777</v>
      </c>
      <c r="B356" s="195" t="inlineStr">
        <is>
          <t>Tiktok</t>
        </is>
      </c>
      <c r="C356" s="195" t="inlineStr">
        <is>
          <t>Fees</t>
        </is>
      </c>
      <c r="D356" s="195" t="inlineStr">
        <is>
          <t>Affiliate Shop Ads commission</t>
        </is>
      </c>
      <c r="E356" s="196" t="n">
        <v>-50.3</v>
      </c>
      <c r="F356" s="204" t="n">
        <v>-0.008613279176000001</v>
      </c>
      <c r="H356" s="196" t="n">
        <v>-50.3</v>
      </c>
      <c r="J356" s="200" t="inlineStr">
        <is>
          <t>Apr</t>
        </is>
      </c>
      <c r="K356" s="199" t="n">
        <v>2025</v>
      </c>
      <c r="L356" s="199" t="n">
        <v>2025</v>
      </c>
    </row>
    <row r="357" ht="15" customHeight="1" s="104">
      <c r="A357" s="194" t="n">
        <v>45777</v>
      </c>
      <c r="B357" s="195" t="inlineStr">
        <is>
          <t>Tiktok</t>
        </is>
      </c>
      <c r="C357" s="195" t="inlineStr">
        <is>
          <t>Fees</t>
        </is>
      </c>
      <c r="D357" s="195" t="inlineStr">
        <is>
          <t>Co-funded promotion service fee</t>
        </is>
      </c>
      <c r="E357" s="198" t="n">
        <v>0</v>
      </c>
      <c r="F357" s="201" t="n">
        <v>0</v>
      </c>
      <c r="H357" s="198" t="n">
        <v>0</v>
      </c>
      <c r="J357" s="200" t="inlineStr">
        <is>
          <t>Apr</t>
        </is>
      </c>
      <c r="K357" s="199" t="n">
        <v>2025</v>
      </c>
      <c r="L357" s="199" t="n">
        <v>2025</v>
      </c>
    </row>
    <row r="358" ht="15" customHeight="1" s="104">
      <c r="A358" s="194" t="n">
        <v>45777</v>
      </c>
      <c r="B358" s="195" t="inlineStr">
        <is>
          <t>Tiktok</t>
        </is>
      </c>
      <c r="C358" s="195" t="inlineStr">
        <is>
          <t xml:space="preserve">Adjustments
</t>
        </is>
      </c>
      <c r="D358" s="195" t="inlineStr">
        <is>
          <t>Logistics adjustment</t>
        </is>
      </c>
      <c r="E358" s="198" t="n">
        <v>0</v>
      </c>
      <c r="F358" s="201" t="n">
        <v>0</v>
      </c>
      <c r="H358" s="198" t="n">
        <v>0</v>
      </c>
      <c r="J358" s="200" t="inlineStr">
        <is>
          <t>Apr</t>
        </is>
      </c>
      <c r="K358" s="199" t="n">
        <v>2025</v>
      </c>
      <c r="L358" s="199" t="n">
        <v>2025</v>
      </c>
    </row>
    <row r="359" ht="15" customHeight="1" s="104">
      <c r="A359" s="194" t="n">
        <v>45777</v>
      </c>
      <c r="B359" s="195" t="inlineStr">
        <is>
          <t>Tiktok</t>
        </is>
      </c>
      <c r="C359" s="195" t="inlineStr">
        <is>
          <t xml:space="preserve">Adjustments
</t>
        </is>
      </c>
      <c r="D359" s="195" t="inlineStr">
        <is>
          <t>Logistics reimbursement</t>
        </is>
      </c>
      <c r="E359" s="198" t="n">
        <v>0</v>
      </c>
      <c r="F359" s="201" t="n">
        <v>0</v>
      </c>
      <c r="H359" s="198" t="n">
        <v>0</v>
      </c>
      <c r="J359" s="200" t="inlineStr">
        <is>
          <t>Apr</t>
        </is>
      </c>
      <c r="K359" s="199" t="n">
        <v>2025</v>
      </c>
      <c r="L359" s="199" t="n">
        <v>2025</v>
      </c>
    </row>
    <row r="360" ht="15" customHeight="1" s="104">
      <c r="A360" s="194" t="n">
        <v>45777</v>
      </c>
      <c r="B360" s="195" t="inlineStr">
        <is>
          <t>Tiktok</t>
        </is>
      </c>
      <c r="C360" s="195" t="inlineStr">
        <is>
          <t xml:space="preserve">Adjustments
</t>
        </is>
      </c>
      <c r="D360" s="195" t="inlineStr">
        <is>
          <t>Logistics deduction</t>
        </is>
      </c>
      <c r="E360" s="198" t="n">
        <v>0</v>
      </c>
      <c r="F360" s="201" t="n">
        <v>0</v>
      </c>
      <c r="H360" s="198" t="n">
        <v>0</v>
      </c>
      <c r="J360" s="200" t="inlineStr">
        <is>
          <t>Apr</t>
        </is>
      </c>
      <c r="K360" s="199" t="n">
        <v>2025</v>
      </c>
      <c r="L360" s="199" t="n">
        <v>2025</v>
      </c>
    </row>
    <row r="361" ht="15" customHeight="1" s="104">
      <c r="A361" s="194" t="n">
        <v>45777</v>
      </c>
      <c r="B361" s="195" t="inlineStr">
        <is>
          <t>Tiktok</t>
        </is>
      </c>
      <c r="C361" s="195" t="inlineStr">
        <is>
          <t xml:space="preserve">Adjustments
</t>
        </is>
      </c>
      <c r="D361" s="195" t="inlineStr">
        <is>
          <t>TikTok Shop reimbursement</t>
        </is>
      </c>
      <c r="E361" s="196" t="n">
        <v>73.03</v>
      </c>
      <c r="F361" s="204" t="n">
        <v>0.01250552243</v>
      </c>
      <c r="H361" s="196" t="n">
        <v>73.03</v>
      </c>
      <c r="J361" s="200" t="inlineStr">
        <is>
          <t>Apr</t>
        </is>
      </c>
      <c r="K361" s="199" t="n">
        <v>2025</v>
      </c>
      <c r="L361" s="199" t="n">
        <v>2025</v>
      </c>
    </row>
    <row r="362" ht="15" customHeight="1" s="104">
      <c r="A362" s="194" t="n">
        <v>45777</v>
      </c>
      <c r="B362" s="195" t="inlineStr">
        <is>
          <t>Tiktok</t>
        </is>
      </c>
      <c r="C362" s="195" t="inlineStr">
        <is>
          <t xml:space="preserve">Adjustments
</t>
        </is>
      </c>
      <c r="D362" s="195" t="inlineStr">
        <is>
          <t>Policy violation deduction</t>
        </is>
      </c>
      <c r="E362" s="198" t="n">
        <v>0</v>
      </c>
      <c r="F362" s="201" t="n">
        <v>0</v>
      </c>
      <c r="H362" s="198" t="n">
        <v>0</v>
      </c>
      <c r="J362" s="200" t="inlineStr">
        <is>
          <t>Apr</t>
        </is>
      </c>
      <c r="K362" s="199" t="n">
        <v>2025</v>
      </c>
      <c r="L362" s="199" t="n">
        <v>2025</v>
      </c>
    </row>
    <row r="363" ht="15" customHeight="1" s="104">
      <c r="A363" s="194" t="n">
        <v>45777</v>
      </c>
      <c r="B363" s="195" t="inlineStr">
        <is>
          <t>Tiktok</t>
        </is>
      </c>
      <c r="C363" s="195" t="inlineStr">
        <is>
          <t xml:space="preserve">Adjustments
</t>
        </is>
      </c>
      <c r="D363" s="195" t="inlineStr">
        <is>
          <t>TikTok fees adjustment</t>
        </is>
      </c>
      <c r="E363" s="198" t="n">
        <v>0</v>
      </c>
      <c r="F363" s="201" t="n">
        <v>0</v>
      </c>
      <c r="H363" s="198" t="n">
        <v>0</v>
      </c>
      <c r="J363" s="200" t="inlineStr">
        <is>
          <t>Apr</t>
        </is>
      </c>
      <c r="K363" s="199" t="n">
        <v>2025</v>
      </c>
      <c r="L363" s="199" t="n">
        <v>2025</v>
      </c>
    </row>
    <row r="364" ht="15" customHeight="1" s="104">
      <c r="A364" s="194" t="n">
        <v>45777</v>
      </c>
      <c r="B364" s="195" t="inlineStr">
        <is>
          <t>Tiktok</t>
        </is>
      </c>
      <c r="C364" s="195" t="inlineStr">
        <is>
          <t xml:space="preserve">Adjustments
</t>
        </is>
      </c>
      <c r="D364" s="195" t="inlineStr">
        <is>
          <t>Promotion adjustment</t>
        </is>
      </c>
      <c r="E364" s="198" t="n">
        <v>0</v>
      </c>
      <c r="F364" s="201" t="n">
        <v>0</v>
      </c>
      <c r="H364" s="198" t="n">
        <v>0</v>
      </c>
      <c r="J364" s="200" t="inlineStr">
        <is>
          <t>Apr</t>
        </is>
      </c>
      <c r="K364" s="199" t="n">
        <v>2025</v>
      </c>
      <c r="L364" s="199" t="n">
        <v>2025</v>
      </c>
    </row>
    <row r="365" ht="15" customHeight="1" s="104">
      <c r="A365" s="194" t="n">
        <v>45777</v>
      </c>
      <c r="B365" s="195" t="inlineStr">
        <is>
          <t>Tiktok</t>
        </is>
      </c>
      <c r="C365" s="195" t="inlineStr">
        <is>
          <t xml:space="preserve">Adjustments
</t>
        </is>
      </c>
      <c r="D365" s="195" t="inlineStr">
        <is>
          <t>Adjustment from settlement account</t>
        </is>
      </c>
      <c r="E365" s="198" t="n">
        <v>0</v>
      </c>
      <c r="F365" s="201" t="n">
        <v>0</v>
      </c>
      <c r="H365" s="198" t="n">
        <v>0</v>
      </c>
      <c r="J365" s="200" t="inlineStr">
        <is>
          <t>Apr</t>
        </is>
      </c>
      <c r="K365" s="199" t="n">
        <v>2025</v>
      </c>
      <c r="L365" s="199" t="n">
        <v>2025</v>
      </c>
    </row>
    <row r="366" ht="15" customHeight="1" s="104">
      <c r="A366" s="194" t="n">
        <v>45777</v>
      </c>
      <c r="B366" s="195" t="inlineStr">
        <is>
          <t>Tiktok</t>
        </is>
      </c>
      <c r="C366" s="195" t="inlineStr">
        <is>
          <t xml:space="preserve">Adjustments
</t>
        </is>
      </c>
      <c r="D366" s="195" t="inlineStr">
        <is>
          <t>Chargeback</t>
        </is>
      </c>
      <c r="E366" s="196" t="n">
        <v>-40.78</v>
      </c>
      <c r="F366" s="204" t="n">
        <v>-0.006983091945</v>
      </c>
      <c r="H366" s="196" t="n">
        <v>-40.77301691</v>
      </c>
      <c r="J366" s="200" t="inlineStr">
        <is>
          <t>Apr</t>
        </is>
      </c>
      <c r="K366" s="199" t="n">
        <v>2025</v>
      </c>
      <c r="L366" s="199" t="n">
        <v>2025</v>
      </c>
    </row>
    <row r="367" ht="15" customHeight="1" s="104">
      <c r="A367" s="194" t="n">
        <v>45777</v>
      </c>
      <c r="B367" s="195" t="inlineStr">
        <is>
          <t>Tiktok</t>
        </is>
      </c>
      <c r="C367" s="195" t="inlineStr">
        <is>
          <t xml:space="preserve">Adjustments
</t>
        </is>
      </c>
      <c r="D367" s="195" t="inlineStr">
        <is>
          <t>Other adjustment</t>
        </is>
      </c>
      <c r="E367" s="198" t="n">
        <v>0</v>
      </c>
      <c r="F367" s="201" t="n">
        <v>0</v>
      </c>
      <c r="H367" s="198" t="n">
        <v>0</v>
      </c>
      <c r="J367" s="200" t="inlineStr">
        <is>
          <t>Apr</t>
        </is>
      </c>
      <c r="K367" s="199" t="n">
        <v>2025</v>
      </c>
      <c r="L367" s="199" t="n">
        <v>2025</v>
      </c>
    </row>
    <row r="368" ht="15" customHeight="1" s="104">
      <c r="A368" s="194" t="n">
        <v>45777</v>
      </c>
      <c r="B368" s="195" t="inlineStr">
        <is>
          <t>Tiktok</t>
        </is>
      </c>
      <c r="C368" s="195" t="inlineStr">
        <is>
          <t xml:space="preserve">Adjustments
</t>
        </is>
      </c>
      <c r="D368" s="195" t="inlineStr">
        <is>
          <t>Top up ads balance using GMV payments</t>
        </is>
      </c>
      <c r="E368" s="198" t="n">
        <v>0</v>
      </c>
      <c r="F368" s="201" t="n">
        <v>0</v>
      </c>
      <c r="H368" s="198" t="n">
        <v>0</v>
      </c>
      <c r="J368" s="200" t="inlineStr">
        <is>
          <t>Apr</t>
        </is>
      </c>
      <c r="K368" s="199" t="n">
        <v>2025</v>
      </c>
      <c r="L368" s="199" t="n">
        <v>2025</v>
      </c>
    </row>
    <row r="369" ht="15" customHeight="1" s="104">
      <c r="A369" s="194" t="n">
        <v>45777</v>
      </c>
      <c r="B369" s="195" t="inlineStr">
        <is>
          <t>Tiktok</t>
        </is>
      </c>
      <c r="C369" s="195" t="inlineStr">
        <is>
          <t xml:space="preserve">Adjustments
</t>
        </is>
      </c>
      <c r="D369" s="195" t="inlineStr">
        <is>
          <t>FBT warehouse service fee</t>
        </is>
      </c>
      <c r="E369" s="196" t="n">
        <v>-10.54</v>
      </c>
      <c r="F369" s="204" t="n">
        <v>-0.001804850149</v>
      </c>
      <c r="H369" s="196" t="n">
        <v>-10.53819515</v>
      </c>
      <c r="J369" s="200" t="inlineStr">
        <is>
          <t>Apr</t>
        </is>
      </c>
      <c r="K369" s="199" t="n">
        <v>2025</v>
      </c>
      <c r="L369" s="199" t="n">
        <v>2025</v>
      </c>
    </row>
    <row r="370" ht="15" customHeight="1" s="104">
      <c r="A370" s="194" t="n">
        <v>45777</v>
      </c>
      <c r="B370" s="195" t="inlineStr">
        <is>
          <t>Tiktok</t>
        </is>
      </c>
      <c r="C370" s="195" t="inlineStr">
        <is>
          <t xml:space="preserve">Adjustments
</t>
        </is>
      </c>
      <c r="D370" s="195" t="inlineStr">
        <is>
          <t>Co-funded creator activity</t>
        </is>
      </c>
      <c r="E370" s="198" t="n">
        <v>0</v>
      </c>
      <c r="F370" s="201" t="n">
        <v>0</v>
      </c>
      <c r="H370" s="198" t="n">
        <v>0</v>
      </c>
      <c r="J370" s="200" t="inlineStr">
        <is>
          <t>Apr</t>
        </is>
      </c>
      <c r="K370" s="199" t="n">
        <v>2025</v>
      </c>
      <c r="L370" s="199" t="n">
        <v>2025</v>
      </c>
    </row>
    <row r="371" ht="15" customHeight="1" s="104">
      <c r="A371" s="194" t="n">
        <v>45777</v>
      </c>
      <c r="B371" s="195" t="inlineStr">
        <is>
          <t>Tiktok</t>
        </is>
      </c>
      <c r="C371" s="195" t="inlineStr">
        <is>
          <t xml:space="preserve">Adjustments
</t>
        </is>
      </c>
      <c r="D371" s="195" t="inlineStr">
        <is>
          <t>Rebate</t>
        </is>
      </c>
      <c r="E371" s="198" t="n">
        <v>0</v>
      </c>
      <c r="F371" s="201" t="n">
        <v>0</v>
      </c>
      <c r="H371" s="198" t="n">
        <v>0</v>
      </c>
      <c r="J371" s="200" t="inlineStr">
        <is>
          <t>Apr</t>
        </is>
      </c>
      <c r="K371" s="199" t="n">
        <v>2025</v>
      </c>
      <c r="L371" s="199" t="n">
        <v>2025</v>
      </c>
    </row>
    <row r="372" ht="15" customHeight="1" s="104">
      <c r="A372" s="194" t="n">
        <v>45777</v>
      </c>
      <c r="B372" s="195" t="inlineStr">
        <is>
          <t>Tiktok</t>
        </is>
      </c>
      <c r="C372" s="195" t="inlineStr">
        <is>
          <t>Cost of goods</t>
        </is>
      </c>
      <c r="D372" s="195" t="inlineStr">
        <is>
          <t>Cost of goods sold</t>
        </is>
      </c>
      <c r="E372" s="196" t="n">
        <v>-2021.46</v>
      </c>
      <c r="F372" s="204" t="n">
        <v>-0.34615108</v>
      </c>
      <c r="H372" s="196" t="n">
        <v>-2021.113849</v>
      </c>
      <c r="J372" s="200" t="inlineStr">
        <is>
          <t>Apr</t>
        </is>
      </c>
      <c r="K372" s="199" t="n">
        <v>2025</v>
      </c>
      <c r="L372" s="199" t="n">
        <v>2025</v>
      </c>
    </row>
    <row r="373" ht="15" customHeight="1" s="104">
      <c r="A373" s="194" t="n">
        <v>45777</v>
      </c>
      <c r="B373" s="195" t="inlineStr">
        <is>
          <t>Tiktok</t>
        </is>
      </c>
      <c r="C373" s="195" t="inlineStr">
        <is>
          <t>Advertising cost</t>
        </is>
      </c>
      <c r="D373" s="195" t="inlineStr">
        <is>
          <t>Advertising Cost</t>
        </is>
      </c>
      <c r="E373" s="196" t="n">
        <v>-335.82</v>
      </c>
      <c r="F373" s="204" t="n">
        <v>-0.05750519708</v>
      </c>
      <c r="H373" s="196" t="n">
        <v>-335.7624948</v>
      </c>
      <c r="J373" s="200" t="inlineStr">
        <is>
          <t>Apr</t>
        </is>
      </c>
      <c r="K373" s="199" t="n">
        <v>2025</v>
      </c>
      <c r="L373" s="199" t="n">
        <v>2025</v>
      </c>
    </row>
    <row r="374" ht="15" customHeight="1" s="104">
      <c r="A374" s="194" t="n">
        <v>45777</v>
      </c>
      <c r="B374" s="195" t="inlineStr">
        <is>
          <t>Walmart</t>
        </is>
      </c>
      <c r="C374" s="195" t="inlineStr">
        <is>
          <t>Advertising cost</t>
        </is>
      </c>
      <c r="D374" s="195" t="inlineStr">
        <is>
          <t>Advertising Cost</t>
        </is>
      </c>
      <c r="E374" s="196" t="n">
        <v>-227.82</v>
      </c>
      <c r="F374" s="204" t="n">
        <v>-0.2034543116</v>
      </c>
      <c r="H374" s="196" t="n">
        <v>-227.6165457</v>
      </c>
      <c r="J374" s="200" t="inlineStr">
        <is>
          <t>Apr</t>
        </is>
      </c>
      <c r="K374" s="199" t="n">
        <v>2025</v>
      </c>
      <c r="L374" s="199" t="n">
        <v>2025</v>
      </c>
    </row>
    <row r="375" ht="15" customHeight="1" s="104">
      <c r="A375" s="194" t="n">
        <v>45777</v>
      </c>
      <c r="B375" s="195" t="inlineStr">
        <is>
          <t>Walmart</t>
        </is>
      </c>
      <c r="C375" s="195" t="inlineStr">
        <is>
          <t>Shipping Cost</t>
        </is>
      </c>
      <c r="D375" s="195" t="inlineStr">
        <is>
          <t>WFS Fulfillment fee</t>
        </is>
      </c>
      <c r="E375" s="196" t="n">
        <v>-466</v>
      </c>
      <c r="F375" s="204" t="n">
        <v>-0.4161606058</v>
      </c>
      <c r="H375" s="196" t="n">
        <v>-465.5838394</v>
      </c>
      <c r="J375" s="200" t="inlineStr">
        <is>
          <t>Apr</t>
        </is>
      </c>
      <c r="K375" s="199" t="n">
        <v>2025</v>
      </c>
      <c r="L375" s="199" t="n">
        <v>2025</v>
      </c>
    </row>
    <row r="376" ht="15" customHeight="1" s="104">
      <c r="A376" s="194" t="n">
        <v>45777</v>
      </c>
      <c r="B376" s="195" t="inlineStr">
        <is>
          <t>Walmart</t>
        </is>
      </c>
      <c r="C376" s="195" t="inlineStr">
        <is>
          <t>Shipping Cost</t>
        </is>
      </c>
      <c r="D376" s="195" t="inlineStr">
        <is>
          <t>WFS Shipping Reversal fee</t>
        </is>
      </c>
      <c r="E376" s="196" t="n">
        <v>-6.99</v>
      </c>
      <c r="F376" s="204" t="n">
        <v>-0.006242409088</v>
      </c>
      <c r="J376" s="200" t="inlineStr">
        <is>
          <t>Apr</t>
        </is>
      </c>
      <c r="K376" s="199" t="n">
        <v>2025</v>
      </c>
      <c r="L376" s="199" t="n">
        <v>2025</v>
      </c>
    </row>
    <row r="377" ht="15" customHeight="1" s="104">
      <c r="A377" s="194" t="n">
        <v>45777</v>
      </c>
      <c r="B377" s="195" t="inlineStr">
        <is>
          <t>Walmart</t>
        </is>
      </c>
      <c r="C377" s="195" t="inlineStr">
        <is>
          <t>Fees</t>
        </is>
      </c>
      <c r="D377" s="195" t="inlineStr">
        <is>
          <t>Commission on product</t>
        </is>
      </c>
      <c r="E377" s="196" t="n">
        <v>-184.95</v>
      </c>
      <c r="F377" s="204" t="n">
        <v>-0.165169322</v>
      </c>
      <c r="H377" s="196" t="n">
        <v>-184.7848307</v>
      </c>
      <c r="J377" s="200" t="inlineStr">
        <is>
          <t>Apr</t>
        </is>
      </c>
      <c r="K377" s="199" t="n">
        <v>2025</v>
      </c>
      <c r="L377" s="199" t="n">
        <v>2025</v>
      </c>
    </row>
    <row r="378" ht="15" customHeight="1" s="104">
      <c r="A378" s="194" t="n">
        <v>45777</v>
      </c>
      <c r="B378" s="195" t="inlineStr">
        <is>
          <t>Walmart</t>
        </is>
      </c>
      <c r="C378" s="195" t="inlineStr">
        <is>
          <t>Fees</t>
        </is>
      </c>
      <c r="D378" s="195" t="inlineStr">
        <is>
          <t>Storage fee</t>
        </is>
      </c>
      <c r="E378" s="196" t="n">
        <v>-48.99</v>
      </c>
      <c r="F378" s="204" t="n">
        <v>-0.04375044652</v>
      </c>
      <c r="H378" s="196" t="n">
        <v>-48.94624955</v>
      </c>
      <c r="J378" s="200" t="inlineStr">
        <is>
          <t>Apr</t>
        </is>
      </c>
      <c r="K378" s="199" t="n">
        <v>2025</v>
      </c>
      <c r="L378" s="199" t="n">
        <v>2025</v>
      </c>
    </row>
    <row r="379" ht="15" customHeight="1" s="104">
      <c r="A379" s="194" t="n">
        <v>45777</v>
      </c>
      <c r="B379" s="195" t="inlineStr">
        <is>
          <t>Walmart</t>
        </is>
      </c>
      <c r="C379" s="195" t="inlineStr">
        <is>
          <t>Fees</t>
        </is>
      </c>
      <c r="D379" s="195" t="inlineStr">
        <is>
          <t>RC inventory disposal fee</t>
        </is>
      </c>
      <c r="E379" s="197" t="n">
        <v>-0.75</v>
      </c>
      <c r="F379" s="204" t="n">
        <v>-0.0006697863828</v>
      </c>
      <c r="J379" s="200" t="inlineStr">
        <is>
          <t>Apr</t>
        </is>
      </c>
      <c r="K379" s="199" t="n">
        <v>2025</v>
      </c>
      <c r="L379" s="199" t="n">
        <v>2025</v>
      </c>
    </row>
    <row r="380" ht="15" customHeight="1" s="104">
      <c r="A380" s="194" t="n">
        <v>45777</v>
      </c>
      <c r="B380" s="195" t="inlineStr">
        <is>
          <t>Walmart</t>
        </is>
      </c>
      <c r="C380" s="195" t="inlineStr">
        <is>
          <t>Cost of goods</t>
        </is>
      </c>
      <c r="D380" s="195" t="inlineStr">
        <is>
          <t>Cost of goods sold</t>
        </is>
      </c>
      <c r="E380" s="196" t="n">
        <v>-412.82</v>
      </c>
      <c r="F380" s="204" t="n">
        <v>-0.3686682861</v>
      </c>
      <c r="H380" s="196" t="n">
        <v>-412.4513317</v>
      </c>
      <c r="J380" s="200" t="inlineStr">
        <is>
          <t>Apr</t>
        </is>
      </c>
      <c r="K380" s="199" t="n">
        <v>2025</v>
      </c>
      <c r="L380" s="199" t="n">
        <v>2025</v>
      </c>
    </row>
    <row r="381" ht="15" customHeight="1" s="104">
      <c r="A381" s="194" t="n">
        <v>45777</v>
      </c>
      <c r="B381" s="195" t="inlineStr">
        <is>
          <t>Walmart</t>
        </is>
      </c>
      <c r="C381" s="195" t="inlineStr">
        <is>
          <t>Cost of goods</t>
        </is>
      </c>
      <c r="D381" s="195" t="inlineStr">
        <is>
          <t>Value of returned items</t>
        </is>
      </c>
      <c r="F381" s="201" t="n">
        <v>0</v>
      </c>
      <c r="H381" s="198" t="n">
        <v>0</v>
      </c>
      <c r="J381" s="200" t="inlineStr">
        <is>
          <t>Apr</t>
        </is>
      </c>
      <c r="K381" s="199" t="n">
        <v>2025</v>
      </c>
      <c r="L381" s="199" t="n">
        <v>2025</v>
      </c>
    </row>
    <row r="382" ht="15" customHeight="1" s="104">
      <c r="A382" s="194" t="n">
        <v>45808</v>
      </c>
      <c r="B382" s="195" t="inlineStr">
        <is>
          <t>Amazon US</t>
        </is>
      </c>
      <c r="C382" s="195" t="inlineStr">
        <is>
          <t>Advertising cost</t>
        </is>
      </c>
      <c r="D382" s="195" t="inlineStr">
        <is>
          <t>Sponsored Products</t>
        </is>
      </c>
      <c r="E382" s="196" t="n">
        <v>-7182.1</v>
      </c>
      <c r="F382" s="204" t="n">
        <v>-0.07078460717</v>
      </c>
      <c r="H382" s="196" t="n">
        <v>-7182.029215</v>
      </c>
      <c r="J382" s="200" t="inlineStr">
        <is>
          <t>May</t>
        </is>
      </c>
      <c r="K382" s="199" t="n">
        <v>2025</v>
      </c>
      <c r="L382" s="199" t="n">
        <v>2025</v>
      </c>
    </row>
    <row r="383" ht="15" customHeight="1" s="104">
      <c r="A383" s="194" t="n">
        <v>45808</v>
      </c>
      <c r="B383" s="195" t="inlineStr">
        <is>
          <t>Amazon US</t>
        </is>
      </c>
      <c r="C383" s="195" t="inlineStr">
        <is>
          <t>Advertising cost</t>
        </is>
      </c>
      <c r="D383" s="195" t="inlineStr">
        <is>
          <t>Sponsored Brands Video</t>
        </is>
      </c>
      <c r="E383" s="198" t="n">
        <v>0</v>
      </c>
      <c r="F383" s="201" t="n">
        <v>0</v>
      </c>
      <c r="H383" s="198" t="n">
        <v>0</v>
      </c>
      <c r="J383" s="200" t="inlineStr">
        <is>
          <t>May</t>
        </is>
      </c>
      <c r="K383" s="199" t="n">
        <v>2025</v>
      </c>
      <c r="L383" s="199" t="n">
        <v>2025</v>
      </c>
    </row>
    <row r="384" ht="15" customHeight="1" s="104">
      <c r="A384" s="194" t="n">
        <v>45808</v>
      </c>
      <c r="B384" s="195" t="inlineStr">
        <is>
          <t>Amazon US</t>
        </is>
      </c>
      <c r="C384" s="195" t="inlineStr">
        <is>
          <t>Advertising cost</t>
        </is>
      </c>
      <c r="D384" s="195" t="inlineStr">
        <is>
          <t>Sponsored Display</t>
        </is>
      </c>
      <c r="E384" s="198" t="n">
        <v>0</v>
      </c>
      <c r="F384" s="201" t="n">
        <v>0</v>
      </c>
      <c r="H384" s="198" t="n">
        <v>0</v>
      </c>
      <c r="J384" s="200" t="inlineStr">
        <is>
          <t>May</t>
        </is>
      </c>
      <c r="K384" s="199" t="n">
        <v>2025</v>
      </c>
      <c r="L384" s="199" t="n">
        <v>2025</v>
      </c>
    </row>
    <row r="385" ht="15" customHeight="1" s="104">
      <c r="A385" s="194" t="n">
        <v>45808</v>
      </c>
      <c r="B385" s="195" t="inlineStr">
        <is>
          <t>Amazon US</t>
        </is>
      </c>
      <c r="C385" s="195" t="inlineStr">
        <is>
          <t>Advertising cost</t>
        </is>
      </c>
      <c r="D385" s="195" t="inlineStr">
        <is>
          <t>Sponsored Brands</t>
        </is>
      </c>
      <c r="E385" s="198" t="n">
        <v>0</v>
      </c>
      <c r="F385" s="201" t="n">
        <v>0</v>
      </c>
      <c r="H385" s="198" t="n">
        <v>0</v>
      </c>
      <c r="J385" s="200" t="inlineStr">
        <is>
          <t>May</t>
        </is>
      </c>
      <c r="K385" s="199" t="n">
        <v>2025</v>
      </c>
      <c r="L385" s="199" t="n">
        <v>2025</v>
      </c>
    </row>
    <row r="386" ht="15" customHeight="1" s="104">
      <c r="A386" s="194" t="n">
        <v>45808</v>
      </c>
      <c r="B386" s="195" t="inlineStr">
        <is>
          <t>Amazon US</t>
        </is>
      </c>
      <c r="C386" s="195" t="inlineStr">
        <is>
          <t>Refund cost</t>
        </is>
      </c>
      <c r="D386" s="195" t="inlineStr">
        <is>
          <t>Refunded amount</t>
        </is>
      </c>
      <c r="E386" s="196" t="n">
        <v>-12081.48</v>
      </c>
      <c r="F386" s="204" t="n">
        <v>-0.1190714159</v>
      </c>
      <c r="H386" s="196" t="n">
        <v>-12081.36093</v>
      </c>
      <c r="J386" s="200" t="inlineStr">
        <is>
          <t>May</t>
        </is>
      </c>
      <c r="K386" s="199" t="n">
        <v>2025</v>
      </c>
      <c r="L386" s="199" t="n">
        <v>2025</v>
      </c>
    </row>
    <row r="387" ht="15" customHeight="1" s="104">
      <c r="A387" s="194" t="n">
        <v>45808</v>
      </c>
      <c r="B387" s="195" t="inlineStr">
        <is>
          <t>Amazon US</t>
        </is>
      </c>
      <c r="C387" s="195" t="inlineStr">
        <is>
          <t>Refund cost</t>
        </is>
      </c>
      <c r="D387" s="195" t="inlineStr">
        <is>
          <t>Refund commission</t>
        </is>
      </c>
      <c r="E387" s="196" t="n">
        <v>-354.08</v>
      </c>
      <c r="F387" s="204" t="n">
        <v>-0.003489705477</v>
      </c>
      <c r="H387" s="196" t="n">
        <v>-354.0765103</v>
      </c>
      <c r="J387" s="200" t="inlineStr">
        <is>
          <t>May</t>
        </is>
      </c>
      <c r="K387" s="199" t="n">
        <v>2025</v>
      </c>
      <c r="L387" s="199" t="n">
        <v>2025</v>
      </c>
    </row>
    <row r="388" ht="15" customHeight="1" s="104">
      <c r="A388" s="194" t="n">
        <v>45808</v>
      </c>
      <c r="B388" s="195" t="inlineStr">
        <is>
          <t>Amazon US</t>
        </is>
      </c>
      <c r="C388" s="195" t="inlineStr">
        <is>
          <t>Refund cost</t>
        </is>
      </c>
      <c r="D388" s="195" t="inlineStr">
        <is>
          <t>Promotion</t>
        </is>
      </c>
      <c r="E388" s="196" t="n">
        <v>91.29000000000001</v>
      </c>
      <c r="F388" s="204" t="n">
        <v>0.0008997266522</v>
      </c>
      <c r="H388" s="196" t="n">
        <v>91.28910027000001</v>
      </c>
      <c r="J388" s="200" t="inlineStr">
        <is>
          <t>May</t>
        </is>
      </c>
      <c r="K388" s="199" t="n">
        <v>2025</v>
      </c>
      <c r="L388" s="199" t="n">
        <v>2025</v>
      </c>
    </row>
    <row r="389" ht="15" customHeight="1" s="104">
      <c r="A389" s="194" t="n">
        <v>45808</v>
      </c>
      <c r="B389" s="195" t="inlineStr">
        <is>
          <t>Amazon US</t>
        </is>
      </c>
      <c r="C389" s="195" t="inlineStr">
        <is>
          <t>Refund cost</t>
        </is>
      </c>
      <c r="D389" s="195" t="inlineStr">
        <is>
          <t>Refunded referral fee</t>
        </is>
      </c>
      <c r="E389" s="196" t="n">
        <v>1798.82</v>
      </c>
      <c r="F389" s="204" t="n">
        <v>0.01772862632</v>
      </c>
      <c r="H389" s="196" t="n">
        <v>1798.802271</v>
      </c>
      <c r="J389" s="200" t="inlineStr">
        <is>
          <t>May</t>
        </is>
      </c>
      <c r="K389" s="199" t="n">
        <v>2025</v>
      </c>
      <c r="L389" s="199" t="n">
        <v>2025</v>
      </c>
    </row>
    <row r="390" ht="15" customHeight="1" s="104">
      <c r="A390" s="194" t="n">
        <v>45808</v>
      </c>
      <c r="B390" s="195" t="inlineStr">
        <is>
          <t>Amazon US</t>
        </is>
      </c>
      <c r="C390" s="195" t="inlineStr">
        <is>
          <t>Refund cost</t>
        </is>
      </c>
      <c r="D390" s="195" t="inlineStr">
        <is>
          <t>Value of returned items</t>
        </is>
      </c>
      <c r="E390" s="196" t="n">
        <v>1734.37</v>
      </c>
      <c r="F390" s="204" t="n">
        <v>0.01709342659</v>
      </c>
      <c r="H390" s="196" t="n">
        <v>1734.352907</v>
      </c>
      <c r="J390" s="200" t="inlineStr">
        <is>
          <t>May</t>
        </is>
      </c>
      <c r="K390" s="199" t="n">
        <v>2025</v>
      </c>
      <c r="L390" s="199" t="n">
        <v>2025</v>
      </c>
    </row>
    <row r="391" ht="15" customHeight="1" s="104">
      <c r="A391" s="194" t="n">
        <v>45808</v>
      </c>
      <c r="B391" s="195" t="inlineStr">
        <is>
          <t>Amazon US</t>
        </is>
      </c>
      <c r="C391" s="195" t="inlineStr">
        <is>
          <t>Amazon fees</t>
        </is>
      </c>
      <c r="D391" s="195" t="inlineStr">
        <is>
          <t>FBA per unit fulfilment fee</t>
        </is>
      </c>
      <c r="E391" s="196" t="n">
        <v>-16255.14</v>
      </c>
      <c r="F391" s="204" t="n">
        <v>-0.1602057475</v>
      </c>
      <c r="H391" s="196" t="n">
        <v>-16254.97979</v>
      </c>
      <c r="J391" s="200" t="inlineStr">
        <is>
          <t>May</t>
        </is>
      </c>
      <c r="K391" s="199" t="n">
        <v>2025</v>
      </c>
      <c r="L391" s="199" t="n">
        <v>2025</v>
      </c>
    </row>
    <row r="392" ht="15" customHeight="1" s="104">
      <c r="A392" s="194" t="n">
        <v>45808</v>
      </c>
      <c r="B392" s="195" t="inlineStr">
        <is>
          <t>Amazon US</t>
        </is>
      </c>
      <c r="C392" s="195" t="inlineStr">
        <is>
          <t>Amazon fees</t>
        </is>
      </c>
      <c r="D392" s="195" t="inlineStr">
        <is>
          <t>Referral fee</t>
        </is>
      </c>
      <c r="E392" s="196" t="n">
        <v>-15082.83</v>
      </c>
      <c r="F392" s="204" t="n">
        <v>-0.1486518145</v>
      </c>
      <c r="H392" s="196" t="n">
        <v>-15082.68135</v>
      </c>
      <c r="J392" s="200" t="inlineStr">
        <is>
          <t>May</t>
        </is>
      </c>
      <c r="K392" s="199" t="n">
        <v>2025</v>
      </c>
      <c r="L392" s="199" t="n">
        <v>2025</v>
      </c>
    </row>
    <row r="393" ht="15" customHeight="1" s="104">
      <c r="A393" s="194" t="n">
        <v>45808</v>
      </c>
      <c r="B393" s="195" t="inlineStr">
        <is>
          <t>Amazon US</t>
        </is>
      </c>
      <c r="C393" s="195" t="inlineStr">
        <is>
          <t>Amazon fees</t>
        </is>
      </c>
      <c r="D393" s="195" t="inlineStr">
        <is>
          <t>FBA storage fee</t>
        </is>
      </c>
      <c r="E393" s="196" t="n">
        <v>-1530.45</v>
      </c>
      <c r="F393" s="204" t="n">
        <v>-0.0150836527</v>
      </c>
      <c r="H393" s="196" t="n">
        <v>-1530.434916</v>
      </c>
      <c r="J393" s="200" t="inlineStr">
        <is>
          <t>May</t>
        </is>
      </c>
      <c r="K393" s="199" t="n">
        <v>2025</v>
      </c>
      <c r="L393" s="199" t="n">
        <v>2025</v>
      </c>
    </row>
    <row r="394" ht="15" customHeight="1" s="104">
      <c r="A394" s="194" t="n">
        <v>45808</v>
      </c>
      <c r="B394" s="195" t="inlineStr">
        <is>
          <t>Amazon US</t>
        </is>
      </c>
      <c r="C394" s="195" t="inlineStr">
        <is>
          <t>Amazon fees</t>
        </is>
      </c>
      <c r="D394" s="195" t="inlineStr">
        <is>
          <t>FBA disposal fee</t>
        </is>
      </c>
      <c r="E394" s="196" t="n">
        <v>-2705.92</v>
      </c>
      <c r="F394" s="204" t="n">
        <v>-0.02666872979</v>
      </c>
      <c r="H394" s="196" t="n">
        <v>-2705.893331</v>
      </c>
      <c r="J394" s="200" t="inlineStr">
        <is>
          <t>May</t>
        </is>
      </c>
      <c r="K394" s="199" t="n">
        <v>2025</v>
      </c>
      <c r="L394" s="199" t="n">
        <v>2025</v>
      </c>
    </row>
    <row r="395" ht="15" customHeight="1" s="104">
      <c r="A395" s="194" t="n">
        <v>45808</v>
      </c>
      <c r="B395" s="195" t="inlineStr">
        <is>
          <t>Amazon US</t>
        </is>
      </c>
      <c r="C395" s="195" t="inlineStr">
        <is>
          <t>Amazon fees</t>
        </is>
      </c>
      <c r="D395" s="195" t="inlineStr">
        <is>
          <t>AWD transportation fee</t>
        </is>
      </c>
      <c r="E395" s="198" t="n">
        <v>0</v>
      </c>
      <c r="F395" s="201" t="n">
        <v>0</v>
      </c>
      <c r="H395" s="198" t="n">
        <v>0</v>
      </c>
      <c r="J395" s="200" t="inlineStr">
        <is>
          <t>May</t>
        </is>
      </c>
      <c r="K395" s="199" t="n">
        <v>2025</v>
      </c>
      <c r="L395" s="199" t="n">
        <v>2025</v>
      </c>
    </row>
    <row r="396" ht="15" customHeight="1" s="104">
      <c r="A396" s="194" t="n">
        <v>45808</v>
      </c>
      <c r="B396" s="195" t="inlineStr">
        <is>
          <t>Amazon US</t>
        </is>
      </c>
      <c r="C396" s="195" t="inlineStr">
        <is>
          <t>Amazon fees</t>
        </is>
      </c>
      <c r="D396" s="195" t="inlineStr">
        <is>
          <t>AWD processing fee</t>
        </is>
      </c>
      <c r="E396" s="198" t="n">
        <v>0</v>
      </c>
      <c r="F396" s="201" t="n">
        <v>0</v>
      </c>
      <c r="H396" s="198" t="n">
        <v>0</v>
      </c>
      <c r="J396" s="200" t="inlineStr">
        <is>
          <t>May</t>
        </is>
      </c>
      <c r="K396" s="199" t="n">
        <v>2025</v>
      </c>
      <c r="L396" s="199" t="n">
        <v>2025</v>
      </c>
    </row>
    <row r="397" ht="15" customHeight="1" s="104">
      <c r="A397" s="194" t="n">
        <v>45808</v>
      </c>
      <c r="B397" s="195" t="inlineStr">
        <is>
          <t>Amazon US</t>
        </is>
      </c>
      <c r="C397" s="195" t="inlineStr">
        <is>
          <t>Amazon fees</t>
        </is>
      </c>
      <c r="D397" s="195" t="inlineStr">
        <is>
          <t>FBA inbound convenience fee</t>
        </is>
      </c>
      <c r="E397" s="196" t="n">
        <v>-940.4400000000001</v>
      </c>
      <c r="F397" s="204" t="n">
        <v>-0.00926869244</v>
      </c>
      <c r="H397" s="196" t="n">
        <v>-940.4307313</v>
      </c>
      <c r="J397" s="200" t="inlineStr">
        <is>
          <t>May</t>
        </is>
      </c>
      <c r="K397" s="199" t="n">
        <v>2025</v>
      </c>
      <c r="L397" s="199" t="n">
        <v>2025</v>
      </c>
    </row>
    <row r="398" ht="15" customHeight="1" s="104">
      <c r="A398" s="194" t="n">
        <v>45808</v>
      </c>
      <c r="B398" s="195" t="inlineStr">
        <is>
          <t>Amazon US</t>
        </is>
      </c>
      <c r="C398" s="195" t="inlineStr">
        <is>
          <t>Amazon fees</t>
        </is>
      </c>
      <c r="D398" s="195" t="inlineStr">
        <is>
          <t>Liquidations brokerage fee</t>
        </is>
      </c>
      <c r="E398" s="197" t="n">
        <v>-0.52</v>
      </c>
      <c r="F398" s="204" t="n">
        <v>-5.124962856e-06</v>
      </c>
      <c r="H398" s="197" t="n">
        <v>-0.519994875</v>
      </c>
      <c r="J398" s="200" t="inlineStr">
        <is>
          <t>May</t>
        </is>
      </c>
      <c r="K398" s="199" t="n">
        <v>2025</v>
      </c>
      <c r="L398" s="199" t="n">
        <v>2025</v>
      </c>
    </row>
    <row r="399" ht="15" customHeight="1" s="104">
      <c r="A399" s="194" t="n">
        <v>45808</v>
      </c>
      <c r="B399" s="195" t="inlineStr">
        <is>
          <t>Amazon US</t>
        </is>
      </c>
      <c r="C399" s="195" t="inlineStr">
        <is>
          <t>Amazon fees</t>
        </is>
      </c>
      <c r="D399" s="195" t="inlineStr">
        <is>
          <t>Missing from inbound clawback</t>
        </is>
      </c>
      <c r="E399" s="196" t="n">
        <v>-14.09</v>
      </c>
      <c r="F399" s="204" t="n">
        <v>-0.000138866782</v>
      </c>
      <c r="H399" s="196" t="n">
        <v>-14.08986113</v>
      </c>
      <c r="J399" s="200" t="inlineStr">
        <is>
          <t>May</t>
        </is>
      </c>
      <c r="K399" s="199" t="n">
        <v>2025</v>
      </c>
      <c r="L399" s="199" t="n">
        <v>2025</v>
      </c>
    </row>
    <row r="400" ht="15" customHeight="1" s="104">
      <c r="A400" s="194" t="n">
        <v>45808</v>
      </c>
      <c r="B400" s="195" t="inlineStr">
        <is>
          <t>Amazon US</t>
        </is>
      </c>
      <c r="C400" s="195" t="inlineStr">
        <is>
          <t>Amazon fees</t>
        </is>
      </c>
      <c r="D400" s="195" t="inlineStr">
        <is>
          <t>Customer Return HRR Unit Fee</t>
        </is>
      </c>
      <c r="E400" s="196" t="n">
        <v>-57.3</v>
      </c>
      <c r="F400" s="204" t="n">
        <v>-0.000564731484</v>
      </c>
      <c r="H400" s="196" t="n">
        <v>-57.29943527</v>
      </c>
      <c r="J400" s="200" t="inlineStr">
        <is>
          <t>May</t>
        </is>
      </c>
      <c r="K400" s="199" t="n">
        <v>2025</v>
      </c>
      <c r="L400" s="199" t="n">
        <v>2025</v>
      </c>
    </row>
    <row r="401" ht="15" customHeight="1" s="104">
      <c r="A401" s="194" t="n">
        <v>45808</v>
      </c>
      <c r="B401" s="195" t="inlineStr">
        <is>
          <t>Amazon US</t>
        </is>
      </c>
      <c r="C401" s="195" t="inlineStr">
        <is>
          <t>Amazon fees</t>
        </is>
      </c>
      <c r="D401" s="195" t="inlineStr">
        <is>
          <t>Subscription</t>
        </is>
      </c>
      <c r="E401" s="196" t="n">
        <v>-39.96</v>
      </c>
      <c r="F401" s="204" t="n">
        <v>-0.0003938336841</v>
      </c>
      <c r="H401" s="196" t="n">
        <v>-39.95960617</v>
      </c>
      <c r="J401" s="200" t="inlineStr">
        <is>
          <t>May</t>
        </is>
      </c>
      <c r="K401" s="199" t="n">
        <v>2025</v>
      </c>
      <c r="L401" s="199" t="n">
        <v>2025</v>
      </c>
    </row>
    <row r="402" ht="15" customHeight="1" s="104">
      <c r="A402" s="194" t="n">
        <v>45808</v>
      </c>
      <c r="B402" s="195" t="inlineStr">
        <is>
          <t>Amazon US</t>
        </is>
      </c>
      <c r="C402" s="195" t="inlineStr">
        <is>
          <t>Amazon fees</t>
        </is>
      </c>
      <c r="D402" s="195" t="inlineStr">
        <is>
          <t>Get paid faster fee</t>
        </is>
      </c>
      <c r="E402" s="196" t="n">
        <v>-68.02</v>
      </c>
      <c r="F402" s="204" t="n">
        <v>-0.0006703845644</v>
      </c>
      <c r="H402" s="196" t="n">
        <v>-68.01932961999999</v>
      </c>
      <c r="J402" s="200" t="inlineStr">
        <is>
          <t>May</t>
        </is>
      </c>
      <c r="K402" s="199" t="n">
        <v>2025</v>
      </c>
      <c r="L402" s="199" t="n">
        <v>2025</v>
      </c>
    </row>
    <row r="403" ht="15" customHeight="1" s="104">
      <c r="A403" s="194" t="n">
        <v>45808</v>
      </c>
      <c r="B403" s="195" t="inlineStr">
        <is>
          <t>Amazon US</t>
        </is>
      </c>
      <c r="C403" s="195" t="inlineStr">
        <is>
          <t>Amazon fees</t>
        </is>
      </c>
      <c r="D403" s="195" t="inlineStr">
        <is>
          <t>Compensated clawback</t>
        </is>
      </c>
      <c r="E403" s="198" t="n">
        <v>0</v>
      </c>
      <c r="F403" s="201" t="n">
        <v>0</v>
      </c>
      <c r="H403" s="198" t="n">
        <v>0</v>
      </c>
      <c r="J403" s="200" t="inlineStr">
        <is>
          <t>May</t>
        </is>
      </c>
      <c r="K403" s="199" t="n">
        <v>2025</v>
      </c>
      <c r="L403" s="199" t="n">
        <v>2025</v>
      </c>
    </row>
    <row r="404" ht="15" customHeight="1" s="104">
      <c r="A404" s="194" t="n">
        <v>45808</v>
      </c>
      <c r="B404" s="195" t="inlineStr">
        <is>
          <t>Amazon US</t>
        </is>
      </c>
      <c r="C404" s="195" t="inlineStr">
        <is>
          <t>Amazon fees</t>
        </is>
      </c>
      <c r="D404" s="195" t="inlineStr">
        <is>
          <t>Star storage fee</t>
        </is>
      </c>
      <c r="E404" s="198" t="n">
        <v>0</v>
      </c>
      <c r="F404" s="201" t="n">
        <v>0</v>
      </c>
      <c r="H404" s="198" t="n">
        <v>0</v>
      </c>
      <c r="J404" s="200" t="inlineStr">
        <is>
          <t>May</t>
        </is>
      </c>
      <c r="K404" s="199" t="n">
        <v>2025</v>
      </c>
      <c r="L404" s="199" t="n">
        <v>2025</v>
      </c>
    </row>
    <row r="405" ht="15" customHeight="1" s="104">
      <c r="A405" s="194" t="n">
        <v>45808</v>
      </c>
      <c r="B405" s="195" t="inlineStr">
        <is>
          <t>Amazon US</t>
        </is>
      </c>
      <c r="C405" s="195" t="inlineStr">
        <is>
          <t>Amazon fees</t>
        </is>
      </c>
      <c r="D405" s="195" t="inlineStr">
        <is>
          <t>Free replacement refund items</t>
        </is>
      </c>
      <c r="E405" s="198" t="n">
        <v>0</v>
      </c>
      <c r="F405" s="201" t="n">
        <v>0</v>
      </c>
      <c r="H405" s="198" t="n">
        <v>0</v>
      </c>
      <c r="J405" s="200" t="inlineStr">
        <is>
          <t>May</t>
        </is>
      </c>
      <c r="K405" s="199" t="n">
        <v>2025</v>
      </c>
      <c r="L405" s="199" t="n">
        <v>2025</v>
      </c>
    </row>
    <row r="406" ht="15" customHeight="1" s="104">
      <c r="A406" s="194" t="n">
        <v>45808</v>
      </c>
      <c r="B406" s="195" t="inlineStr">
        <is>
          <t>Amazon US</t>
        </is>
      </c>
      <c r="C406" s="195" t="inlineStr">
        <is>
          <t>Amazon fees</t>
        </is>
      </c>
      <c r="D406" s="195" t="inlineStr">
        <is>
          <t>Warehouse lost</t>
        </is>
      </c>
      <c r="E406" s="196" t="n">
        <v>15.34</v>
      </c>
      <c r="F406" s="204" t="n">
        <v>0.0001511864043</v>
      </c>
      <c r="H406" s="196" t="n">
        <v>15.33984881</v>
      </c>
      <c r="J406" s="200" t="inlineStr">
        <is>
          <t>May</t>
        </is>
      </c>
      <c r="K406" s="199" t="n">
        <v>2025</v>
      </c>
      <c r="L406" s="199" t="n">
        <v>2025</v>
      </c>
    </row>
    <row r="407" ht="15" customHeight="1" s="104">
      <c r="A407" s="194" t="n">
        <v>45808</v>
      </c>
      <c r="B407" s="195" t="inlineStr">
        <is>
          <t>Amazon US</t>
        </is>
      </c>
      <c r="C407" s="195" t="inlineStr">
        <is>
          <t>Amazon fees</t>
        </is>
      </c>
      <c r="D407" s="195" t="inlineStr">
        <is>
          <t>Missing from inbound</t>
        </is>
      </c>
      <c r="E407" s="196" t="n">
        <v>1732.59</v>
      </c>
      <c r="F407" s="204" t="n">
        <v>0.01707588345</v>
      </c>
      <c r="H407" s="196" t="n">
        <v>1732.572924</v>
      </c>
      <c r="J407" s="200" t="inlineStr">
        <is>
          <t>May</t>
        </is>
      </c>
      <c r="K407" s="199" t="n">
        <v>2025</v>
      </c>
      <c r="L407" s="199" t="n">
        <v>2025</v>
      </c>
    </row>
    <row r="408" ht="15" customHeight="1" s="104">
      <c r="A408" s="194" t="n">
        <v>45808</v>
      </c>
      <c r="B408" s="195" t="inlineStr">
        <is>
          <t>Amazon US</t>
        </is>
      </c>
      <c r="C408" s="195" t="inlineStr">
        <is>
          <t>Amazon fees</t>
        </is>
      </c>
      <c r="D408" s="195" t="inlineStr">
        <is>
          <t>Warehouse damage</t>
        </is>
      </c>
      <c r="E408" s="196" t="n">
        <v>43.37</v>
      </c>
      <c r="F408" s="204" t="n">
        <v>0.0004274416136</v>
      </c>
      <c r="H408" s="196" t="n">
        <v>43.36957256</v>
      </c>
      <c r="J408" s="200" t="inlineStr">
        <is>
          <t>May</t>
        </is>
      </c>
      <c r="K408" s="199" t="n">
        <v>2025</v>
      </c>
      <c r="L408" s="199" t="n">
        <v>2025</v>
      </c>
    </row>
    <row r="409" ht="15" customHeight="1" s="104">
      <c r="A409" s="194" t="n">
        <v>45808</v>
      </c>
      <c r="B409" s="195" t="inlineStr">
        <is>
          <t>Amazon US</t>
        </is>
      </c>
      <c r="C409" s="195" t="inlineStr">
        <is>
          <t>Amazon fees</t>
        </is>
      </c>
      <c r="D409" s="195" t="inlineStr">
        <is>
          <t>Liquidations revenue</t>
        </is>
      </c>
      <c r="E409" s="196" t="n">
        <v>1.15</v>
      </c>
      <c r="F409" s="204" t="n">
        <v>1.133405247e-05</v>
      </c>
      <c r="H409" s="196" t="n">
        <v>1.149988666</v>
      </c>
      <c r="J409" s="200" t="inlineStr">
        <is>
          <t>May</t>
        </is>
      </c>
      <c r="K409" s="199" t="n">
        <v>2025</v>
      </c>
      <c r="L409" s="199" t="n">
        <v>2025</v>
      </c>
    </row>
    <row r="410" ht="15" customHeight="1" s="104">
      <c r="A410" s="194" t="n">
        <v>45808</v>
      </c>
      <c r="B410" s="195" t="inlineStr">
        <is>
          <t>Amazon US</t>
        </is>
      </c>
      <c r="C410" s="195" t="inlineStr">
        <is>
          <t>Amazon fees</t>
        </is>
      </c>
      <c r="D410" s="195" t="inlineStr">
        <is>
          <t>Reversal reimbursement</t>
        </is>
      </c>
      <c r="E410" s="196" t="n">
        <v>590.46</v>
      </c>
      <c r="F410" s="204" t="n">
        <v>0.005819395323</v>
      </c>
      <c r="H410" s="196" t="n">
        <v>590.4541806</v>
      </c>
      <c r="J410" s="200" t="inlineStr">
        <is>
          <t>May</t>
        </is>
      </c>
      <c r="K410" s="199" t="n">
        <v>2025</v>
      </c>
      <c r="L410" s="199" t="n">
        <v>2025</v>
      </c>
    </row>
    <row r="411" ht="15" customHeight="1" s="104">
      <c r="A411" s="194" t="n">
        <v>45808</v>
      </c>
      <c r="B411" s="195" t="inlineStr">
        <is>
          <t>Amazon US</t>
        </is>
      </c>
      <c r="C411" s="195" t="inlineStr">
        <is>
          <t>Amazon fees</t>
        </is>
      </c>
      <c r="D411" s="195" t="inlineStr">
        <is>
          <t>Liquidations revenue adjustment</t>
        </is>
      </c>
      <c r="E411" s="198" t="n">
        <v>0</v>
      </c>
      <c r="F411" s="201" t="n">
        <v>0</v>
      </c>
      <c r="H411" s="198" t="n">
        <v>0</v>
      </c>
      <c r="J411" s="200" t="inlineStr">
        <is>
          <t>May</t>
        </is>
      </c>
      <c r="K411" s="199" t="n">
        <v>2025</v>
      </c>
      <c r="L411" s="199" t="n">
        <v>2025</v>
      </c>
    </row>
    <row r="412" ht="15" customHeight="1" s="104">
      <c r="A412" s="194" t="n">
        <v>45808</v>
      </c>
      <c r="B412" s="195" t="inlineStr">
        <is>
          <t>Amazon US</t>
        </is>
      </c>
      <c r="C412" s="195" t="inlineStr">
        <is>
          <t>Amazon fees</t>
        </is>
      </c>
      <c r="D412" s="195" t="inlineStr">
        <is>
          <t>Vine Fee</t>
        </is>
      </c>
      <c r="E412" s="198" t="n">
        <v>0</v>
      </c>
      <c r="F412" s="201" t="n">
        <v>0</v>
      </c>
      <c r="H412" s="198" t="n">
        <v>0</v>
      </c>
      <c r="J412" s="200" t="inlineStr">
        <is>
          <t>May</t>
        </is>
      </c>
      <c r="K412" s="199" t="n">
        <v>2025</v>
      </c>
      <c r="L412" s="199" t="n">
        <v>2025</v>
      </c>
    </row>
    <row r="413" ht="15" customHeight="1" s="104">
      <c r="A413" s="194" t="n">
        <v>45808</v>
      </c>
      <c r="B413" s="195" t="inlineStr">
        <is>
          <t>Amazon US</t>
        </is>
      </c>
      <c r="C413" s="195" t="inlineStr">
        <is>
          <t>Amazon fees</t>
        </is>
      </c>
      <c r="D413" s="195" t="inlineStr">
        <is>
          <t xml:space="preserve">Adjustment FBA per unit fulfillment fee
</t>
        </is>
      </c>
      <c r="E413" s="196" t="n">
        <v>3.6</v>
      </c>
      <c r="F413" s="204" t="n">
        <v>3.548051208e-05</v>
      </c>
      <c r="H413" s="196" t="n">
        <v>3.599964519</v>
      </c>
      <c r="J413" s="200" t="inlineStr">
        <is>
          <t>May</t>
        </is>
      </c>
      <c r="K413" s="199" t="n">
        <v>2025</v>
      </c>
      <c r="L413" s="199" t="n">
        <v>2025</v>
      </c>
    </row>
    <row r="414" ht="15" customHeight="1" s="104">
      <c r="A414" s="194" t="n">
        <v>45808</v>
      </c>
      <c r="B414" s="195" t="inlineStr">
        <is>
          <t>Amazon US</t>
        </is>
      </c>
      <c r="C414" s="195" t="inlineStr">
        <is>
          <t>Amazon fees</t>
        </is>
      </c>
      <c r="D414" s="195" t="inlineStr">
        <is>
          <t>Re-evaluation</t>
        </is>
      </c>
      <c r="E414" s="198" t="n">
        <v>0</v>
      </c>
      <c r="F414" s="201" t="n">
        <v>0</v>
      </c>
      <c r="H414" s="198" t="n">
        <v>0</v>
      </c>
      <c r="J414" s="200" t="inlineStr">
        <is>
          <t>May</t>
        </is>
      </c>
      <c r="K414" s="199" t="n">
        <v>2025</v>
      </c>
      <c r="L414" s="199" t="n">
        <v>2025</v>
      </c>
    </row>
    <row r="415" ht="15" customHeight="1" s="104">
      <c r="A415" s="194" t="n">
        <v>45808</v>
      </c>
      <c r="B415" s="195" t="inlineStr">
        <is>
          <t>Amazon US</t>
        </is>
      </c>
      <c r="C415" s="195" t="inlineStr">
        <is>
          <t>Amazon fees</t>
        </is>
      </c>
      <c r="D415" s="195" t="inlineStr">
        <is>
          <t>FBA inbound defect fee</t>
        </is>
      </c>
      <c r="E415" s="196" t="n">
        <v>-41.4</v>
      </c>
      <c r="F415" s="204" t="n">
        <v>-0.0004080258889</v>
      </c>
      <c r="H415" s="196" t="n">
        <v>-41.39959197</v>
      </c>
      <c r="J415" s="200" t="inlineStr">
        <is>
          <t>May</t>
        </is>
      </c>
      <c r="K415" s="199" t="n">
        <v>2025</v>
      </c>
      <c r="L415" s="199" t="n">
        <v>2025</v>
      </c>
    </row>
    <row r="416" ht="15" customHeight="1" s="104">
      <c r="A416" s="194" t="n">
        <v>45808</v>
      </c>
      <c r="B416" s="195" t="inlineStr">
        <is>
          <t>Amazon US</t>
        </is>
      </c>
      <c r="C416" s="195" t="inlineStr">
        <is>
          <t>Amazon fees</t>
        </is>
      </c>
      <c r="D416" s="195" t="inlineStr">
        <is>
          <t>FBA removal fee</t>
        </is>
      </c>
      <c r="E416" s="196" t="n">
        <v>-16.98</v>
      </c>
      <c r="F416" s="204" t="n">
        <v>-0.0001673497487</v>
      </c>
      <c r="H416" s="196" t="n">
        <v>-16.97983265</v>
      </c>
      <c r="J416" s="200" t="inlineStr">
        <is>
          <t>May</t>
        </is>
      </c>
      <c r="K416" s="199" t="n">
        <v>2025</v>
      </c>
      <c r="L416" s="199" t="n">
        <v>2025</v>
      </c>
    </row>
    <row r="417" ht="15" customHeight="1" s="104">
      <c r="A417" s="194" t="n">
        <v>45808</v>
      </c>
      <c r="B417" s="195" t="inlineStr">
        <is>
          <t>Amazon US</t>
        </is>
      </c>
      <c r="C417" s="195" t="inlineStr">
        <is>
          <t>Cost of goods</t>
        </is>
      </c>
      <c r="D417" s="195" t="inlineStr">
        <is>
          <t>Cost of goods sold</t>
        </is>
      </c>
      <c r="E417" s="196" t="n">
        <v>-28099.06</v>
      </c>
      <c r="F417" s="204" t="n">
        <v>-0.2769358438</v>
      </c>
      <c r="H417" s="196" t="n">
        <v>-28098.78306</v>
      </c>
      <c r="J417" s="200" t="inlineStr">
        <is>
          <t>May</t>
        </is>
      </c>
      <c r="K417" s="199" t="n">
        <v>2025</v>
      </c>
      <c r="L417" s="199" t="n">
        <v>2025</v>
      </c>
    </row>
    <row r="418" ht="15" customHeight="1" s="104">
      <c r="A418" s="194" t="n">
        <v>45808</v>
      </c>
      <c r="B418" s="195" t="inlineStr">
        <is>
          <t>Amazon US</t>
        </is>
      </c>
      <c r="C418" s="195" t="inlineStr">
        <is>
          <t>Cost of goods</t>
        </is>
      </c>
      <c r="D418" s="195" t="inlineStr">
        <is>
          <t>Lost/damaged by Amazon</t>
        </is>
      </c>
      <c r="E418" s="196" t="n">
        <v>-419.61</v>
      </c>
      <c r="F418" s="204" t="n">
        <v>-0.004135549354</v>
      </c>
      <c r="H418" s="196" t="n">
        <v>-419.6058645</v>
      </c>
      <c r="J418" s="200" t="inlineStr">
        <is>
          <t>May</t>
        </is>
      </c>
      <c r="K418" s="199" t="n">
        <v>2025</v>
      </c>
      <c r="L418" s="199" t="n">
        <v>2025</v>
      </c>
    </row>
    <row r="419" ht="15" customHeight="1" s="104">
      <c r="A419" s="194" t="n">
        <v>45808</v>
      </c>
      <c r="B419" s="195" t="inlineStr">
        <is>
          <t>Amazon CA</t>
        </is>
      </c>
      <c r="C419" s="195" t="inlineStr">
        <is>
          <t>Advertising cost</t>
        </is>
      </c>
      <c r="D419" s="195" t="inlineStr">
        <is>
          <t>Sponsored Products</t>
        </is>
      </c>
      <c r="E419" s="196" t="n">
        <v>-763.9299999999999</v>
      </c>
      <c r="F419" s="204" t="n">
        <v>-0.1809154593</v>
      </c>
      <c r="H419" s="196" t="n">
        <v>-763.9299999999999</v>
      </c>
      <c r="J419" s="200" t="inlineStr">
        <is>
          <t>May</t>
        </is>
      </c>
      <c r="K419" s="199" t="n">
        <v>2025</v>
      </c>
      <c r="L419" s="199" t="n">
        <v>2025</v>
      </c>
    </row>
    <row r="420" ht="15" customHeight="1" s="104">
      <c r="A420" s="194" t="n">
        <v>45808</v>
      </c>
      <c r="B420" s="195" t="inlineStr">
        <is>
          <t>Amazon CA</t>
        </is>
      </c>
      <c r="C420" s="195" t="inlineStr">
        <is>
          <t>Advertising cost</t>
        </is>
      </c>
      <c r="D420" s="195" t="inlineStr">
        <is>
          <t>Sponsored Brands Video</t>
        </is>
      </c>
      <c r="E420" s="198" t="n">
        <v>0</v>
      </c>
      <c r="F420" s="201" t="n">
        <v>0</v>
      </c>
      <c r="H420" s="198" t="n">
        <v>0</v>
      </c>
      <c r="J420" s="200" t="inlineStr">
        <is>
          <t>May</t>
        </is>
      </c>
      <c r="K420" s="199" t="n">
        <v>2025</v>
      </c>
      <c r="L420" s="199" t="n">
        <v>2025</v>
      </c>
    </row>
    <row r="421" ht="15" customHeight="1" s="104">
      <c r="A421" s="194" t="n">
        <v>45808</v>
      </c>
      <c r="B421" s="195" t="inlineStr">
        <is>
          <t>Amazon CA</t>
        </is>
      </c>
      <c r="C421" s="195" t="inlineStr">
        <is>
          <t>Advertising cost</t>
        </is>
      </c>
      <c r="D421" s="195" t="inlineStr">
        <is>
          <t>Sponsored Display</t>
        </is>
      </c>
      <c r="E421" s="198" t="n">
        <v>0</v>
      </c>
      <c r="F421" s="201" t="n">
        <v>0</v>
      </c>
      <c r="H421" s="198" t="n">
        <v>0</v>
      </c>
      <c r="J421" s="200" t="inlineStr">
        <is>
          <t>May</t>
        </is>
      </c>
      <c r="K421" s="199" t="n">
        <v>2025</v>
      </c>
      <c r="L421" s="199" t="n">
        <v>2025</v>
      </c>
    </row>
    <row r="422" ht="15" customHeight="1" s="104">
      <c r="A422" s="194" t="n">
        <v>45808</v>
      </c>
      <c r="B422" s="195" t="inlineStr">
        <is>
          <t>Amazon CA</t>
        </is>
      </c>
      <c r="C422" s="195" t="inlineStr">
        <is>
          <t>Advertising cost</t>
        </is>
      </c>
      <c r="D422" s="195" t="inlineStr">
        <is>
          <t>Sponsored Brands</t>
        </is>
      </c>
      <c r="E422" s="198" t="n">
        <v>0</v>
      </c>
      <c r="F422" s="201" t="n">
        <v>0</v>
      </c>
      <c r="H422" s="198" t="n">
        <v>0</v>
      </c>
      <c r="J422" s="200" t="inlineStr">
        <is>
          <t>May</t>
        </is>
      </c>
      <c r="K422" s="199" t="n">
        <v>2025</v>
      </c>
      <c r="L422" s="199" t="n">
        <v>2025</v>
      </c>
    </row>
    <row r="423" ht="15" customHeight="1" s="104">
      <c r="A423" s="194" t="n">
        <v>45808</v>
      </c>
      <c r="B423" s="195" t="inlineStr">
        <is>
          <t>Amazon CA</t>
        </is>
      </c>
      <c r="C423" s="195" t="inlineStr">
        <is>
          <t>Refund cost</t>
        </is>
      </c>
      <c r="D423" s="195" t="inlineStr">
        <is>
          <t>Refunded amount</t>
        </is>
      </c>
      <c r="E423" s="196" t="n">
        <v>-463.63</v>
      </c>
      <c r="F423" s="204" t="n">
        <v>-0.1097978013</v>
      </c>
      <c r="H423" s="196" t="n">
        <v>-463.63</v>
      </c>
      <c r="J423" s="200" t="inlineStr">
        <is>
          <t>May</t>
        </is>
      </c>
      <c r="K423" s="199" t="n">
        <v>2025</v>
      </c>
      <c r="L423" s="199" t="n">
        <v>2025</v>
      </c>
    </row>
    <row r="424" ht="15" customHeight="1" s="104">
      <c r="A424" s="194" t="n">
        <v>45808</v>
      </c>
      <c r="B424" s="195" t="inlineStr">
        <is>
          <t>Amazon CA</t>
        </is>
      </c>
      <c r="C424" s="195" t="inlineStr">
        <is>
          <t>Refund cost</t>
        </is>
      </c>
      <c r="D424" s="195" t="inlineStr">
        <is>
          <t>Refund commission</t>
        </is>
      </c>
      <c r="E424" s="196" t="n">
        <v>-13.91</v>
      </c>
      <c r="F424" s="204" t="n">
        <v>-0.003294194545</v>
      </c>
      <c r="H424" s="196" t="n">
        <v>-13.91</v>
      </c>
      <c r="J424" s="200" t="inlineStr">
        <is>
          <t>May</t>
        </is>
      </c>
      <c r="K424" s="199" t="n">
        <v>2025</v>
      </c>
      <c r="L424" s="199" t="n">
        <v>2025</v>
      </c>
    </row>
    <row r="425" ht="15" customHeight="1" s="104">
      <c r="A425" s="194" t="n">
        <v>45808</v>
      </c>
      <c r="B425" s="195" t="inlineStr">
        <is>
          <t>Amazon CA</t>
        </is>
      </c>
      <c r="C425" s="195" t="inlineStr">
        <is>
          <t>Refund cost</t>
        </is>
      </c>
      <c r="D425" s="195" t="inlineStr">
        <is>
          <t>Refunded referral fee</t>
        </is>
      </c>
      <c r="E425" s="196" t="n">
        <v>69.55</v>
      </c>
      <c r="F425" s="204" t="n">
        <v>0.01647097272</v>
      </c>
      <c r="H425" s="196" t="n">
        <v>69.55</v>
      </c>
      <c r="J425" s="200" t="inlineStr">
        <is>
          <t>May</t>
        </is>
      </c>
      <c r="K425" s="199" t="n">
        <v>2025</v>
      </c>
      <c r="L425" s="199" t="n">
        <v>2025</v>
      </c>
    </row>
    <row r="426" ht="15" customHeight="1" s="104">
      <c r="A426" s="194" t="n">
        <v>45808</v>
      </c>
      <c r="B426" s="195" t="inlineStr">
        <is>
          <t>Amazon CA</t>
        </is>
      </c>
      <c r="C426" s="195" t="inlineStr">
        <is>
          <t>Refund cost</t>
        </is>
      </c>
      <c r="D426" s="195" t="inlineStr">
        <is>
          <t>Value of returned items</t>
        </is>
      </c>
      <c r="E426" s="196" t="n">
        <v>33.52</v>
      </c>
      <c r="F426" s="204" t="n">
        <v>0.007938274703999999</v>
      </c>
      <c r="H426" s="196" t="n">
        <v>33.52</v>
      </c>
      <c r="J426" s="200" t="inlineStr">
        <is>
          <t>May</t>
        </is>
      </c>
      <c r="K426" s="199" t="n">
        <v>2025</v>
      </c>
      <c r="L426" s="199" t="n">
        <v>2025</v>
      </c>
    </row>
    <row r="427" ht="15" customHeight="1" s="104">
      <c r="A427" s="194" t="n">
        <v>45808</v>
      </c>
      <c r="B427" s="195" t="inlineStr">
        <is>
          <t>Amazon CA</t>
        </is>
      </c>
      <c r="C427" s="195" t="inlineStr">
        <is>
          <t>Amazon fees</t>
        </is>
      </c>
      <c r="D427" s="195" t="inlineStr">
        <is>
          <t>FBA per unit fulfilment fee</t>
        </is>
      </c>
      <c r="E427" s="196" t="n">
        <v>-397.15</v>
      </c>
      <c r="F427" s="204" t="n">
        <v>-0.09405387228000001</v>
      </c>
      <c r="H427" s="196" t="n">
        <v>-397.15</v>
      </c>
      <c r="J427" s="200" t="inlineStr">
        <is>
          <t>May</t>
        </is>
      </c>
      <c r="K427" s="199" t="n">
        <v>2025</v>
      </c>
      <c r="L427" s="199" t="n">
        <v>2025</v>
      </c>
    </row>
    <row r="428" ht="15" customHeight="1" s="104">
      <c r="A428" s="194" t="n">
        <v>45808</v>
      </c>
      <c r="B428" s="195" t="inlineStr">
        <is>
          <t>Amazon CA</t>
        </is>
      </c>
      <c r="C428" s="195" t="inlineStr">
        <is>
          <t>Amazon fees</t>
        </is>
      </c>
      <c r="D428" s="195" t="inlineStr">
        <is>
          <t>Referral fee</t>
        </is>
      </c>
      <c r="E428" s="196" t="n">
        <v>-634.8200000000001</v>
      </c>
      <c r="F428" s="204" t="n">
        <v>-0.150339366</v>
      </c>
      <c r="H428" s="196" t="n">
        <v>-634.8200000000001</v>
      </c>
      <c r="J428" s="200" t="inlineStr">
        <is>
          <t>May</t>
        </is>
      </c>
      <c r="K428" s="199" t="n">
        <v>2025</v>
      </c>
      <c r="L428" s="199" t="n">
        <v>2025</v>
      </c>
    </row>
    <row r="429" ht="15" customHeight="1" s="104">
      <c r="A429" s="194" t="n">
        <v>45808</v>
      </c>
      <c r="B429" s="195" t="inlineStr">
        <is>
          <t>Amazon CA</t>
        </is>
      </c>
      <c r="C429" s="195" t="inlineStr">
        <is>
          <t>Amazon fees</t>
        </is>
      </c>
      <c r="D429" s="195" t="inlineStr">
        <is>
          <t>FBA storage fee</t>
        </is>
      </c>
      <c r="E429" s="196" t="n">
        <v>-68.91</v>
      </c>
      <c r="F429" s="204" t="n">
        <v>-0.01631940662</v>
      </c>
      <c r="H429" s="196" t="n">
        <v>-68.91</v>
      </c>
      <c r="J429" s="200" t="inlineStr">
        <is>
          <t>May</t>
        </is>
      </c>
      <c r="K429" s="199" t="n">
        <v>2025</v>
      </c>
      <c r="L429" s="199" t="n">
        <v>2025</v>
      </c>
    </row>
    <row r="430" ht="15" customHeight="1" s="104">
      <c r="A430" s="194" t="n">
        <v>45808</v>
      </c>
      <c r="B430" s="195" t="inlineStr">
        <is>
          <t>Amazon CA</t>
        </is>
      </c>
      <c r="C430" s="195" t="inlineStr">
        <is>
          <t>Amazon fees</t>
        </is>
      </c>
      <c r="D430" s="195" t="inlineStr">
        <is>
          <t>Digital services fee</t>
        </is>
      </c>
      <c r="E430" s="196" t="n">
        <v>-12.73</v>
      </c>
      <c r="F430" s="204" t="n">
        <v>-0.00301474454</v>
      </c>
      <c r="H430" s="196" t="n">
        <v>-12.73</v>
      </c>
      <c r="J430" s="200" t="inlineStr">
        <is>
          <t>May</t>
        </is>
      </c>
      <c r="K430" s="199" t="n">
        <v>2025</v>
      </c>
      <c r="L430" s="199" t="n">
        <v>2025</v>
      </c>
    </row>
    <row r="431" ht="15" customHeight="1" s="104">
      <c r="A431" s="194" t="n">
        <v>45808</v>
      </c>
      <c r="B431" s="195" t="inlineStr">
        <is>
          <t>Amazon CA</t>
        </is>
      </c>
      <c r="C431" s="195" t="inlineStr">
        <is>
          <t>Cost of goods</t>
        </is>
      </c>
      <c r="D431" s="195" t="inlineStr">
        <is>
          <t>Cost of goods sold</t>
        </is>
      </c>
      <c r="E431" s="196" t="n">
        <v>-1246.18</v>
      </c>
      <c r="F431" s="204" t="n">
        <v>-0.295122887</v>
      </c>
      <c r="H431" s="196" t="n">
        <v>-1246.18</v>
      </c>
      <c r="J431" s="200" t="inlineStr">
        <is>
          <t>May</t>
        </is>
      </c>
      <c r="K431" s="199" t="n">
        <v>2025</v>
      </c>
      <c r="L431" s="199" t="n">
        <v>2025</v>
      </c>
    </row>
    <row r="432" ht="15" customHeight="1" s="104">
      <c r="A432" s="194" t="n">
        <v>45808</v>
      </c>
      <c r="B432" s="195" t="inlineStr">
        <is>
          <t>Shopify</t>
        </is>
      </c>
      <c r="C432" s="195" t="inlineStr">
        <is>
          <t>Payment fees</t>
        </is>
      </c>
      <c r="D432" s="195" t="inlineStr">
        <is>
          <t>Shopify Payments fee</t>
        </is>
      </c>
      <c r="E432" s="196" t="n">
        <v>-47.52</v>
      </c>
      <c r="F432" s="204" t="n">
        <v>-0.02034734354</v>
      </c>
      <c r="H432" s="196" t="n">
        <v>-47.52</v>
      </c>
      <c r="J432" s="200" t="inlineStr">
        <is>
          <t>May</t>
        </is>
      </c>
      <c r="K432" s="199" t="n">
        <v>2025</v>
      </c>
      <c r="L432" s="199" t="n">
        <v>2025</v>
      </c>
    </row>
    <row r="433" ht="15" customHeight="1" s="104">
      <c r="A433" s="194" t="n">
        <v>45808</v>
      </c>
      <c r="B433" s="195" t="inlineStr">
        <is>
          <t>Shopify</t>
        </is>
      </c>
      <c r="C433" s="195" t="inlineStr">
        <is>
          <t>Cost of goods</t>
        </is>
      </c>
      <c r="D433" s="195" t="inlineStr">
        <is>
          <t>Cost of goods sold</t>
        </is>
      </c>
      <c r="E433" s="196" t="n">
        <v>-722.92</v>
      </c>
      <c r="F433" s="204" t="n">
        <v>-0.3095433837</v>
      </c>
      <c r="H433" s="196" t="n">
        <v>-722.92</v>
      </c>
      <c r="J433" s="200" t="inlineStr">
        <is>
          <t>May</t>
        </is>
      </c>
      <c r="K433" s="199" t="n">
        <v>2025</v>
      </c>
      <c r="L433" s="199" t="n">
        <v>2025</v>
      </c>
    </row>
    <row r="434" ht="15" customHeight="1" s="104">
      <c r="A434" s="194" t="n">
        <v>45808</v>
      </c>
      <c r="B434" s="195" t="inlineStr">
        <is>
          <t>Shopify</t>
        </is>
      </c>
      <c r="C434" s="195" t="inlineStr">
        <is>
          <t>Tax</t>
        </is>
      </c>
      <c r="D434" s="195" t="inlineStr">
        <is>
          <t>Texas State Tax</t>
        </is>
      </c>
      <c r="E434" s="196" t="n">
        <v>-14.86</v>
      </c>
      <c r="F434" s="204" t="n">
        <v>-0.006362826705</v>
      </c>
      <c r="H434" s="196" t="n">
        <v>-14.86</v>
      </c>
      <c r="J434" s="200" t="inlineStr">
        <is>
          <t>May</t>
        </is>
      </c>
      <c r="K434" s="199" t="n">
        <v>2025</v>
      </c>
      <c r="L434" s="199" t="n">
        <v>2025</v>
      </c>
    </row>
    <row r="435" ht="15" customHeight="1" s="104">
      <c r="A435" s="194" t="n">
        <v>45808</v>
      </c>
      <c r="B435" s="195" t="inlineStr">
        <is>
          <t>Shopify</t>
        </is>
      </c>
      <c r="C435" s="195" t="inlineStr">
        <is>
          <t>Tax</t>
        </is>
      </c>
      <c r="D435" s="195" t="inlineStr">
        <is>
          <t>Galveston City Tax</t>
        </is>
      </c>
      <c r="E435" s="196" t="n">
        <v>-4.76</v>
      </c>
      <c r="F435" s="204" t="n">
        <v>-0.002038159833</v>
      </c>
      <c r="H435" s="196" t="n">
        <v>-4.76</v>
      </c>
      <c r="J435" s="200" t="inlineStr">
        <is>
          <t>May</t>
        </is>
      </c>
      <c r="K435" s="199" t="n">
        <v>2025</v>
      </c>
      <c r="L435" s="199" t="n">
        <v>2025</v>
      </c>
    </row>
    <row r="436" ht="15" customHeight="1" s="104">
      <c r="A436" s="194" t="n">
        <v>45808</v>
      </c>
      <c r="B436" s="195" t="inlineStr">
        <is>
          <t>Shopify</t>
        </is>
      </c>
      <c r="C436" s="195" t="inlineStr">
        <is>
          <t>Tax</t>
        </is>
      </c>
      <c r="D436" s="195" t="inlineStr">
        <is>
          <t>Henrico Co Sp</t>
        </is>
      </c>
      <c r="E436" s="198" t="n">
        <v>0</v>
      </c>
      <c r="F436" s="201" t="n">
        <v>0</v>
      </c>
      <c r="H436" s="198" t="n">
        <v>0</v>
      </c>
      <c r="J436" s="200" t="inlineStr">
        <is>
          <t>May</t>
        </is>
      </c>
      <c r="K436" s="199" t="n">
        <v>2025</v>
      </c>
      <c r="L436" s="199" t="n">
        <v>2025</v>
      </c>
    </row>
    <row r="437" ht="15" customHeight="1" s="104">
      <c r="A437" s="194" t="n">
        <v>45808</v>
      </c>
      <c r="B437" s="195" t="inlineStr">
        <is>
          <t>Shopify</t>
        </is>
      </c>
      <c r="C437" s="195" t="inlineStr">
        <is>
          <t>Tax</t>
        </is>
      </c>
      <c r="D437" s="195" t="inlineStr">
        <is>
          <t>California State Tax</t>
        </is>
      </c>
      <c r="E437" s="196" t="n">
        <v>-2.04</v>
      </c>
      <c r="F437" s="204" t="n">
        <v>-0.0008734970712</v>
      </c>
      <c r="H437" s="196" t="n">
        <v>-2.04</v>
      </c>
      <c r="J437" s="200" t="inlineStr">
        <is>
          <t>May</t>
        </is>
      </c>
      <c r="K437" s="199" t="n">
        <v>2025</v>
      </c>
      <c r="L437" s="199" t="n">
        <v>2025</v>
      </c>
    </row>
    <row r="438" ht="15" customHeight="1" s="104">
      <c r="A438" s="194" t="n">
        <v>45808</v>
      </c>
      <c r="B438" s="195" t="inlineStr">
        <is>
          <t>Shopify</t>
        </is>
      </c>
      <c r="C438" s="195" t="inlineStr">
        <is>
          <t>Tax</t>
        </is>
      </c>
      <c r="D438" s="195" t="inlineStr">
        <is>
          <t>CONTRA COSTA COUNTY</t>
        </is>
      </c>
      <c r="E438" s="197" t="n">
        <v>-0.51</v>
      </c>
      <c r="F438" s="204" t="n">
        <v>-0.0002183742678</v>
      </c>
      <c r="H438" s="197" t="n">
        <v>-0.51</v>
      </c>
      <c r="J438" s="200" t="inlineStr">
        <is>
          <t>May</t>
        </is>
      </c>
      <c r="K438" s="199" t="n">
        <v>2025</v>
      </c>
      <c r="L438" s="199" t="n">
        <v>2025</v>
      </c>
    </row>
    <row r="439" ht="15" customHeight="1" s="104">
      <c r="A439" s="194" t="n">
        <v>45808</v>
      </c>
      <c r="B439" s="195" t="inlineStr">
        <is>
          <t>Shopify</t>
        </is>
      </c>
      <c r="C439" s="195" t="inlineStr">
        <is>
          <t>Tax</t>
        </is>
      </c>
      <c r="D439" s="195" t="inlineStr">
        <is>
          <t>CONTRA COSTA CO LOC</t>
        </is>
      </c>
      <c r="E439" s="197" t="n">
        <v>-0.34</v>
      </c>
      <c r="F439" s="204" t="n">
        <v>-0.0001455828452</v>
      </c>
      <c r="H439" s="197" t="n">
        <v>-0.34</v>
      </c>
      <c r="J439" s="200" t="inlineStr">
        <is>
          <t>May</t>
        </is>
      </c>
      <c r="K439" s="199" t="n">
        <v>2025</v>
      </c>
      <c r="L439" s="199" t="n">
        <v>2025</v>
      </c>
    </row>
    <row r="440" ht="15" customHeight="1" s="104">
      <c r="A440" s="194" t="n">
        <v>45808</v>
      </c>
      <c r="B440" s="195" t="inlineStr">
        <is>
          <t>Shopify</t>
        </is>
      </c>
      <c r="C440" s="195" t="inlineStr">
        <is>
          <t>Tax</t>
        </is>
      </c>
      <c r="D440" s="195" t="inlineStr">
        <is>
          <t>Contra Costa County Tax</t>
        </is>
      </c>
      <c r="E440" s="197" t="n">
        <v>-0.08</v>
      </c>
      <c r="F440" s="204" t="n">
        <v>-3.425478711e-05</v>
      </c>
      <c r="H440" s="197" t="n">
        <v>-0.08</v>
      </c>
      <c r="J440" s="200" t="inlineStr">
        <is>
          <t>May</t>
        </is>
      </c>
      <c r="K440" s="199" t="n">
        <v>2025</v>
      </c>
      <c r="L440" s="199" t="n">
        <v>2025</v>
      </c>
    </row>
    <row r="441" ht="15" customHeight="1" s="104">
      <c r="A441" s="194" t="n">
        <v>45808</v>
      </c>
      <c r="B441" s="195" t="inlineStr">
        <is>
          <t>Shopify</t>
        </is>
      </c>
      <c r="C441" s="195" t="inlineStr">
        <is>
          <t>MCF Shipping fees</t>
        </is>
      </c>
      <c r="D441" s="195" t="inlineStr">
        <is>
          <t>MCF Shipping fees</t>
        </is>
      </c>
      <c r="E441" s="196" t="n">
        <v>-439.14</v>
      </c>
      <c r="F441" s="204" t="n">
        <v>-0.1880330901</v>
      </c>
      <c r="H441" s="196" t="n">
        <v>-439.14</v>
      </c>
      <c r="J441" s="200" t="inlineStr">
        <is>
          <t>May</t>
        </is>
      </c>
      <c r="K441" s="199" t="n">
        <v>2025</v>
      </c>
      <c r="L441" s="199" t="n">
        <v>2025</v>
      </c>
    </row>
    <row r="442" ht="15" customHeight="1" s="104">
      <c r="A442" s="194" t="n">
        <v>45808</v>
      </c>
      <c r="B442" s="195" t="inlineStr">
        <is>
          <t>Shopify</t>
        </is>
      </c>
      <c r="C442" s="195" t="inlineStr">
        <is>
          <t>Shipping Cost</t>
        </is>
      </c>
      <c r="D442" s="195" t="inlineStr">
        <is>
          <t>Shipping Cost</t>
        </is>
      </c>
      <c r="E442" s="198" t="n">
        <v>0</v>
      </c>
      <c r="F442" s="201" t="n">
        <v>0</v>
      </c>
      <c r="H442" s="198" t="n">
        <v>0</v>
      </c>
      <c r="J442" s="200" t="inlineStr">
        <is>
          <t>May</t>
        </is>
      </c>
      <c r="K442" s="199" t="n">
        <v>2025</v>
      </c>
      <c r="L442" s="199" t="n">
        <v>2025</v>
      </c>
    </row>
    <row r="443" ht="15" customHeight="1" s="104">
      <c r="A443" s="194" t="n">
        <v>45808</v>
      </c>
      <c r="B443" s="195" t="inlineStr">
        <is>
          <t>Shopify</t>
        </is>
      </c>
      <c r="C443" s="195" t="inlineStr">
        <is>
          <t>Advertising cost</t>
        </is>
      </c>
      <c r="D443" s="195" t="inlineStr">
        <is>
          <t>Advertising Cost</t>
        </is>
      </c>
      <c r="E443" s="196" t="n">
        <v>-566.1900000000001</v>
      </c>
      <c r="F443" s="204" t="n">
        <v>-0.2424339739</v>
      </c>
      <c r="H443" s="196" t="n">
        <v>-566.1900000000001</v>
      </c>
      <c r="J443" s="200" t="inlineStr">
        <is>
          <t>May</t>
        </is>
      </c>
      <c r="K443" s="199" t="n">
        <v>2025</v>
      </c>
      <c r="L443" s="199" t="n">
        <v>2025</v>
      </c>
    </row>
    <row r="444" ht="15" customHeight="1" s="104">
      <c r="A444" s="194" t="n">
        <v>45808</v>
      </c>
      <c r="B444" s="195" t="inlineStr">
        <is>
          <t>Walmart</t>
        </is>
      </c>
      <c r="C444" s="195" t="inlineStr">
        <is>
          <t>Advertising cost</t>
        </is>
      </c>
      <c r="D444" s="195" t="inlineStr">
        <is>
          <t>Advertising Cost</t>
        </is>
      </c>
      <c r="E444" s="196" t="n">
        <v>-216.53</v>
      </c>
      <c r="F444" s="204" t="n">
        <v>-0.1459687205</v>
      </c>
      <c r="H444" s="196" t="n">
        <v>-216.3840313</v>
      </c>
      <c r="J444" s="200" t="inlineStr">
        <is>
          <t>May</t>
        </is>
      </c>
      <c r="K444" s="199" t="n">
        <v>2025</v>
      </c>
      <c r="L444" s="199" t="n">
        <v>2025</v>
      </c>
    </row>
    <row r="445" ht="15" customHeight="1" s="104">
      <c r="A445" s="194" t="n">
        <v>45808</v>
      </c>
      <c r="B445" s="195" t="inlineStr">
        <is>
          <t>Walmart</t>
        </is>
      </c>
      <c r="C445" s="195" t="inlineStr">
        <is>
          <t>Shipping Cost</t>
        </is>
      </c>
      <c r="D445" s="195" t="inlineStr">
        <is>
          <t>WFS Fulfillment fee</t>
        </is>
      </c>
      <c r="E445" s="196" t="n">
        <v>-275.05</v>
      </c>
      <c r="F445" s="204" t="n">
        <v>-0.1854186329</v>
      </c>
      <c r="H445" s="196" t="n">
        <v>-274.8645814</v>
      </c>
      <c r="J445" s="200" t="inlineStr">
        <is>
          <t>May</t>
        </is>
      </c>
      <c r="K445" s="199" t="n">
        <v>2025</v>
      </c>
      <c r="L445" s="199" t="n">
        <v>2025</v>
      </c>
    </row>
    <row r="446" ht="15" customHeight="1" s="104">
      <c r="A446" s="194" t="n">
        <v>45808</v>
      </c>
      <c r="B446" s="195" t="inlineStr">
        <is>
          <t>Walmart</t>
        </is>
      </c>
      <c r="C446" s="195" t="inlineStr">
        <is>
          <t>Shipping Cost</t>
        </is>
      </c>
      <c r="D446" s="195" t="inlineStr">
        <is>
          <t>WFS Shipping Reversal fee</t>
        </is>
      </c>
      <c r="E446" s="196" t="n">
        <v>-6.99</v>
      </c>
      <c r="F446" s="204" t="n">
        <v>-0.004712147769</v>
      </c>
      <c r="H446" s="196" t="n">
        <v>-6.985287852</v>
      </c>
      <c r="J446" s="200" t="inlineStr">
        <is>
          <t>May</t>
        </is>
      </c>
      <c r="K446" s="199" t="n">
        <v>2025</v>
      </c>
      <c r="L446" s="199" t="n">
        <v>2025</v>
      </c>
    </row>
    <row r="447" ht="15" customHeight="1" s="104">
      <c r="A447" s="194" t="n">
        <v>45808</v>
      </c>
      <c r="B447" s="195" t="inlineStr">
        <is>
          <t>Walmart</t>
        </is>
      </c>
      <c r="C447" s="195" t="inlineStr">
        <is>
          <t>Fees</t>
        </is>
      </c>
      <c r="D447" s="195" t="inlineStr">
        <is>
          <t>Commission on product</t>
        </is>
      </c>
      <c r="E447" s="196" t="n">
        <v>-225.06</v>
      </c>
      <c r="F447" s="204" t="n">
        <v>-0.1517190239</v>
      </c>
      <c r="H447" s="196" t="n">
        <v>-224.908281</v>
      </c>
      <c r="J447" s="200" t="inlineStr">
        <is>
          <t>May</t>
        </is>
      </c>
      <c r="K447" s="199" t="n">
        <v>2025</v>
      </c>
      <c r="L447" s="199" t="n">
        <v>2025</v>
      </c>
    </row>
    <row r="448" ht="15" customHeight="1" s="104">
      <c r="A448" s="194" t="n">
        <v>45808</v>
      </c>
      <c r="B448" s="195" t="inlineStr">
        <is>
          <t>Walmart</t>
        </is>
      </c>
      <c r="C448" s="195" t="inlineStr">
        <is>
          <t>Fees</t>
        </is>
      </c>
      <c r="D448" s="195" t="inlineStr">
        <is>
          <t>Storage fee</t>
        </is>
      </c>
      <c r="E448" s="196" t="n">
        <v>-184.79</v>
      </c>
      <c r="F448" s="204" t="n">
        <v>-0.1245719294</v>
      </c>
      <c r="H448" s="196" t="n">
        <v>-184.6654281</v>
      </c>
      <c r="J448" s="200" t="inlineStr">
        <is>
          <t>May</t>
        </is>
      </c>
      <c r="K448" s="199" t="n">
        <v>2025</v>
      </c>
      <c r="L448" s="199" t="n">
        <v>2025</v>
      </c>
    </row>
    <row r="449" ht="15" customHeight="1" s="104">
      <c r="A449" s="194" t="n">
        <v>45808</v>
      </c>
      <c r="B449" s="195" t="inlineStr">
        <is>
          <t>Walmart</t>
        </is>
      </c>
      <c r="C449" s="195" t="inlineStr">
        <is>
          <t>Fees</t>
        </is>
      </c>
      <c r="D449" s="195" t="inlineStr">
        <is>
          <t>Prep service fee</t>
        </is>
      </c>
      <c r="E449" s="196" t="n">
        <v>-54</v>
      </c>
      <c r="F449" s="204" t="n">
        <v>-0.0364028583</v>
      </c>
      <c r="H449" s="196" t="n">
        <v>-53.96359714</v>
      </c>
      <c r="J449" s="200" t="inlineStr">
        <is>
          <t>May</t>
        </is>
      </c>
      <c r="K449" s="199" t="n">
        <v>2025</v>
      </c>
      <c r="L449" s="199" t="n">
        <v>2025</v>
      </c>
    </row>
    <row r="450" ht="15" customHeight="1" s="104">
      <c r="A450" s="194" t="n">
        <v>45808</v>
      </c>
      <c r="B450" s="195" t="inlineStr">
        <is>
          <t>Walmart</t>
        </is>
      </c>
      <c r="C450" s="195" t="inlineStr">
        <is>
          <t>Fees</t>
        </is>
      </c>
      <c r="D450" s="195" t="inlineStr">
        <is>
          <t>RC inventory disposal fee</t>
        </is>
      </c>
      <c r="E450" s="196" t="n">
        <v>-7.6</v>
      </c>
      <c r="F450" s="204" t="n">
        <v>-0.005123365242</v>
      </c>
      <c r="H450" s="196" t="n">
        <v>-7.594876635</v>
      </c>
      <c r="J450" s="200" t="inlineStr">
        <is>
          <t>May</t>
        </is>
      </c>
      <c r="K450" s="199" t="n">
        <v>2025</v>
      </c>
      <c r="L450" s="199" t="n">
        <v>2025</v>
      </c>
    </row>
    <row r="451" ht="15" customHeight="1" s="104">
      <c r="A451" s="194" t="n">
        <v>45808</v>
      </c>
      <c r="B451" s="195" t="inlineStr">
        <is>
          <t>Walmart</t>
        </is>
      </c>
      <c r="C451" s="195" t="inlineStr">
        <is>
          <t>Fees</t>
        </is>
      </c>
      <c r="D451" s="195" t="inlineStr">
        <is>
          <t>Wfs return shipping fee</t>
        </is>
      </c>
      <c r="E451" s="196" t="n">
        <v>-28.6</v>
      </c>
      <c r="F451" s="204" t="n">
        <v>-0.01928003236</v>
      </c>
      <c r="H451" s="196" t="n">
        <v>-28.58071997</v>
      </c>
      <c r="J451" s="200" t="inlineStr">
        <is>
          <t>May</t>
        </is>
      </c>
      <c r="K451" s="199" t="n">
        <v>2025</v>
      </c>
      <c r="L451" s="199" t="n">
        <v>2025</v>
      </c>
    </row>
    <row r="452" ht="15" customHeight="1" s="104">
      <c r="A452" s="194" t="n">
        <v>45808</v>
      </c>
      <c r="B452" s="195" t="inlineStr">
        <is>
          <t>Walmart</t>
        </is>
      </c>
      <c r="C452" s="195" t="inlineStr">
        <is>
          <t>Fees</t>
        </is>
      </c>
      <c r="D452" s="195" t="inlineStr">
        <is>
          <t>Refund commission on product</t>
        </is>
      </c>
      <c r="E452" s="196" t="n">
        <v>5.4</v>
      </c>
      <c r="F452" s="204" t="n">
        <v>0.00364028583</v>
      </c>
      <c r="H452" s="196" t="n">
        <v>5.396359714</v>
      </c>
      <c r="J452" s="200" t="inlineStr">
        <is>
          <t>May</t>
        </is>
      </c>
      <c r="K452" s="199" t="n">
        <v>2025</v>
      </c>
      <c r="L452" s="199" t="n">
        <v>2025</v>
      </c>
    </row>
    <row r="453" ht="15" customHeight="1" s="104">
      <c r="A453" s="194" t="n">
        <v>45808</v>
      </c>
      <c r="B453" s="195" t="inlineStr">
        <is>
          <t>Walmart</t>
        </is>
      </c>
      <c r="C453" s="195" t="inlineStr">
        <is>
          <t>Fees</t>
        </is>
      </c>
      <c r="D453" s="195" t="inlineStr">
        <is>
          <t>Total Walmart funded</t>
        </is>
      </c>
      <c r="E453" s="196" t="n">
        <v>26.22</v>
      </c>
      <c r="F453" s="204" t="n">
        <v>0.01767561008</v>
      </c>
      <c r="H453" s="196" t="n">
        <v>26.20232439</v>
      </c>
      <c r="J453" s="200" t="inlineStr">
        <is>
          <t>May</t>
        </is>
      </c>
      <c r="K453" s="199" t="n">
        <v>2025</v>
      </c>
      <c r="L453" s="199" t="n">
        <v>2025</v>
      </c>
    </row>
    <row r="454" ht="15" customHeight="1" s="104">
      <c r="A454" s="194" t="n">
        <v>45808</v>
      </c>
      <c r="B454" s="195" t="inlineStr">
        <is>
          <t>Walmart</t>
        </is>
      </c>
      <c r="C454" s="195" t="inlineStr">
        <is>
          <t>Fees</t>
        </is>
      </c>
      <c r="D454" s="195" t="inlineStr">
        <is>
          <t>Lost inventory</t>
        </is>
      </c>
      <c r="E454" s="196" t="n">
        <v>38.4</v>
      </c>
      <c r="F454" s="204" t="n">
        <v>0.02588647701</v>
      </c>
      <c r="H454" s="196" t="n">
        <v>38.37411352</v>
      </c>
      <c r="J454" s="200" t="inlineStr">
        <is>
          <t>May</t>
        </is>
      </c>
      <c r="K454" s="199" t="n">
        <v>2025</v>
      </c>
      <c r="L454" s="199" t="n">
        <v>2025</v>
      </c>
    </row>
    <row r="455" ht="15" customHeight="1" s="104">
      <c r="A455" s="194" t="n">
        <v>45808</v>
      </c>
      <c r="B455" s="195" t="inlineStr">
        <is>
          <t>Walmart</t>
        </is>
      </c>
      <c r="C455" s="195" t="inlineStr">
        <is>
          <t>Cost of goods</t>
        </is>
      </c>
      <c r="D455" s="195" t="inlineStr">
        <is>
          <t>Cost of goods sold</t>
        </is>
      </c>
      <c r="E455" s="196" t="n">
        <v>-482.55</v>
      </c>
      <c r="F455" s="204" t="n">
        <v>-0.3252999865</v>
      </c>
      <c r="H455" s="196" t="n">
        <v>-482.2247</v>
      </c>
      <c r="J455" s="200" t="inlineStr">
        <is>
          <t>May</t>
        </is>
      </c>
      <c r="K455" s="199" t="n">
        <v>2025</v>
      </c>
      <c r="L455" s="199" t="n">
        <v>2025</v>
      </c>
    </row>
    <row r="456" ht="15" customHeight="1" s="104">
      <c r="A456" s="194" t="n">
        <v>45808</v>
      </c>
      <c r="B456" s="195" t="inlineStr">
        <is>
          <t>Walmart</t>
        </is>
      </c>
      <c r="C456" s="195" t="inlineStr">
        <is>
          <t>Cost of goods</t>
        </is>
      </c>
      <c r="D456" s="195" t="inlineStr">
        <is>
          <t>Value of returned items</t>
        </is>
      </c>
      <c r="E456" s="196" t="n">
        <v>63.9</v>
      </c>
      <c r="F456" s="204" t="n">
        <v>0.04307671565</v>
      </c>
      <c r="H456" s="196" t="n">
        <v>63.85692328</v>
      </c>
      <c r="J456" s="200" t="inlineStr">
        <is>
          <t>May</t>
        </is>
      </c>
      <c r="K456" s="199" t="n">
        <v>2025</v>
      </c>
      <c r="L456" s="199" t="n">
        <v>2025</v>
      </c>
    </row>
    <row r="457" ht="15" customHeight="1" s="104">
      <c r="A457" s="194" t="n">
        <v>45808</v>
      </c>
      <c r="B457" s="195" t="inlineStr">
        <is>
          <t>Tiktok</t>
        </is>
      </c>
      <c r="C457" s="195" t="inlineStr">
        <is>
          <t>Tiktok Shipping</t>
        </is>
      </c>
      <c r="D457" s="195" t="inlineStr">
        <is>
          <t>TikTok Shop shipping fee</t>
        </is>
      </c>
      <c r="E457" s="198" t="n">
        <v>0</v>
      </c>
      <c r="F457" s="201" t="n">
        <v>0</v>
      </c>
      <c r="H457" s="198" t="n">
        <v>0</v>
      </c>
      <c r="J457" s="200" t="inlineStr">
        <is>
          <t>May</t>
        </is>
      </c>
      <c r="K457" s="199" t="n">
        <v>2025</v>
      </c>
      <c r="L457" s="199" t="n">
        <v>2025</v>
      </c>
    </row>
    <row r="458" ht="15" customHeight="1" s="104">
      <c r="A458" s="194" t="n">
        <v>45808</v>
      </c>
      <c r="B458" s="195" t="inlineStr">
        <is>
          <t>Tiktok</t>
        </is>
      </c>
      <c r="C458" s="195" t="inlineStr">
        <is>
          <t>Tiktok Shipping</t>
        </is>
      </c>
      <c r="D458" s="195" t="inlineStr">
        <is>
          <t>Fulfilled by TikTok Shop (FBT) shipping fee</t>
        </is>
      </c>
      <c r="E458" s="198" t="n">
        <v>0</v>
      </c>
      <c r="F458" s="201" t="n">
        <v>0</v>
      </c>
      <c r="H458" s="198" t="n">
        <v>0</v>
      </c>
      <c r="J458" s="200" t="inlineStr">
        <is>
          <t>May</t>
        </is>
      </c>
      <c r="K458" s="199" t="n">
        <v>2025</v>
      </c>
      <c r="L458" s="199" t="n">
        <v>2025</v>
      </c>
    </row>
    <row r="459" ht="15" customHeight="1" s="104">
      <c r="A459" s="194" t="n">
        <v>45808</v>
      </c>
      <c r="B459" s="195" t="inlineStr">
        <is>
          <t>Tiktok</t>
        </is>
      </c>
      <c r="C459" s="195" t="inlineStr">
        <is>
          <t>Tiktok Shipping</t>
        </is>
      </c>
      <c r="D459" s="195" t="inlineStr">
        <is>
          <t>Signature confirmation service fee</t>
        </is>
      </c>
      <c r="E459" s="198" t="n">
        <v>0</v>
      </c>
      <c r="F459" s="201" t="n">
        <v>0</v>
      </c>
      <c r="H459" s="198" t="n">
        <v>0</v>
      </c>
      <c r="J459" s="200" t="inlineStr">
        <is>
          <t>May</t>
        </is>
      </c>
      <c r="K459" s="199" t="n">
        <v>2025</v>
      </c>
      <c r="L459" s="199" t="n">
        <v>2025</v>
      </c>
    </row>
    <row r="460" ht="15" customHeight="1" s="104">
      <c r="A460" s="194" t="n">
        <v>45808</v>
      </c>
      <c r="B460" s="195" t="inlineStr">
        <is>
          <t>Tiktok</t>
        </is>
      </c>
      <c r="C460" s="195" t="inlineStr">
        <is>
          <t>Tiktok Shipping</t>
        </is>
      </c>
      <c r="D460" s="195" t="inlineStr">
        <is>
          <t>Shipping insurance fee</t>
        </is>
      </c>
      <c r="E460" s="198" t="n">
        <v>0</v>
      </c>
      <c r="F460" s="201" t="n">
        <v>0</v>
      </c>
      <c r="H460" s="198" t="n">
        <v>0</v>
      </c>
      <c r="J460" s="200" t="inlineStr">
        <is>
          <t>May</t>
        </is>
      </c>
      <c r="K460" s="199" t="n">
        <v>2025</v>
      </c>
      <c r="L460" s="199" t="n">
        <v>2025</v>
      </c>
    </row>
    <row r="461" ht="15" customHeight="1" s="104">
      <c r="A461" s="194" t="n">
        <v>45808</v>
      </c>
      <c r="B461" s="195" t="inlineStr">
        <is>
          <t>Tiktok</t>
        </is>
      </c>
      <c r="C461" s="195" t="inlineStr">
        <is>
          <t>Tiktok Shipping</t>
        </is>
      </c>
      <c r="D461" s="195" t="inlineStr">
        <is>
          <t>Customer-paid shipping fee</t>
        </is>
      </c>
      <c r="E461" s="198" t="n">
        <v>0</v>
      </c>
      <c r="F461" s="201" t="n">
        <v>0</v>
      </c>
      <c r="H461" s="198" t="n">
        <v>0</v>
      </c>
      <c r="J461" s="200" t="inlineStr">
        <is>
          <t>May</t>
        </is>
      </c>
      <c r="K461" s="199" t="n">
        <v>2025</v>
      </c>
      <c r="L461" s="199" t="n">
        <v>2025</v>
      </c>
    </row>
    <row r="462" ht="15" customHeight="1" s="104">
      <c r="A462" s="194" t="n">
        <v>45808</v>
      </c>
      <c r="B462" s="195" t="inlineStr">
        <is>
          <t>Tiktok</t>
        </is>
      </c>
      <c r="C462" s="195" t="inlineStr">
        <is>
          <t>Tiktok Shipping</t>
        </is>
      </c>
      <c r="D462" s="195" t="inlineStr">
        <is>
          <t>Customer-paid shipping fee refund</t>
        </is>
      </c>
      <c r="E462" s="198" t="n">
        <v>0</v>
      </c>
      <c r="F462" s="201" t="n">
        <v>0</v>
      </c>
      <c r="H462" s="198" t="n">
        <v>0</v>
      </c>
      <c r="J462" s="200" t="inlineStr">
        <is>
          <t>May</t>
        </is>
      </c>
      <c r="K462" s="199" t="n">
        <v>2025</v>
      </c>
      <c r="L462" s="199" t="n">
        <v>2025</v>
      </c>
    </row>
    <row r="463" ht="15" customHeight="1" s="104">
      <c r="A463" s="194" t="n">
        <v>45808</v>
      </c>
      <c r="B463" s="195" t="inlineStr">
        <is>
          <t>Tiktok</t>
        </is>
      </c>
      <c r="C463" s="195" t="inlineStr">
        <is>
          <t>Tiktok Shipping</t>
        </is>
      </c>
      <c r="D463" s="195" t="inlineStr">
        <is>
          <t>TikTok Shop shipping incentive</t>
        </is>
      </c>
      <c r="E463" s="196" t="n">
        <v>11.98</v>
      </c>
      <c r="F463" s="204" t="n">
        <v>0.00309162886</v>
      </c>
      <c r="H463" s="196" t="n">
        <v>11.97690837</v>
      </c>
      <c r="J463" s="200" t="inlineStr">
        <is>
          <t>May</t>
        </is>
      </c>
      <c r="K463" s="199" t="n">
        <v>2025</v>
      </c>
      <c r="L463" s="199" t="n">
        <v>2025</v>
      </c>
    </row>
    <row r="464" ht="15" customHeight="1" s="104">
      <c r="A464" s="194" t="n">
        <v>45808</v>
      </c>
      <c r="B464" s="195" t="inlineStr">
        <is>
          <t>Tiktok</t>
        </is>
      </c>
      <c r="C464" s="195" t="inlineStr">
        <is>
          <t>Tiktok Shipping</t>
        </is>
      </c>
      <c r="D464" s="195" t="inlineStr">
        <is>
          <t>TikTok Shop shipping incentive refund</t>
        </is>
      </c>
      <c r="E464" s="198" t="n">
        <v>0</v>
      </c>
      <c r="F464" s="201" t="n">
        <v>0</v>
      </c>
      <c r="H464" s="198" t="n">
        <v>0</v>
      </c>
      <c r="J464" s="200" t="inlineStr">
        <is>
          <t>May</t>
        </is>
      </c>
      <c r="K464" s="199" t="n">
        <v>2025</v>
      </c>
      <c r="L464" s="199" t="n">
        <v>2025</v>
      </c>
    </row>
    <row r="465" ht="15" customHeight="1" s="104">
      <c r="A465" s="194" t="n">
        <v>45808</v>
      </c>
      <c r="B465" s="195" t="inlineStr">
        <is>
          <t>Tiktok</t>
        </is>
      </c>
      <c r="C465" s="195" t="inlineStr">
        <is>
          <t>Tiktok Shipping</t>
        </is>
      </c>
      <c r="D465" s="195" t="inlineStr">
        <is>
          <t>Shipping fee subsidy</t>
        </is>
      </c>
      <c r="E465" s="196" t="n">
        <v>56.8</v>
      </c>
      <c r="F465" s="204" t="n">
        <v>0.01465814017</v>
      </c>
      <c r="H465" s="196" t="n">
        <v>56.78534186</v>
      </c>
      <c r="J465" s="200" t="inlineStr">
        <is>
          <t>May</t>
        </is>
      </c>
      <c r="K465" s="199" t="n">
        <v>2025</v>
      </c>
      <c r="L465" s="199" t="n">
        <v>2025</v>
      </c>
    </row>
    <row r="466" ht="15" customHeight="1" s="104">
      <c r="A466" s="194" t="n">
        <v>45808</v>
      </c>
      <c r="B466" s="195" t="inlineStr">
        <is>
          <t>Tiktok</t>
        </is>
      </c>
      <c r="C466" s="195" t="inlineStr">
        <is>
          <t>Tiktok Shipping</t>
        </is>
      </c>
      <c r="D466" s="195" t="inlineStr">
        <is>
          <t>Return shipping fee</t>
        </is>
      </c>
      <c r="E466" s="196" t="n">
        <v>49.05</v>
      </c>
      <c r="F466" s="204" t="n">
        <v>0.01265812985</v>
      </c>
      <c r="H466" s="196" t="n">
        <v>49.03734187</v>
      </c>
      <c r="J466" s="200" t="inlineStr">
        <is>
          <t>May</t>
        </is>
      </c>
      <c r="K466" s="199" t="n">
        <v>2025</v>
      </c>
      <c r="L466" s="199" t="n">
        <v>2025</v>
      </c>
    </row>
    <row r="467" ht="15" customHeight="1" s="104">
      <c r="A467" s="194" t="n">
        <v>45808</v>
      </c>
      <c r="B467" s="195" t="inlineStr">
        <is>
          <t>Tiktok</t>
        </is>
      </c>
      <c r="C467" s="195" t="inlineStr">
        <is>
          <t>Tiktok Shipping</t>
        </is>
      </c>
      <c r="D467" s="195" t="inlineStr">
        <is>
          <t>FBT fulfillment fee</t>
        </is>
      </c>
      <c r="E467" s="196" t="n">
        <v>-45.08</v>
      </c>
      <c r="F467" s="204" t="n">
        <v>-0.01163360843</v>
      </c>
      <c r="H467" s="196" t="n">
        <v>-45.06836639</v>
      </c>
      <c r="J467" s="200" t="inlineStr">
        <is>
          <t>May</t>
        </is>
      </c>
      <c r="K467" s="199" t="n">
        <v>2025</v>
      </c>
      <c r="L467" s="199" t="n">
        <v>2025</v>
      </c>
    </row>
    <row r="468" ht="15" customHeight="1" s="104">
      <c r="A468" s="194" t="n">
        <v>45808</v>
      </c>
      <c r="B468" s="195" t="inlineStr">
        <is>
          <t>Tiktok</t>
        </is>
      </c>
      <c r="C468" s="195" t="inlineStr">
        <is>
          <t>Tiktok Shipping</t>
        </is>
      </c>
      <c r="D468" s="195" t="inlineStr">
        <is>
          <t>Customer shipping fee offset</t>
        </is>
      </c>
      <c r="E468" s="196" t="n">
        <v>-17.95</v>
      </c>
      <c r="F468" s="204" t="n">
        <v>-0.004632281973</v>
      </c>
      <c r="H468" s="196" t="n">
        <v>-17.94536772</v>
      </c>
      <c r="J468" s="200" t="inlineStr">
        <is>
          <t>May</t>
        </is>
      </c>
      <c r="K468" s="199" t="n">
        <v>2025</v>
      </c>
      <c r="L468" s="199" t="n">
        <v>2025</v>
      </c>
    </row>
    <row r="469" ht="15" customHeight="1" s="104">
      <c r="A469" s="194" t="n">
        <v>45808</v>
      </c>
      <c r="B469" s="195" t="inlineStr">
        <is>
          <t>Tiktok</t>
        </is>
      </c>
      <c r="C469" s="195" t="inlineStr">
        <is>
          <t>Tiktok Shipping</t>
        </is>
      </c>
      <c r="D469" s="195" t="inlineStr">
        <is>
          <t>Co-funded free shipping reimbursement</t>
        </is>
      </c>
      <c r="E469" s="196" t="n">
        <v>2.25</v>
      </c>
      <c r="F469" s="204" t="n">
        <v>0.0005806481582</v>
      </c>
      <c r="H469" s="196" t="n">
        <v>2.249419352</v>
      </c>
      <c r="J469" s="200" t="inlineStr">
        <is>
          <t>May</t>
        </is>
      </c>
      <c r="K469" s="199" t="n">
        <v>2025</v>
      </c>
      <c r="L469" s="199" t="n">
        <v>2025</v>
      </c>
    </row>
    <row r="470" ht="15" customHeight="1" s="104">
      <c r="A470" s="194" t="n">
        <v>45808</v>
      </c>
      <c r="B470" s="195" t="inlineStr">
        <is>
          <t>Tiktok</t>
        </is>
      </c>
      <c r="C470" s="195" t="inlineStr">
        <is>
          <t>MCF Shipping fees</t>
        </is>
      </c>
      <c r="D470" s="195" t="inlineStr">
        <is>
          <t>MCF Shipping fees</t>
        </is>
      </c>
      <c r="E470" s="196" t="n">
        <v>-1446.15</v>
      </c>
      <c r="F470" s="204" t="n">
        <v>-0.3732019262</v>
      </c>
      <c r="H470" s="196" t="n">
        <v>-1445.776798</v>
      </c>
      <c r="J470" s="200" t="inlineStr">
        <is>
          <t>May</t>
        </is>
      </c>
      <c r="K470" s="199" t="n">
        <v>2025</v>
      </c>
      <c r="L470" s="199" t="n">
        <v>2025</v>
      </c>
    </row>
    <row r="471" ht="15" customHeight="1" s="104">
      <c r="A471" s="194" t="n">
        <v>45808</v>
      </c>
      <c r="B471" s="195" t="inlineStr">
        <is>
          <t>Tiktok</t>
        </is>
      </c>
      <c r="C471" s="195" t="inlineStr">
        <is>
          <t>Fees</t>
        </is>
      </c>
      <c r="D471" s="195" t="inlineStr">
        <is>
          <t>Transaction fee</t>
        </is>
      </c>
      <c r="E471" s="198" t="n">
        <v>0</v>
      </c>
      <c r="F471" s="201" t="n">
        <v>0</v>
      </c>
      <c r="H471" s="198" t="n">
        <v>0</v>
      </c>
      <c r="J471" s="200" t="inlineStr">
        <is>
          <t>May</t>
        </is>
      </c>
      <c r="K471" s="199" t="n">
        <v>2025</v>
      </c>
      <c r="L471" s="199" t="n">
        <v>2025</v>
      </c>
    </row>
    <row r="472" ht="15" customHeight="1" s="104">
      <c r="A472" s="194" t="n">
        <v>45808</v>
      </c>
      <c r="B472" s="195" t="inlineStr">
        <is>
          <t>Tiktok</t>
        </is>
      </c>
      <c r="C472" s="195" t="inlineStr">
        <is>
          <t>Fees</t>
        </is>
      </c>
      <c r="D472" s="195" t="inlineStr">
        <is>
          <t>Referral fee</t>
        </is>
      </c>
      <c r="E472" s="196" t="n">
        <v>-232.56</v>
      </c>
      <c r="F472" s="204" t="n">
        <v>-0.06001579363</v>
      </c>
      <c r="H472" s="196" t="n">
        <v>-232.4999842</v>
      </c>
      <c r="J472" s="200" t="inlineStr">
        <is>
          <t>May</t>
        </is>
      </c>
      <c r="K472" s="199" t="n">
        <v>2025</v>
      </c>
      <c r="L472" s="199" t="n">
        <v>2025</v>
      </c>
    </row>
    <row r="473" ht="15" customHeight="1" s="104">
      <c r="A473" s="194" t="n">
        <v>45808</v>
      </c>
      <c r="B473" s="195" t="inlineStr">
        <is>
          <t>Tiktok</t>
        </is>
      </c>
      <c r="C473" s="195" t="inlineStr">
        <is>
          <t>Fees</t>
        </is>
      </c>
      <c r="D473" s="195" t="inlineStr">
        <is>
          <t>Refund administration fee</t>
        </is>
      </c>
      <c r="E473" s="196" t="n">
        <v>-3.16</v>
      </c>
      <c r="F473" s="204" t="n">
        <v>-0.0008154880799</v>
      </c>
      <c r="H473" s="196" t="n">
        <v>-3.159184512</v>
      </c>
      <c r="J473" s="200" t="inlineStr">
        <is>
          <t>May</t>
        </is>
      </c>
      <c r="K473" s="199" t="n">
        <v>2025</v>
      </c>
      <c r="L473" s="199" t="n">
        <v>2025</v>
      </c>
    </row>
    <row r="474" ht="15" customHeight="1" s="104">
      <c r="A474" s="194" t="n">
        <v>45808</v>
      </c>
      <c r="B474" s="195" t="inlineStr">
        <is>
          <t>Tiktok</t>
        </is>
      </c>
      <c r="C474" s="195" t="inlineStr">
        <is>
          <t>Fees</t>
        </is>
      </c>
      <c r="D474" s="195" t="inlineStr">
        <is>
          <t>Affiliate commission</t>
        </is>
      </c>
      <c r="E474" s="196" t="n">
        <v>-338.1</v>
      </c>
      <c r="F474" s="204" t="n">
        <v>-0.08725206324</v>
      </c>
      <c r="H474" s="196" t="n">
        <v>-338.0127479</v>
      </c>
      <c r="J474" s="200" t="inlineStr">
        <is>
          <t>May</t>
        </is>
      </c>
      <c r="K474" s="199" t="n">
        <v>2025</v>
      </c>
      <c r="L474" s="199" t="n">
        <v>2025</v>
      </c>
    </row>
    <row r="475" ht="15" customHeight="1" s="104">
      <c r="A475" s="194" t="n">
        <v>45808</v>
      </c>
      <c r="B475" s="195" t="inlineStr">
        <is>
          <t>Tiktok</t>
        </is>
      </c>
      <c r="C475" s="195" t="inlineStr">
        <is>
          <t>Fees</t>
        </is>
      </c>
      <c r="D475" s="195" t="inlineStr">
        <is>
          <t>Affiliate partner commission</t>
        </is>
      </c>
      <c r="E475" s="198" t="n">
        <v>0</v>
      </c>
      <c r="F475" s="201" t="n">
        <v>0</v>
      </c>
      <c r="H475" s="198" t="n">
        <v>0</v>
      </c>
      <c r="J475" s="200" t="inlineStr">
        <is>
          <t>May</t>
        </is>
      </c>
      <c r="K475" s="199" t="n">
        <v>2025</v>
      </c>
      <c r="L475" s="199" t="n">
        <v>2025</v>
      </c>
    </row>
    <row r="476" ht="15" customHeight="1" s="104">
      <c r="A476" s="194" t="n">
        <v>45808</v>
      </c>
      <c r="B476" s="195" t="inlineStr">
        <is>
          <t>Tiktok</t>
        </is>
      </c>
      <c r="C476" s="195" t="inlineStr">
        <is>
          <t>Fees</t>
        </is>
      </c>
      <c r="D476" s="195" t="inlineStr">
        <is>
          <t>Affiliate Shop Ads commission</t>
        </is>
      </c>
      <c r="E476" s="196" t="n">
        <v>-49.2</v>
      </c>
      <c r="F476" s="204" t="n">
        <v>-0.01269683973</v>
      </c>
      <c r="H476" s="196" t="n">
        <v>-49.18730316</v>
      </c>
      <c r="J476" s="200" t="inlineStr">
        <is>
          <t>May</t>
        </is>
      </c>
      <c r="K476" s="199" t="n">
        <v>2025</v>
      </c>
      <c r="L476" s="199" t="n">
        <v>2025</v>
      </c>
    </row>
    <row r="477" ht="15" customHeight="1" s="104">
      <c r="A477" s="194" t="n">
        <v>45808</v>
      </c>
      <c r="B477" s="195" t="inlineStr">
        <is>
          <t>Tiktok</t>
        </is>
      </c>
      <c r="C477" s="195" t="inlineStr">
        <is>
          <t>Fees</t>
        </is>
      </c>
      <c r="D477" s="195" t="inlineStr">
        <is>
          <t>Co-funded promotion service fee</t>
        </is>
      </c>
      <c r="E477" s="198" t="n">
        <v>0</v>
      </c>
      <c r="F477" s="201" t="n">
        <v>0</v>
      </c>
      <c r="H477" s="198" t="n">
        <v>0</v>
      </c>
      <c r="J477" s="200" t="inlineStr">
        <is>
          <t>May</t>
        </is>
      </c>
      <c r="K477" s="199" t="n">
        <v>2025</v>
      </c>
      <c r="L477" s="199" t="n">
        <v>2025</v>
      </c>
    </row>
    <row r="478" ht="15" customHeight="1" s="104">
      <c r="A478" s="194" t="n">
        <v>45808</v>
      </c>
      <c r="B478" s="195" t="inlineStr">
        <is>
          <t>Tiktok</t>
        </is>
      </c>
      <c r="C478" s="195" t="inlineStr">
        <is>
          <t xml:space="preserve">Adjustments
</t>
        </is>
      </c>
      <c r="D478" s="195" t="inlineStr">
        <is>
          <t>Logistics adjustment</t>
        </is>
      </c>
      <c r="E478" s="198" t="n">
        <v>0</v>
      </c>
      <c r="F478" s="201" t="n">
        <v>0</v>
      </c>
      <c r="H478" s="198" t="n">
        <v>0</v>
      </c>
      <c r="J478" s="200" t="inlineStr">
        <is>
          <t>May</t>
        </is>
      </c>
      <c r="K478" s="199" t="n">
        <v>2025</v>
      </c>
      <c r="L478" s="199" t="n">
        <v>2025</v>
      </c>
    </row>
    <row r="479" ht="15" customHeight="1" s="104">
      <c r="A479" s="194" t="n">
        <v>45808</v>
      </c>
      <c r="B479" s="195" t="inlineStr">
        <is>
          <t>Tiktok</t>
        </is>
      </c>
      <c r="C479" s="195" t="inlineStr">
        <is>
          <t xml:space="preserve">Adjustments
</t>
        </is>
      </c>
      <c r="D479" s="195" t="inlineStr">
        <is>
          <t>Logistics reimbursement</t>
        </is>
      </c>
      <c r="E479" s="198" t="n">
        <v>0</v>
      </c>
      <c r="F479" s="201" t="n">
        <v>0</v>
      </c>
      <c r="H479" s="198" t="n">
        <v>0</v>
      </c>
      <c r="J479" s="200" t="inlineStr">
        <is>
          <t>May</t>
        </is>
      </c>
      <c r="K479" s="199" t="n">
        <v>2025</v>
      </c>
      <c r="L479" s="199" t="n">
        <v>2025</v>
      </c>
    </row>
    <row r="480" ht="15" customHeight="1" s="104">
      <c r="A480" s="194" t="n">
        <v>45808</v>
      </c>
      <c r="B480" s="195" t="inlineStr">
        <is>
          <t>Tiktok</t>
        </is>
      </c>
      <c r="C480" s="195" t="inlineStr">
        <is>
          <t xml:space="preserve">Adjustments
</t>
        </is>
      </c>
      <c r="D480" s="195" t="inlineStr">
        <is>
          <t>Logistics deduction</t>
        </is>
      </c>
      <c r="E480" s="198" t="n">
        <v>0</v>
      </c>
      <c r="F480" s="201" t="n">
        <v>0</v>
      </c>
      <c r="H480" s="198" t="n">
        <v>0</v>
      </c>
      <c r="J480" s="200" t="inlineStr">
        <is>
          <t>May</t>
        </is>
      </c>
      <c r="K480" s="199" t="n">
        <v>2025</v>
      </c>
      <c r="L480" s="199" t="n">
        <v>2025</v>
      </c>
    </row>
    <row r="481" ht="15" customHeight="1" s="104">
      <c r="A481" s="194" t="n">
        <v>45808</v>
      </c>
      <c r="B481" s="195" t="inlineStr">
        <is>
          <t>Tiktok</t>
        </is>
      </c>
      <c r="C481" s="195" t="inlineStr">
        <is>
          <t xml:space="preserve">Adjustments
</t>
        </is>
      </c>
      <c r="D481" s="195" t="inlineStr">
        <is>
          <t>TikTok Shop reimbursement</t>
        </is>
      </c>
      <c r="E481" s="198" t="n">
        <v>0</v>
      </c>
      <c r="F481" s="201" t="n">
        <v>0</v>
      </c>
      <c r="H481" s="198" t="n">
        <v>0</v>
      </c>
      <c r="J481" s="200" t="inlineStr">
        <is>
          <t>May</t>
        </is>
      </c>
      <c r="K481" s="199" t="n">
        <v>2025</v>
      </c>
      <c r="L481" s="199" t="n">
        <v>2025</v>
      </c>
    </row>
    <row r="482" ht="15" customHeight="1" s="104">
      <c r="A482" s="194" t="n">
        <v>45808</v>
      </c>
      <c r="B482" s="195" t="inlineStr">
        <is>
          <t>Tiktok</t>
        </is>
      </c>
      <c r="C482" s="195" t="inlineStr">
        <is>
          <t xml:space="preserve">Adjustments
</t>
        </is>
      </c>
      <c r="D482" s="195" t="inlineStr">
        <is>
          <t>Policy violation deduction</t>
        </is>
      </c>
      <c r="E482" s="198" t="n">
        <v>0</v>
      </c>
      <c r="F482" s="201" t="n">
        <v>0</v>
      </c>
      <c r="H482" s="198" t="n">
        <v>0</v>
      </c>
      <c r="J482" s="200" t="inlineStr">
        <is>
          <t>May</t>
        </is>
      </c>
      <c r="K482" s="199" t="n">
        <v>2025</v>
      </c>
      <c r="L482" s="199" t="n">
        <v>2025</v>
      </c>
    </row>
    <row r="483" ht="15" customHeight="1" s="104">
      <c r="A483" s="194" t="n">
        <v>45808</v>
      </c>
      <c r="B483" s="195" t="inlineStr">
        <is>
          <t>Tiktok</t>
        </is>
      </c>
      <c r="C483" s="195" t="inlineStr">
        <is>
          <t xml:space="preserve">Adjustments
</t>
        </is>
      </c>
      <c r="D483" s="195" t="inlineStr">
        <is>
          <t>TikTok fees adjustment</t>
        </is>
      </c>
      <c r="E483" s="198" t="n">
        <v>0</v>
      </c>
      <c r="F483" s="201" t="n">
        <v>0</v>
      </c>
      <c r="H483" s="198" t="n">
        <v>0</v>
      </c>
      <c r="J483" s="200" t="inlineStr">
        <is>
          <t>May</t>
        </is>
      </c>
      <c r="K483" s="199" t="n">
        <v>2025</v>
      </c>
      <c r="L483" s="199" t="n">
        <v>2025</v>
      </c>
    </row>
    <row r="484" ht="15" customHeight="1" s="104">
      <c r="A484" s="194" t="n">
        <v>45808</v>
      </c>
      <c r="B484" s="195" t="inlineStr">
        <is>
          <t>Tiktok</t>
        </is>
      </c>
      <c r="C484" s="195" t="inlineStr">
        <is>
          <t xml:space="preserve">Adjustments
</t>
        </is>
      </c>
      <c r="D484" s="195" t="inlineStr">
        <is>
          <t>Promotion adjustment</t>
        </is>
      </c>
      <c r="E484" s="198" t="n">
        <v>0</v>
      </c>
      <c r="F484" s="201" t="n">
        <v>0</v>
      </c>
      <c r="H484" s="198" t="n">
        <v>0</v>
      </c>
      <c r="J484" s="200" t="inlineStr">
        <is>
          <t>May</t>
        </is>
      </c>
      <c r="K484" s="199" t="n">
        <v>2025</v>
      </c>
      <c r="L484" s="199" t="n">
        <v>2025</v>
      </c>
    </row>
    <row r="485" ht="15" customHeight="1" s="104">
      <c r="A485" s="194" t="n">
        <v>45808</v>
      </c>
      <c r="B485" s="195" t="inlineStr">
        <is>
          <t>Tiktok</t>
        </is>
      </c>
      <c r="C485" s="195" t="inlineStr">
        <is>
          <t xml:space="preserve">Adjustments
</t>
        </is>
      </c>
      <c r="D485" s="195" t="inlineStr">
        <is>
          <t>Adjustment from settlement account</t>
        </is>
      </c>
      <c r="E485" s="198" t="n">
        <v>0</v>
      </c>
      <c r="F485" s="201" t="n">
        <v>0</v>
      </c>
      <c r="H485" s="198" t="n">
        <v>0</v>
      </c>
      <c r="J485" s="200" t="inlineStr">
        <is>
          <t>May</t>
        </is>
      </c>
      <c r="K485" s="199" t="n">
        <v>2025</v>
      </c>
      <c r="L485" s="199" t="n">
        <v>2025</v>
      </c>
    </row>
    <row r="486" ht="15" customHeight="1" s="104">
      <c r="A486" s="194" t="n">
        <v>45808</v>
      </c>
      <c r="B486" s="195" t="inlineStr">
        <is>
          <t>Tiktok</t>
        </is>
      </c>
      <c r="C486" s="195" t="inlineStr">
        <is>
          <t xml:space="preserve">Adjustments
</t>
        </is>
      </c>
      <c r="D486" s="195" t="inlineStr">
        <is>
          <t>Chargeback</t>
        </is>
      </c>
      <c r="E486" s="196" t="n">
        <v>-40.35</v>
      </c>
      <c r="F486" s="204" t="n">
        <v>-0.01041295697</v>
      </c>
      <c r="H486" s="196" t="n">
        <v>-40.33958704</v>
      </c>
      <c r="J486" s="200" t="inlineStr">
        <is>
          <t>May</t>
        </is>
      </c>
      <c r="K486" s="199" t="n">
        <v>2025</v>
      </c>
      <c r="L486" s="199" t="n">
        <v>2025</v>
      </c>
    </row>
    <row r="487" ht="15" customHeight="1" s="104">
      <c r="A487" s="194" t="n">
        <v>45808</v>
      </c>
      <c r="B487" s="195" t="inlineStr">
        <is>
          <t>Tiktok</t>
        </is>
      </c>
      <c r="C487" s="195" t="inlineStr">
        <is>
          <t xml:space="preserve">Adjustments
</t>
        </is>
      </c>
      <c r="D487" s="195" t="inlineStr">
        <is>
          <t>Other adjustment</t>
        </is>
      </c>
      <c r="E487" s="198" t="n">
        <v>0</v>
      </c>
      <c r="F487" s="201" t="n">
        <v>0</v>
      </c>
      <c r="H487" s="198" t="n">
        <v>0</v>
      </c>
      <c r="J487" s="200" t="inlineStr">
        <is>
          <t>May</t>
        </is>
      </c>
      <c r="K487" s="199" t="n">
        <v>2025</v>
      </c>
      <c r="L487" s="199" t="n">
        <v>2025</v>
      </c>
    </row>
    <row r="488" ht="15" customHeight="1" s="104">
      <c r="A488" s="194" t="n">
        <v>45808</v>
      </c>
      <c r="B488" s="195" t="inlineStr">
        <is>
          <t>Tiktok</t>
        </is>
      </c>
      <c r="C488" s="195" t="inlineStr">
        <is>
          <t xml:space="preserve">Adjustments
</t>
        </is>
      </c>
      <c r="D488" s="195" t="inlineStr">
        <is>
          <t>Top up ads balance using GMV payments</t>
        </is>
      </c>
      <c r="E488" s="198" t="n">
        <v>0</v>
      </c>
      <c r="F488" s="201" t="n">
        <v>0</v>
      </c>
      <c r="H488" s="198" t="n">
        <v>0</v>
      </c>
      <c r="J488" s="200" t="inlineStr">
        <is>
          <t>May</t>
        </is>
      </c>
      <c r="K488" s="199" t="n">
        <v>2025</v>
      </c>
      <c r="L488" s="199" t="n">
        <v>2025</v>
      </c>
    </row>
    <row r="489" ht="15" customHeight="1" s="104">
      <c r="A489" s="194" t="n">
        <v>45808</v>
      </c>
      <c r="B489" s="195" t="inlineStr">
        <is>
          <t>Tiktok</t>
        </is>
      </c>
      <c r="C489" s="195" t="inlineStr">
        <is>
          <t xml:space="preserve">Adjustments
</t>
        </is>
      </c>
      <c r="D489" s="195" t="inlineStr">
        <is>
          <t>FBT warehouse service fee</t>
        </is>
      </c>
      <c r="E489" s="196" t="n">
        <v>-6.22</v>
      </c>
      <c r="F489" s="204" t="n">
        <v>-0.001605169575</v>
      </c>
      <c r="H489" s="196" t="n">
        <v>-6.21839483</v>
      </c>
      <c r="J489" s="200" t="inlineStr">
        <is>
          <t>May</t>
        </is>
      </c>
      <c r="K489" s="199" t="n">
        <v>2025</v>
      </c>
      <c r="L489" s="199" t="n">
        <v>2025</v>
      </c>
    </row>
    <row r="490" ht="15" customHeight="1" s="104">
      <c r="A490" s="194" t="n">
        <v>45808</v>
      </c>
      <c r="B490" s="195" t="inlineStr">
        <is>
          <t>Tiktok</t>
        </is>
      </c>
      <c r="C490" s="195" t="inlineStr">
        <is>
          <t xml:space="preserve">Adjustments
</t>
        </is>
      </c>
      <c r="D490" s="195" t="inlineStr">
        <is>
          <t>Co-funded creator activity</t>
        </is>
      </c>
      <c r="E490" s="198" t="n">
        <v>0</v>
      </c>
      <c r="F490" s="201" t="n">
        <v>0</v>
      </c>
      <c r="H490" s="198" t="n">
        <v>0</v>
      </c>
      <c r="J490" s="200" t="inlineStr">
        <is>
          <t>May</t>
        </is>
      </c>
      <c r="K490" s="199" t="n">
        <v>2025</v>
      </c>
      <c r="L490" s="199" t="n">
        <v>2025</v>
      </c>
    </row>
    <row r="491" ht="15" customHeight="1" s="104">
      <c r="A491" s="194" t="n">
        <v>45808</v>
      </c>
      <c r="B491" s="195" t="inlineStr">
        <is>
          <t>Tiktok</t>
        </is>
      </c>
      <c r="C491" s="195" t="inlineStr">
        <is>
          <t xml:space="preserve">Adjustments
</t>
        </is>
      </c>
      <c r="D491" s="195" t="inlineStr">
        <is>
          <t>Rebate</t>
        </is>
      </c>
      <c r="E491" s="198" t="n">
        <v>0</v>
      </c>
      <c r="F491" s="201" t="n">
        <v>0</v>
      </c>
      <c r="H491" s="198" t="n">
        <v>0</v>
      </c>
      <c r="J491" s="200" t="inlineStr">
        <is>
          <t>May</t>
        </is>
      </c>
      <c r="K491" s="199" t="n">
        <v>2025</v>
      </c>
      <c r="L491" s="199" t="n">
        <v>2025</v>
      </c>
    </row>
    <row r="492" ht="15" customHeight="1" s="104">
      <c r="A492" s="194" t="n">
        <v>45808</v>
      </c>
      <c r="B492" s="195" t="inlineStr">
        <is>
          <t>Tiktok</t>
        </is>
      </c>
      <c r="C492" s="195" t="inlineStr">
        <is>
          <t>Cost of goods</t>
        </is>
      </c>
      <c r="D492" s="195" t="inlineStr">
        <is>
          <t>Cost of goods sold</t>
        </is>
      </c>
      <c r="E492" s="196" t="n">
        <v>-1275.52</v>
      </c>
      <c r="F492" s="204" t="n">
        <v>-0.3291681505</v>
      </c>
      <c r="H492" s="196" t="n">
        <v>-1275.190832</v>
      </c>
      <c r="J492" s="200" t="inlineStr">
        <is>
          <t>May</t>
        </is>
      </c>
      <c r="K492" s="199" t="n">
        <v>2025</v>
      </c>
      <c r="L492" s="199" t="n">
        <v>2025</v>
      </c>
    </row>
    <row r="493" ht="15" customHeight="1" s="104">
      <c r="A493" s="194" t="n">
        <v>45808</v>
      </c>
      <c r="B493" s="195" t="inlineStr">
        <is>
          <t>Tiktok</t>
        </is>
      </c>
      <c r="C493" s="195" t="inlineStr">
        <is>
          <t>Advertising cost</t>
        </is>
      </c>
      <c r="D493" s="195" t="inlineStr">
        <is>
          <t>Advertising Cost</t>
        </is>
      </c>
      <c r="E493" s="196" t="n">
        <v>-207.79</v>
      </c>
      <c r="F493" s="204" t="n">
        <v>-0.05362350257</v>
      </c>
      <c r="H493" s="196" t="n">
        <v>-207.7363765</v>
      </c>
      <c r="J493" s="200" t="inlineStr">
        <is>
          <t>May</t>
        </is>
      </c>
      <c r="K493" s="199" t="n">
        <v>2025</v>
      </c>
      <c r="L493" s="199" t="n">
        <v>2025</v>
      </c>
    </row>
    <row r="494" ht="15" customHeight="1" s="104">
      <c r="A494" s="194" t="n">
        <v>45838</v>
      </c>
      <c r="B494" s="195" t="inlineStr">
        <is>
          <t>Amazon US</t>
        </is>
      </c>
      <c r="C494" s="195" t="inlineStr">
        <is>
          <t>Advertising cost</t>
        </is>
      </c>
      <c r="D494" s="195" t="inlineStr">
        <is>
          <t>Sponsored Products</t>
        </is>
      </c>
      <c r="E494" s="196" t="n">
        <v>-7502.93</v>
      </c>
      <c r="F494" s="204" t="n">
        <v>-0.08105038739000001</v>
      </c>
      <c r="H494" s="196" t="n">
        <v>-7502.93</v>
      </c>
      <c r="J494" s="200" t="inlineStr">
        <is>
          <t>Jun</t>
        </is>
      </c>
      <c r="K494" s="199" t="n">
        <v>2025</v>
      </c>
      <c r="L494" s="199" t="n">
        <v>2025</v>
      </c>
    </row>
    <row r="495" ht="15" customHeight="1" s="104">
      <c r="A495" s="194" t="n">
        <v>45838</v>
      </c>
      <c r="B495" s="195" t="inlineStr">
        <is>
          <t>Amazon US</t>
        </is>
      </c>
      <c r="C495" s="195" t="inlineStr">
        <is>
          <t>Advertising cost</t>
        </is>
      </c>
      <c r="D495" s="195" t="inlineStr">
        <is>
          <t>Sponsored Brands Video</t>
        </is>
      </c>
      <c r="E495" s="198" t="n">
        <v>0</v>
      </c>
      <c r="F495" s="201" t="n">
        <v>0</v>
      </c>
      <c r="H495" s="198" t="n">
        <v>0</v>
      </c>
      <c r="J495" s="200" t="inlineStr">
        <is>
          <t>Jun</t>
        </is>
      </c>
      <c r="K495" s="199" t="n">
        <v>2025</v>
      </c>
      <c r="L495" s="199" t="n">
        <v>2025</v>
      </c>
    </row>
    <row r="496" ht="15" customHeight="1" s="104">
      <c r="A496" s="194" t="n">
        <v>45838</v>
      </c>
      <c r="B496" s="195" t="inlineStr">
        <is>
          <t>Amazon US</t>
        </is>
      </c>
      <c r="C496" s="195" t="inlineStr">
        <is>
          <t>Advertising cost</t>
        </is>
      </c>
      <c r="D496" s="195" t="inlineStr">
        <is>
          <t>Sponsored Display</t>
        </is>
      </c>
      <c r="E496" s="198" t="n">
        <v>0</v>
      </c>
      <c r="F496" s="201" t="n">
        <v>0</v>
      </c>
      <c r="H496" s="198" t="n">
        <v>0</v>
      </c>
      <c r="J496" s="200" t="inlineStr">
        <is>
          <t>Jun</t>
        </is>
      </c>
      <c r="K496" s="199" t="n">
        <v>2025</v>
      </c>
      <c r="L496" s="199" t="n">
        <v>2025</v>
      </c>
    </row>
    <row r="497" ht="15" customHeight="1" s="104">
      <c r="A497" s="194" t="n">
        <v>45838</v>
      </c>
      <c r="B497" s="195" t="inlineStr">
        <is>
          <t>Amazon US</t>
        </is>
      </c>
      <c r="C497" s="195" t="inlineStr">
        <is>
          <t>Advertising cost</t>
        </is>
      </c>
      <c r="D497" s="195" t="inlineStr">
        <is>
          <t>Sponsored Brands</t>
        </is>
      </c>
      <c r="E497" s="198" t="n">
        <v>0</v>
      </c>
      <c r="F497" s="201" t="n">
        <v>0</v>
      </c>
      <c r="H497" s="198" t="n">
        <v>0</v>
      </c>
      <c r="J497" s="200" t="inlineStr">
        <is>
          <t>Jun</t>
        </is>
      </c>
      <c r="K497" s="199" t="n">
        <v>2025</v>
      </c>
      <c r="L497" s="199" t="n">
        <v>2025</v>
      </c>
    </row>
    <row r="498" ht="15" customHeight="1" s="104">
      <c r="A498" s="194" t="n">
        <v>45838</v>
      </c>
      <c r="B498" s="195" t="inlineStr">
        <is>
          <t>Amazon US</t>
        </is>
      </c>
      <c r="C498" s="195" t="inlineStr">
        <is>
          <t>Refund cost</t>
        </is>
      </c>
      <c r="D498" s="195" t="inlineStr">
        <is>
          <t>Refunded amount</t>
        </is>
      </c>
      <c r="E498" s="196" t="n">
        <v>-9580.91</v>
      </c>
      <c r="F498" s="204" t="n">
        <v>-0.1034977625</v>
      </c>
      <c r="H498" s="196" t="n">
        <v>-9580.91</v>
      </c>
      <c r="J498" s="200" t="inlineStr">
        <is>
          <t>Jun</t>
        </is>
      </c>
      <c r="K498" s="199" t="n">
        <v>2025</v>
      </c>
      <c r="L498" s="199" t="n">
        <v>2025</v>
      </c>
    </row>
    <row r="499" ht="15" customHeight="1" s="104">
      <c r="A499" s="194" t="n">
        <v>45838</v>
      </c>
      <c r="B499" s="195" t="inlineStr">
        <is>
          <t>Amazon US</t>
        </is>
      </c>
      <c r="C499" s="195" t="inlineStr">
        <is>
          <t>Refund cost</t>
        </is>
      </c>
      <c r="D499" s="195" t="inlineStr">
        <is>
          <t>Refund commission</t>
        </is>
      </c>
      <c r="E499" s="196" t="n">
        <v>-286.85</v>
      </c>
      <c r="F499" s="204" t="n">
        <v>-0.003098696592</v>
      </c>
      <c r="H499" s="196" t="n">
        <v>-286.85</v>
      </c>
      <c r="J499" s="200" t="inlineStr">
        <is>
          <t>Jun</t>
        </is>
      </c>
      <c r="K499" s="199" t="n">
        <v>2025</v>
      </c>
      <c r="L499" s="199" t="n">
        <v>2025</v>
      </c>
    </row>
    <row r="500" ht="15" customHeight="1" s="104">
      <c r="A500" s="194" t="n">
        <v>45838</v>
      </c>
      <c r="B500" s="195" t="inlineStr">
        <is>
          <t>Amazon US</t>
        </is>
      </c>
      <c r="C500" s="195" t="inlineStr">
        <is>
          <t>Refund cost</t>
        </is>
      </c>
      <c r="D500" s="195" t="inlineStr">
        <is>
          <t>Promotion</t>
        </is>
      </c>
      <c r="E500" s="196" t="n">
        <v>20.36</v>
      </c>
      <c r="F500" s="204" t="n">
        <v>0.0002199388622</v>
      </c>
      <c r="H500" s="196" t="n">
        <v>20.36</v>
      </c>
      <c r="J500" s="200" t="inlineStr">
        <is>
          <t>Jun</t>
        </is>
      </c>
      <c r="K500" s="199" t="n">
        <v>2025</v>
      </c>
      <c r="L500" s="199" t="n">
        <v>2025</v>
      </c>
    </row>
    <row r="501" ht="15" customHeight="1" s="104">
      <c r="A501" s="194" t="n">
        <v>45838</v>
      </c>
      <c r="B501" s="195" t="inlineStr">
        <is>
          <t>Amazon US</t>
        </is>
      </c>
      <c r="C501" s="195" t="inlineStr">
        <is>
          <t>Refund cost</t>
        </is>
      </c>
      <c r="D501" s="195" t="inlineStr">
        <is>
          <t>Refunded referral fee</t>
        </is>
      </c>
      <c r="E501" s="196" t="n">
        <v>1434.34</v>
      </c>
      <c r="F501" s="204" t="n">
        <v>0.01549445519</v>
      </c>
      <c r="H501" s="196" t="n">
        <v>1434.34</v>
      </c>
      <c r="J501" s="200" t="inlineStr">
        <is>
          <t>Jun</t>
        </is>
      </c>
      <c r="K501" s="199" t="n">
        <v>2025</v>
      </c>
      <c r="L501" s="199" t="n">
        <v>2025</v>
      </c>
    </row>
    <row r="502" ht="15" customHeight="1" s="104">
      <c r="A502" s="194" t="n">
        <v>45838</v>
      </c>
      <c r="B502" s="195" t="inlineStr">
        <is>
          <t>Amazon US</t>
        </is>
      </c>
      <c r="C502" s="195" t="inlineStr">
        <is>
          <t>Refund cost</t>
        </is>
      </c>
      <c r="D502" s="195" t="inlineStr">
        <is>
          <t>Value of returned items</t>
        </is>
      </c>
      <c r="E502" s="196" t="n">
        <v>1432.92</v>
      </c>
      <c r="F502" s="204" t="n">
        <v>0.01547911564</v>
      </c>
      <c r="H502" s="196" t="n">
        <v>1432.92</v>
      </c>
      <c r="J502" s="200" t="inlineStr">
        <is>
          <t>Jun</t>
        </is>
      </c>
      <c r="K502" s="199" t="n">
        <v>2025</v>
      </c>
      <c r="L502" s="199" t="n">
        <v>2025</v>
      </c>
    </row>
    <row r="503" ht="15" customHeight="1" s="104">
      <c r="A503" s="194" t="n">
        <v>45838</v>
      </c>
      <c r="B503" s="195" t="inlineStr">
        <is>
          <t>Amazon US</t>
        </is>
      </c>
      <c r="C503" s="195" t="inlineStr">
        <is>
          <t>Amazon fees</t>
        </is>
      </c>
      <c r="D503" s="195" t="inlineStr">
        <is>
          <t>FBA per unit fulfilment fee</t>
        </is>
      </c>
      <c r="E503" s="196" t="n">
        <v>-14621.04</v>
      </c>
      <c r="F503" s="204" t="n">
        <v>-0.1579437574</v>
      </c>
      <c r="H503" s="196" t="n">
        <v>-14621.04</v>
      </c>
      <c r="J503" s="200" t="inlineStr">
        <is>
          <t>Jun</t>
        </is>
      </c>
      <c r="K503" s="199" t="n">
        <v>2025</v>
      </c>
      <c r="L503" s="199" t="n">
        <v>2025</v>
      </c>
    </row>
    <row r="504" ht="15" customHeight="1" s="104">
      <c r="A504" s="194" t="n">
        <v>45838</v>
      </c>
      <c r="B504" s="195" t="inlineStr">
        <is>
          <t>Amazon US</t>
        </is>
      </c>
      <c r="C504" s="195" t="inlineStr">
        <is>
          <t>Amazon fees</t>
        </is>
      </c>
      <c r="D504" s="195" t="inlineStr">
        <is>
          <t>Referral fee</t>
        </is>
      </c>
      <c r="E504" s="196" t="n">
        <v>-13869.66</v>
      </c>
      <c r="F504" s="204" t="n">
        <v>-0.1498269764</v>
      </c>
      <c r="H504" s="196" t="n">
        <v>-13869.66</v>
      </c>
      <c r="J504" s="200" t="inlineStr">
        <is>
          <t>Jun</t>
        </is>
      </c>
      <c r="K504" s="199" t="n">
        <v>2025</v>
      </c>
      <c r="L504" s="199" t="n">
        <v>2025</v>
      </c>
    </row>
    <row r="505" ht="15" customHeight="1" s="104">
      <c r="A505" s="194" t="n">
        <v>45838</v>
      </c>
      <c r="B505" s="195" t="inlineStr">
        <is>
          <t>Amazon US</t>
        </is>
      </c>
      <c r="C505" s="195" t="inlineStr">
        <is>
          <t>Amazon fees</t>
        </is>
      </c>
      <c r="D505" s="195" t="inlineStr">
        <is>
          <t>FBA storage fee</t>
        </is>
      </c>
      <c r="E505" s="196" t="n">
        <v>-1362.83</v>
      </c>
      <c r="F505" s="204" t="n">
        <v>-0.01472196854</v>
      </c>
      <c r="H505" s="196" t="n">
        <v>-1362.83</v>
      </c>
      <c r="J505" s="200" t="inlineStr">
        <is>
          <t>Jun</t>
        </is>
      </c>
      <c r="K505" s="199" t="n">
        <v>2025</v>
      </c>
      <c r="L505" s="199" t="n">
        <v>2025</v>
      </c>
    </row>
    <row r="506" ht="15" customHeight="1" s="104">
      <c r="A506" s="194" t="n">
        <v>45838</v>
      </c>
      <c r="B506" s="195" t="inlineStr">
        <is>
          <t>Amazon US</t>
        </is>
      </c>
      <c r="C506" s="195" t="inlineStr">
        <is>
          <t>Amazon fees</t>
        </is>
      </c>
      <c r="D506" s="195" t="inlineStr">
        <is>
          <t>FBA disposal fee</t>
        </is>
      </c>
      <c r="E506" s="196" t="n">
        <v>-1192.14</v>
      </c>
      <c r="F506" s="204" t="n">
        <v>-0.01287809014</v>
      </c>
      <c r="H506" s="196" t="n">
        <v>-1192.14</v>
      </c>
      <c r="J506" s="200" t="inlineStr">
        <is>
          <t>Jun</t>
        </is>
      </c>
      <c r="K506" s="199" t="n">
        <v>2025</v>
      </c>
      <c r="L506" s="199" t="n">
        <v>2025</v>
      </c>
    </row>
    <row r="507" ht="15" customHeight="1" s="104">
      <c r="A507" s="194" t="n">
        <v>45838</v>
      </c>
      <c r="B507" s="195" t="inlineStr">
        <is>
          <t>Amazon US</t>
        </is>
      </c>
      <c r="C507" s="195" t="inlineStr">
        <is>
          <t>Amazon fees</t>
        </is>
      </c>
      <c r="D507" s="195" t="inlineStr">
        <is>
          <t>FBA inbound convenience fee</t>
        </is>
      </c>
      <c r="E507" s="196" t="n">
        <v>-48.96</v>
      </c>
      <c r="F507" s="204" t="n">
        <v>-0.0005288903091</v>
      </c>
      <c r="H507" s="196" t="n">
        <v>-48.96</v>
      </c>
      <c r="J507" s="200" t="inlineStr">
        <is>
          <t>Jun</t>
        </is>
      </c>
      <c r="K507" s="199" t="n">
        <v>2025</v>
      </c>
      <c r="L507" s="199" t="n">
        <v>2025</v>
      </c>
    </row>
    <row r="508" ht="15" customHeight="1" s="104">
      <c r="A508" s="194" t="n">
        <v>45838</v>
      </c>
      <c r="B508" s="195" t="inlineStr">
        <is>
          <t>Amazon US</t>
        </is>
      </c>
      <c r="C508" s="195" t="inlineStr">
        <is>
          <t>Amazon fees</t>
        </is>
      </c>
      <c r="D508" s="195" t="inlineStr">
        <is>
          <t>Liquidations brokerage fee</t>
        </is>
      </c>
      <c r="E508" s="196" t="n">
        <v>-16.12</v>
      </c>
      <c r="F508" s="204" t="n">
        <v>-0.0001741362701</v>
      </c>
      <c r="H508" s="196" t="n">
        <v>-16.12</v>
      </c>
      <c r="J508" s="200" t="inlineStr">
        <is>
          <t>Jun</t>
        </is>
      </c>
      <c r="K508" s="199" t="n">
        <v>2025</v>
      </c>
      <c r="L508" s="199" t="n">
        <v>2025</v>
      </c>
    </row>
    <row r="509" ht="15" customHeight="1" s="104">
      <c r="A509" s="194" t="n">
        <v>45838</v>
      </c>
      <c r="B509" s="195" t="inlineStr">
        <is>
          <t>Amazon US</t>
        </is>
      </c>
      <c r="C509" s="195" t="inlineStr">
        <is>
          <t>Amazon fees</t>
        </is>
      </c>
      <c r="D509" s="195" t="inlineStr">
        <is>
          <t>Customer Return HRR Unit Fee</t>
        </is>
      </c>
      <c r="E509" s="196" t="n">
        <v>-4.32</v>
      </c>
      <c r="F509" s="204" t="n">
        <v>-4.666679198e-05</v>
      </c>
      <c r="H509" s="196" t="n">
        <v>-4.32</v>
      </c>
      <c r="J509" s="200" t="inlineStr">
        <is>
          <t>Jun</t>
        </is>
      </c>
      <c r="K509" s="199" t="n">
        <v>2025</v>
      </c>
      <c r="L509" s="199" t="n">
        <v>2025</v>
      </c>
    </row>
    <row r="510" ht="15" customHeight="1" s="104">
      <c r="A510" s="194" t="n">
        <v>45838</v>
      </c>
      <c r="B510" s="195" t="inlineStr">
        <is>
          <t>Amazon US</t>
        </is>
      </c>
      <c r="C510" s="195" t="inlineStr">
        <is>
          <t>Amazon fees</t>
        </is>
      </c>
      <c r="D510" s="195" t="inlineStr">
        <is>
          <t>Get paid faster fee</t>
        </is>
      </c>
      <c r="E510" s="196" t="n">
        <v>-50.12</v>
      </c>
      <c r="F510" s="204" t="n">
        <v>-0.0005414212069</v>
      </c>
      <c r="H510" s="196" t="n">
        <v>-50.12</v>
      </c>
      <c r="J510" s="200" t="inlineStr">
        <is>
          <t>Jun</t>
        </is>
      </c>
      <c r="K510" s="199" t="n">
        <v>2025</v>
      </c>
      <c r="L510" s="199" t="n">
        <v>2025</v>
      </c>
    </row>
    <row r="511" ht="15" customHeight="1" s="104">
      <c r="A511" s="194" t="n">
        <v>45838</v>
      </c>
      <c r="B511" s="195" t="inlineStr">
        <is>
          <t>Amazon US</t>
        </is>
      </c>
      <c r="C511" s="195" t="inlineStr">
        <is>
          <t>Amazon fees</t>
        </is>
      </c>
      <c r="D511" s="195" t="inlineStr">
        <is>
          <t>Compensated clawback</t>
        </is>
      </c>
      <c r="E511" s="196" t="n">
        <v>-71.18000000000001</v>
      </c>
      <c r="F511" s="204" t="n">
        <v>-0.0007689218178</v>
      </c>
      <c r="H511" s="196" t="n">
        <v>-71.18000000000001</v>
      </c>
      <c r="J511" s="200" t="inlineStr">
        <is>
          <t>Jun</t>
        </is>
      </c>
      <c r="K511" s="199" t="n">
        <v>2025</v>
      </c>
      <c r="L511" s="199" t="n">
        <v>2025</v>
      </c>
    </row>
    <row r="512" ht="15" customHeight="1" s="104">
      <c r="A512" s="194" t="n">
        <v>45838</v>
      </c>
      <c r="B512" s="195" t="inlineStr">
        <is>
          <t>Amazon US</t>
        </is>
      </c>
      <c r="C512" s="195" t="inlineStr">
        <is>
          <t>Amazon fees</t>
        </is>
      </c>
      <c r="D512" s="195" t="inlineStr">
        <is>
          <t>Free replacement refund items</t>
        </is>
      </c>
      <c r="E512" s="196" t="n">
        <v>19.74</v>
      </c>
      <c r="F512" s="204" t="n">
        <v>0.0002132413133</v>
      </c>
      <c r="H512" s="196" t="n">
        <v>19.74</v>
      </c>
      <c r="J512" s="200" t="inlineStr">
        <is>
          <t>Jun</t>
        </is>
      </c>
      <c r="K512" s="199" t="n">
        <v>2025</v>
      </c>
      <c r="L512" s="199" t="n">
        <v>2025</v>
      </c>
    </row>
    <row r="513" ht="15" customHeight="1" s="104">
      <c r="A513" s="194" t="n">
        <v>45838</v>
      </c>
      <c r="B513" s="195" t="inlineStr">
        <is>
          <t>Amazon US</t>
        </is>
      </c>
      <c r="C513" s="195" t="inlineStr">
        <is>
          <t>Amazon fees</t>
        </is>
      </c>
      <c r="D513" s="195" t="inlineStr">
        <is>
          <t>Warehouse lost</t>
        </is>
      </c>
      <c r="E513" s="196" t="n">
        <v>12.13</v>
      </c>
      <c r="F513" s="204" t="n">
        <v>0.0001310343025</v>
      </c>
      <c r="H513" s="196" t="n">
        <v>12.13</v>
      </c>
      <c r="J513" s="200" t="inlineStr">
        <is>
          <t>Jun</t>
        </is>
      </c>
      <c r="K513" s="199" t="n">
        <v>2025</v>
      </c>
      <c r="L513" s="199" t="n">
        <v>2025</v>
      </c>
    </row>
    <row r="514" ht="15" customHeight="1" s="104">
      <c r="A514" s="194" t="n">
        <v>45838</v>
      </c>
      <c r="B514" s="195" t="inlineStr">
        <is>
          <t>Amazon US</t>
        </is>
      </c>
      <c r="C514" s="195" t="inlineStr">
        <is>
          <t>Amazon fees</t>
        </is>
      </c>
      <c r="D514" s="195" t="inlineStr">
        <is>
          <t>Missing from inbound</t>
        </is>
      </c>
      <c r="E514" s="196" t="n">
        <v>651.6900000000001</v>
      </c>
      <c r="F514" s="204" t="n">
        <v>0.007039880014</v>
      </c>
      <c r="H514" s="196" t="n">
        <v>651.6900000000001</v>
      </c>
      <c r="J514" s="200" t="inlineStr">
        <is>
          <t>Jun</t>
        </is>
      </c>
      <c r="K514" s="199" t="n">
        <v>2025</v>
      </c>
      <c r="L514" s="199" t="n">
        <v>2025</v>
      </c>
    </row>
    <row r="515" ht="15" customHeight="1" s="104">
      <c r="A515" s="194" t="n">
        <v>45838</v>
      </c>
      <c r="B515" s="195" t="inlineStr">
        <is>
          <t>Amazon US</t>
        </is>
      </c>
      <c r="C515" s="195" t="inlineStr">
        <is>
          <t>Amazon fees</t>
        </is>
      </c>
      <c r="D515" s="195" t="inlineStr">
        <is>
          <t>Warehouse damage</t>
        </is>
      </c>
      <c r="E515" s="196" t="n">
        <v>56.42</v>
      </c>
      <c r="F515" s="204" t="n">
        <v>0.0006094769452</v>
      </c>
      <c r="H515" s="196" t="n">
        <v>56.42</v>
      </c>
      <c r="J515" s="200" t="inlineStr">
        <is>
          <t>Jun</t>
        </is>
      </c>
      <c r="K515" s="199" t="n">
        <v>2025</v>
      </c>
      <c r="L515" s="199" t="n">
        <v>2025</v>
      </c>
    </row>
    <row r="516" ht="15" customHeight="1" s="104">
      <c r="A516" s="194" t="n">
        <v>45838</v>
      </c>
      <c r="B516" s="195" t="inlineStr">
        <is>
          <t>Amazon US</t>
        </is>
      </c>
      <c r="C516" s="195" t="inlineStr">
        <is>
          <t>Amazon fees</t>
        </is>
      </c>
      <c r="D516" s="195" t="inlineStr">
        <is>
          <t>Liquidations revenue</t>
        </is>
      </c>
      <c r="E516" s="196" t="n">
        <v>29.96</v>
      </c>
      <c r="F516" s="204" t="n">
        <v>0.0003236428443</v>
      </c>
      <c r="H516" s="196" t="n">
        <v>29.96</v>
      </c>
      <c r="J516" s="200" t="inlineStr">
        <is>
          <t>Jun</t>
        </is>
      </c>
      <c r="K516" s="199" t="n">
        <v>2025</v>
      </c>
      <c r="L516" s="199" t="n">
        <v>2025</v>
      </c>
    </row>
    <row r="517" ht="15" customHeight="1" s="104">
      <c r="A517" s="194" t="n">
        <v>45838</v>
      </c>
      <c r="B517" s="195" t="inlineStr">
        <is>
          <t>Amazon US</t>
        </is>
      </c>
      <c r="C517" s="195" t="inlineStr">
        <is>
          <t>Amazon fees</t>
        </is>
      </c>
      <c r="D517" s="195" t="inlineStr">
        <is>
          <t>Reversal reimbursement</t>
        </is>
      </c>
      <c r="E517" s="196" t="n">
        <v>319.39</v>
      </c>
      <c r="F517" s="204" t="n">
        <v>0.003450209882</v>
      </c>
      <c r="H517" s="196" t="n">
        <v>319.39</v>
      </c>
      <c r="J517" s="200" t="inlineStr">
        <is>
          <t>Jun</t>
        </is>
      </c>
      <c r="K517" s="199" t="n">
        <v>2025</v>
      </c>
      <c r="L517" s="199" t="n">
        <v>2025</v>
      </c>
    </row>
    <row r="518" ht="15" customHeight="1" s="104">
      <c r="A518" s="194" t="n">
        <v>45838</v>
      </c>
      <c r="B518" s="195" t="inlineStr">
        <is>
          <t>Amazon US</t>
        </is>
      </c>
      <c r="C518" s="195" t="inlineStr">
        <is>
          <t>Amazon fees</t>
        </is>
      </c>
      <c r="D518" s="195" t="inlineStr">
        <is>
          <t>Vine Fee</t>
        </is>
      </c>
      <c r="E518" s="196" t="n">
        <v>-75</v>
      </c>
      <c r="F518" s="204" t="n">
        <v>-0.0008101873607</v>
      </c>
      <c r="H518" s="196" t="n">
        <v>-75</v>
      </c>
      <c r="J518" s="200" t="inlineStr">
        <is>
          <t>Jun</t>
        </is>
      </c>
      <c r="K518" s="199" t="n">
        <v>2025</v>
      </c>
      <c r="L518" s="199" t="n">
        <v>2025</v>
      </c>
    </row>
    <row r="519" ht="15" customHeight="1" s="104">
      <c r="A519" s="194" t="n">
        <v>45838</v>
      </c>
      <c r="B519" s="195" t="inlineStr">
        <is>
          <t>Amazon US</t>
        </is>
      </c>
      <c r="C519" s="195" t="inlineStr">
        <is>
          <t>Amazon fees</t>
        </is>
      </c>
      <c r="D519" s="195" t="inlineStr">
        <is>
          <t>Re commerce grading and listing charge</t>
        </is>
      </c>
      <c r="E519" s="196" t="n">
        <v>-1.8</v>
      </c>
      <c r="F519" s="204" t="n">
        <v>-1.944449666e-05</v>
      </c>
      <c r="H519" s="196" t="n">
        <v>-1.8</v>
      </c>
      <c r="J519" s="200" t="inlineStr">
        <is>
          <t>Jun</t>
        </is>
      </c>
      <c r="K519" s="199" t="n">
        <v>2025</v>
      </c>
      <c r="L519" s="199" t="n">
        <v>2025</v>
      </c>
    </row>
    <row r="520" ht="15" customHeight="1" s="104">
      <c r="A520" s="194" t="n">
        <v>45838</v>
      </c>
      <c r="B520" s="195" t="inlineStr">
        <is>
          <t>Amazon US</t>
        </is>
      </c>
      <c r="C520" s="195" t="inlineStr">
        <is>
          <t>Amazon fees</t>
        </is>
      </c>
      <c r="D520" s="195" t="inlineStr">
        <is>
          <t>Warehouse damage exception</t>
        </is>
      </c>
      <c r="E520" s="196" t="n">
        <v>18.51</v>
      </c>
      <c r="F520" s="204" t="n">
        <v>0.0001999542406</v>
      </c>
      <c r="H520" s="196" t="n">
        <v>18.51</v>
      </c>
      <c r="J520" s="200" t="inlineStr">
        <is>
          <t>Jun</t>
        </is>
      </c>
      <c r="K520" s="199" t="n">
        <v>2025</v>
      </c>
      <c r="L520" s="199" t="n">
        <v>2025</v>
      </c>
    </row>
    <row r="521" ht="15" customHeight="1" s="104">
      <c r="A521" s="194" t="n">
        <v>45838</v>
      </c>
      <c r="B521" s="195" t="inlineStr">
        <is>
          <t>Amazon US</t>
        </is>
      </c>
      <c r="C521" s="195" t="inlineStr">
        <is>
          <t>Cost of goods</t>
        </is>
      </c>
      <c r="D521" s="195" t="inlineStr">
        <is>
          <t>Cost of goods sold</t>
        </is>
      </c>
      <c r="E521" s="196" t="n">
        <v>-25436.37</v>
      </c>
      <c r="F521" s="204" t="n">
        <v>-0.2747763397</v>
      </c>
      <c r="H521" s="196" t="n">
        <v>-25436.37</v>
      </c>
      <c r="J521" s="200" t="inlineStr">
        <is>
          <t>Jun</t>
        </is>
      </c>
      <c r="K521" s="199" t="n">
        <v>2025</v>
      </c>
      <c r="L521" s="199" t="n">
        <v>2025</v>
      </c>
    </row>
    <row r="522" ht="15" customHeight="1" s="104">
      <c r="A522" s="194" t="n">
        <v>45838</v>
      </c>
      <c r="B522" s="195" t="inlineStr">
        <is>
          <t>Amazon US</t>
        </is>
      </c>
      <c r="C522" s="195" t="inlineStr">
        <is>
          <t>Cost of goods</t>
        </is>
      </c>
      <c r="D522" s="195" t="inlineStr">
        <is>
          <t>Lost/damaged by Amazon</t>
        </is>
      </c>
      <c r="E522" s="196" t="n">
        <v>-52.4</v>
      </c>
      <c r="F522" s="204" t="n">
        <v>-0.0005660509027000001</v>
      </c>
      <c r="H522" s="196" t="n">
        <v>-52.4</v>
      </c>
      <c r="J522" s="200" t="inlineStr">
        <is>
          <t>Jun</t>
        </is>
      </c>
      <c r="K522" s="199" t="n">
        <v>2025</v>
      </c>
      <c r="L522" s="199" t="n">
        <v>2025</v>
      </c>
    </row>
    <row r="523" ht="15" customHeight="1" s="104">
      <c r="A523" s="194" t="n">
        <v>45838</v>
      </c>
      <c r="B523" s="195" t="inlineStr">
        <is>
          <t>Amazon CA</t>
        </is>
      </c>
      <c r="C523" s="195" t="inlineStr">
        <is>
          <t>Advertising cost</t>
        </is>
      </c>
      <c r="D523" s="195" t="inlineStr">
        <is>
          <t>Sponsored Products</t>
        </is>
      </c>
      <c r="E523" s="196" t="n">
        <v>-1009.17</v>
      </c>
      <c r="F523" s="204" t="n">
        <v>-0.08332487014000001</v>
      </c>
      <c r="H523" s="196" t="n">
        <v>-1009.17</v>
      </c>
      <c r="J523" s="200" t="inlineStr">
        <is>
          <t>Jun</t>
        </is>
      </c>
      <c r="K523" s="199" t="n">
        <v>2025</v>
      </c>
      <c r="L523" s="199" t="n">
        <v>2025</v>
      </c>
    </row>
    <row r="524" ht="15" customHeight="1" s="104">
      <c r="A524" s="194" t="n">
        <v>45838</v>
      </c>
      <c r="B524" s="195" t="inlineStr">
        <is>
          <t>Amazon CA</t>
        </is>
      </c>
      <c r="C524" s="195" t="inlineStr">
        <is>
          <t>Advertising cost</t>
        </is>
      </c>
      <c r="D524" s="195" t="inlineStr">
        <is>
          <t>Sponsored Brands Video</t>
        </is>
      </c>
      <c r="E524" s="198" t="n">
        <v>0</v>
      </c>
      <c r="F524" s="201" t="n">
        <v>0</v>
      </c>
      <c r="H524" s="198" t="n">
        <v>0</v>
      </c>
      <c r="J524" s="200" t="inlineStr">
        <is>
          <t>Jun</t>
        </is>
      </c>
      <c r="K524" s="199" t="n">
        <v>2025</v>
      </c>
      <c r="L524" s="199" t="n">
        <v>2025</v>
      </c>
    </row>
    <row r="525" ht="15" customHeight="1" s="104">
      <c r="A525" s="194" t="n">
        <v>45838</v>
      </c>
      <c r="B525" s="195" t="inlineStr">
        <is>
          <t>Amazon CA</t>
        </is>
      </c>
      <c r="C525" s="195" t="inlineStr">
        <is>
          <t>Advertising cost</t>
        </is>
      </c>
      <c r="D525" s="195" t="inlineStr">
        <is>
          <t>Sponsored Display</t>
        </is>
      </c>
      <c r="E525" s="198" t="n">
        <v>0</v>
      </c>
      <c r="F525" s="201" t="n">
        <v>0</v>
      </c>
      <c r="H525" s="198" t="n">
        <v>0</v>
      </c>
      <c r="J525" s="200" t="inlineStr">
        <is>
          <t>Jun</t>
        </is>
      </c>
      <c r="K525" s="199" t="n">
        <v>2025</v>
      </c>
      <c r="L525" s="199" t="n">
        <v>2025</v>
      </c>
    </row>
    <row r="526" ht="15" customHeight="1" s="104">
      <c r="A526" s="194" t="n">
        <v>45838</v>
      </c>
      <c r="B526" s="195" t="inlineStr">
        <is>
          <t>Amazon CA</t>
        </is>
      </c>
      <c r="C526" s="195" t="inlineStr">
        <is>
          <t>Advertising cost</t>
        </is>
      </c>
      <c r="D526" s="195" t="inlineStr">
        <is>
          <t>Sponsored Brands</t>
        </is>
      </c>
      <c r="E526" s="198" t="n">
        <v>0</v>
      </c>
      <c r="F526" s="201" t="n">
        <v>0</v>
      </c>
      <c r="H526" s="198" t="n">
        <v>0</v>
      </c>
      <c r="J526" s="200" t="inlineStr">
        <is>
          <t>Jun</t>
        </is>
      </c>
      <c r="K526" s="199" t="n">
        <v>2025</v>
      </c>
      <c r="L526" s="199" t="n">
        <v>2025</v>
      </c>
    </row>
    <row r="527" ht="15" customHeight="1" s="104">
      <c r="A527" s="194" t="n">
        <v>45838</v>
      </c>
      <c r="B527" s="195" t="inlineStr">
        <is>
          <t>Amazon CA</t>
        </is>
      </c>
      <c r="C527" s="195" t="inlineStr">
        <is>
          <t>Refund cost</t>
        </is>
      </c>
      <c r="D527" s="195" t="inlineStr">
        <is>
          <t>Refunded amount</t>
        </is>
      </c>
      <c r="E527" s="196" t="n">
        <v>-971.77</v>
      </c>
      <c r="F527" s="204" t="n">
        <v>-0.08023683726</v>
      </c>
      <c r="H527" s="196" t="n">
        <v>-971.77</v>
      </c>
      <c r="J527" s="200" t="inlineStr">
        <is>
          <t>Jun</t>
        </is>
      </c>
      <c r="K527" s="199" t="n">
        <v>2025</v>
      </c>
      <c r="L527" s="199" t="n">
        <v>2025</v>
      </c>
    </row>
    <row r="528" ht="15" customHeight="1" s="104">
      <c r="A528" s="194" t="n">
        <v>45838</v>
      </c>
      <c r="B528" s="195" t="inlineStr">
        <is>
          <t>Amazon CA</t>
        </is>
      </c>
      <c r="C528" s="195" t="inlineStr">
        <is>
          <t>Refund cost</t>
        </is>
      </c>
      <c r="D528" s="195" t="inlineStr">
        <is>
          <t>Refund commission</t>
        </is>
      </c>
      <c r="E528" s="196" t="n">
        <v>-29.15</v>
      </c>
      <c r="F528" s="204" t="n">
        <v>-0.002406849158</v>
      </c>
      <c r="H528" s="196" t="n">
        <v>-29.15</v>
      </c>
      <c r="J528" s="200" t="inlineStr">
        <is>
          <t>Jun</t>
        </is>
      </c>
      <c r="K528" s="199" t="n">
        <v>2025</v>
      </c>
      <c r="L528" s="199" t="n">
        <v>2025</v>
      </c>
    </row>
    <row r="529" ht="15" customHeight="1" s="104">
      <c r="A529" s="194" t="n">
        <v>45838</v>
      </c>
      <c r="B529" s="195" t="inlineStr">
        <is>
          <t>Amazon CA</t>
        </is>
      </c>
      <c r="C529" s="195" t="inlineStr">
        <is>
          <t>Refund cost</t>
        </is>
      </c>
      <c r="D529" s="195" t="inlineStr">
        <is>
          <t>Refunded referral fee</t>
        </is>
      </c>
      <c r="E529" s="196" t="n">
        <v>145.79</v>
      </c>
      <c r="F529" s="204" t="n">
        <v>0.0120375485</v>
      </c>
      <c r="H529" s="196" t="n">
        <v>145.79</v>
      </c>
      <c r="J529" s="200" t="inlineStr">
        <is>
          <t>Jun</t>
        </is>
      </c>
      <c r="K529" s="199" t="n">
        <v>2025</v>
      </c>
      <c r="L529" s="199" t="n">
        <v>2025</v>
      </c>
    </row>
    <row r="530" ht="15" customHeight="1" s="104">
      <c r="A530" s="194" t="n">
        <v>45838</v>
      </c>
      <c r="B530" s="195" t="inlineStr">
        <is>
          <t>Amazon CA</t>
        </is>
      </c>
      <c r="C530" s="195" t="inlineStr">
        <is>
          <t>Refund cost</t>
        </is>
      </c>
      <c r="D530" s="195" t="inlineStr">
        <is>
          <t>Value of returned items</t>
        </is>
      </c>
      <c r="E530" s="196" t="n">
        <v>33.52</v>
      </c>
      <c r="F530" s="204" t="n">
        <v>0.002767670112</v>
      </c>
      <c r="H530" s="196" t="n">
        <v>33.52</v>
      </c>
      <c r="J530" s="200" t="inlineStr">
        <is>
          <t>Jun</t>
        </is>
      </c>
      <c r="K530" s="199" t="n">
        <v>2025</v>
      </c>
      <c r="L530" s="199" t="n">
        <v>2025</v>
      </c>
    </row>
    <row r="531" ht="15" customHeight="1" s="104">
      <c r="A531" s="194" t="n">
        <v>45838</v>
      </c>
      <c r="B531" s="195" t="inlineStr">
        <is>
          <t>Amazon CA</t>
        </is>
      </c>
      <c r="C531" s="195" t="inlineStr">
        <is>
          <t>Amazon fees</t>
        </is>
      </c>
      <c r="D531" s="195" t="inlineStr">
        <is>
          <t>FBA per unit fulfilment fee</t>
        </is>
      </c>
      <c r="E531" s="196" t="n">
        <v>-1710.71</v>
      </c>
      <c r="F531" s="204" t="n">
        <v>-0.1412494313</v>
      </c>
      <c r="H531" s="196" t="n">
        <v>-1710.71</v>
      </c>
      <c r="J531" s="200" t="inlineStr">
        <is>
          <t>Jun</t>
        </is>
      </c>
      <c r="K531" s="199" t="n">
        <v>2025</v>
      </c>
      <c r="L531" s="199" t="n">
        <v>2025</v>
      </c>
    </row>
    <row r="532" ht="15" customHeight="1" s="104">
      <c r="A532" s="194" t="n">
        <v>45838</v>
      </c>
      <c r="B532" s="195" t="inlineStr">
        <is>
          <t>Amazon CA</t>
        </is>
      </c>
      <c r="C532" s="195" t="inlineStr">
        <is>
          <t>Amazon fees</t>
        </is>
      </c>
      <c r="D532" s="195" t="inlineStr">
        <is>
          <t>Referral fee</t>
        </is>
      </c>
      <c r="E532" s="196" t="n">
        <v>-1819.08</v>
      </c>
      <c r="F532" s="204" t="n">
        <v>-0.1501972956</v>
      </c>
      <c r="H532" s="196" t="n">
        <v>-1819.08</v>
      </c>
      <c r="J532" s="200" t="inlineStr">
        <is>
          <t>Jun</t>
        </is>
      </c>
      <c r="K532" s="199" t="n">
        <v>2025</v>
      </c>
      <c r="L532" s="199" t="n">
        <v>2025</v>
      </c>
    </row>
    <row r="533" ht="15" customHeight="1" s="104">
      <c r="A533" s="194" t="n">
        <v>45838</v>
      </c>
      <c r="B533" s="195" t="inlineStr">
        <is>
          <t>Amazon CA</t>
        </is>
      </c>
      <c r="C533" s="195" t="inlineStr">
        <is>
          <t>Amazon fees</t>
        </is>
      </c>
      <c r="D533" s="195" t="inlineStr">
        <is>
          <t>FBA storage fee</t>
        </is>
      </c>
      <c r="E533" s="196" t="n">
        <v>-68.09</v>
      </c>
      <c r="F533" s="204" t="n">
        <v>-0.005622036335</v>
      </c>
      <c r="H533" s="196" t="n">
        <v>-68.09</v>
      </c>
      <c r="J533" s="200" t="inlineStr">
        <is>
          <t>Jun</t>
        </is>
      </c>
      <c r="K533" s="199" t="n">
        <v>2025</v>
      </c>
      <c r="L533" s="199" t="n">
        <v>2025</v>
      </c>
    </row>
    <row r="534" ht="15" customHeight="1" s="104">
      <c r="A534" s="194" t="n">
        <v>45838</v>
      </c>
      <c r="B534" s="195" t="inlineStr">
        <is>
          <t>Amazon CA</t>
        </is>
      </c>
      <c r="C534" s="195" t="inlineStr">
        <is>
          <t>Amazon fees</t>
        </is>
      </c>
      <c r="D534" s="195" t="inlineStr">
        <is>
          <t>Digital services fee</t>
        </is>
      </c>
      <c r="E534" s="196" t="n">
        <v>-36.53</v>
      </c>
      <c r="F534" s="204" t="n">
        <v>-0.003016198962</v>
      </c>
      <c r="H534" s="196" t="n">
        <v>-36.53</v>
      </c>
      <c r="J534" s="200" t="inlineStr">
        <is>
          <t>Jun</t>
        </is>
      </c>
      <c r="K534" s="199" t="n">
        <v>2025</v>
      </c>
      <c r="L534" s="199" t="n">
        <v>2025</v>
      </c>
    </row>
    <row r="535" ht="15" customHeight="1" s="104">
      <c r="A535" s="194" t="n">
        <v>45838</v>
      </c>
      <c r="B535" s="195" t="inlineStr">
        <is>
          <t>Amazon CA</t>
        </is>
      </c>
      <c r="C535" s="195" t="inlineStr">
        <is>
          <t>Cost of goods</t>
        </is>
      </c>
      <c r="D535" s="195" t="inlineStr">
        <is>
          <t>Cost of goods sold</t>
        </is>
      </c>
      <c r="E535" s="196" t="n">
        <v>-3393.76</v>
      </c>
      <c r="F535" s="204" t="n">
        <v>-0.2802150394</v>
      </c>
      <c r="H535" s="196" t="n">
        <v>-3393.76</v>
      </c>
      <c r="J535" s="200" t="inlineStr">
        <is>
          <t>Jun</t>
        </is>
      </c>
      <c r="K535" s="199" t="n">
        <v>2025</v>
      </c>
      <c r="L535" s="199" t="n">
        <v>2025</v>
      </c>
    </row>
    <row r="536" ht="15" customHeight="1" s="104">
      <c r="A536" s="194" t="n">
        <v>45838</v>
      </c>
      <c r="B536" s="195" t="inlineStr">
        <is>
          <t>Walmart</t>
        </is>
      </c>
      <c r="C536" s="195" t="inlineStr">
        <is>
          <t>Advertising cost</t>
        </is>
      </c>
      <c r="D536" s="195" t="inlineStr">
        <is>
          <t>Advertising Cost</t>
        </is>
      </c>
      <c r="E536" s="196" t="n">
        <v>-102.96</v>
      </c>
      <c r="F536" s="204" t="n">
        <v>-0.07181168265</v>
      </c>
      <c r="H536" s="196" t="n">
        <v>-102.96</v>
      </c>
      <c r="J536" s="200" t="inlineStr">
        <is>
          <t>Jun</t>
        </is>
      </c>
      <c r="K536" s="199" t="n">
        <v>2025</v>
      </c>
      <c r="L536" s="199" t="n">
        <v>2025</v>
      </c>
    </row>
    <row r="537" ht="15" customHeight="1" s="104">
      <c r="A537" s="194" t="n">
        <v>45838</v>
      </c>
      <c r="B537" s="195" t="inlineStr">
        <is>
          <t>Walmart</t>
        </is>
      </c>
      <c r="C537" s="195" t="inlineStr">
        <is>
          <t>Shipping Cost</t>
        </is>
      </c>
      <c r="D537" s="195" t="inlineStr">
        <is>
          <t>WFS Fulfillment fee</t>
        </is>
      </c>
      <c r="E537" s="196" t="n">
        <v>-199.8</v>
      </c>
      <c r="F537" s="204" t="n">
        <v>-0.1393548387</v>
      </c>
      <c r="H537" s="196" t="n">
        <v>-199.8</v>
      </c>
      <c r="J537" s="200" t="inlineStr">
        <is>
          <t>Jun</t>
        </is>
      </c>
      <c r="K537" s="199" t="n">
        <v>2025</v>
      </c>
      <c r="L537" s="199" t="n">
        <v>2025</v>
      </c>
    </row>
    <row r="538" ht="15" customHeight="1" s="104">
      <c r="A538" s="194" t="n">
        <v>45838</v>
      </c>
      <c r="B538" s="195" t="inlineStr">
        <is>
          <t>Walmart</t>
        </is>
      </c>
      <c r="C538" s="195" t="inlineStr">
        <is>
          <t>Shipping Cost</t>
        </is>
      </c>
      <c r="D538" s="195" t="inlineStr">
        <is>
          <t>WFS Shipping Reversal fee</t>
        </is>
      </c>
      <c r="E538" s="198" t="n">
        <v>0</v>
      </c>
      <c r="F538" s="201" t="n">
        <v>0</v>
      </c>
      <c r="H538" s="198" t="n">
        <v>0</v>
      </c>
      <c r="J538" s="200" t="inlineStr">
        <is>
          <t>Jun</t>
        </is>
      </c>
      <c r="K538" s="199" t="n">
        <v>2025</v>
      </c>
      <c r="L538" s="199" t="n">
        <v>2025</v>
      </c>
    </row>
    <row r="539" ht="15" customHeight="1" s="104">
      <c r="A539" s="194" t="n">
        <v>45838</v>
      </c>
      <c r="B539" s="195" t="inlineStr">
        <is>
          <t>Walmart</t>
        </is>
      </c>
      <c r="C539" s="195" t="inlineStr">
        <is>
          <t>Fees</t>
        </is>
      </c>
      <c r="D539" s="195" t="inlineStr">
        <is>
          <t>Commission on product</t>
        </is>
      </c>
      <c r="E539" s="196" t="n">
        <v>-198.98</v>
      </c>
      <c r="F539" s="204" t="n">
        <v>-0.1387829119</v>
      </c>
      <c r="H539" s="196" t="n">
        <v>-198.98</v>
      </c>
      <c r="J539" s="200" t="inlineStr">
        <is>
          <t>Jun</t>
        </is>
      </c>
      <c r="K539" s="199" t="n">
        <v>2025</v>
      </c>
      <c r="L539" s="199" t="n">
        <v>2025</v>
      </c>
    </row>
    <row r="540" ht="15" customHeight="1" s="104">
      <c r="A540" s="194" t="n">
        <v>45838</v>
      </c>
      <c r="B540" s="195" t="inlineStr">
        <is>
          <t>Walmart</t>
        </is>
      </c>
      <c r="C540" s="195" t="inlineStr">
        <is>
          <t>Fees</t>
        </is>
      </c>
      <c r="D540" s="195" t="inlineStr">
        <is>
          <t>Storage fee</t>
        </is>
      </c>
      <c r="E540" s="196" t="n">
        <v>-122.17</v>
      </c>
      <c r="F540" s="204" t="n">
        <v>-0.08521011334</v>
      </c>
      <c r="H540" s="196" t="n">
        <v>-122.17</v>
      </c>
      <c r="J540" s="200" t="inlineStr">
        <is>
          <t>Jun</t>
        </is>
      </c>
      <c r="K540" s="199" t="n">
        <v>2025</v>
      </c>
      <c r="L540" s="199" t="n">
        <v>2025</v>
      </c>
    </row>
    <row r="541" ht="15" customHeight="1" s="104">
      <c r="A541" s="194" t="n">
        <v>45838</v>
      </c>
      <c r="B541" s="195" t="inlineStr">
        <is>
          <t>Walmart</t>
        </is>
      </c>
      <c r="C541" s="195" t="inlineStr">
        <is>
          <t>Fees</t>
        </is>
      </c>
      <c r="D541" s="195" t="inlineStr">
        <is>
          <t>Prep service fee</t>
        </is>
      </c>
      <c r="E541" s="198" t="n">
        <v>0</v>
      </c>
      <c r="F541" s="201" t="n">
        <v>0</v>
      </c>
      <c r="H541" s="198" t="n">
        <v>0</v>
      </c>
      <c r="J541" s="200" t="inlineStr">
        <is>
          <t>Jun</t>
        </is>
      </c>
      <c r="K541" s="199" t="n">
        <v>2025</v>
      </c>
      <c r="L541" s="199" t="n">
        <v>2025</v>
      </c>
    </row>
    <row r="542" ht="15" customHeight="1" s="104">
      <c r="A542" s="194" t="n">
        <v>45838</v>
      </c>
      <c r="B542" s="195" t="inlineStr">
        <is>
          <t>Walmart</t>
        </is>
      </c>
      <c r="C542" s="195" t="inlineStr">
        <is>
          <t>Fees</t>
        </is>
      </c>
      <c r="D542" s="195" t="inlineStr">
        <is>
          <t>RC inventory disposal fee</t>
        </is>
      </c>
      <c r="E542" s="198" t="n">
        <v>0</v>
      </c>
      <c r="F542" s="201" t="n">
        <v>0</v>
      </c>
      <c r="H542" s="198" t="n">
        <v>0</v>
      </c>
      <c r="J542" s="200" t="inlineStr">
        <is>
          <t>Jun</t>
        </is>
      </c>
      <c r="K542" s="199" t="n">
        <v>2025</v>
      </c>
      <c r="L542" s="199" t="n">
        <v>2025</v>
      </c>
    </row>
    <row r="543" ht="15" customHeight="1" s="104">
      <c r="A543" s="194" t="n">
        <v>45838</v>
      </c>
      <c r="B543" s="195" t="inlineStr">
        <is>
          <t>Walmart</t>
        </is>
      </c>
      <c r="C543" s="195" t="inlineStr">
        <is>
          <t>Fees</t>
        </is>
      </c>
      <c r="D543" s="195" t="inlineStr">
        <is>
          <t>Wfs return shipping fee</t>
        </is>
      </c>
      <c r="E543" s="196" t="n">
        <v>-38.8</v>
      </c>
      <c r="F543" s="204" t="n">
        <v>-0.02706190061</v>
      </c>
      <c r="H543" s="196" t="n">
        <v>-38.8</v>
      </c>
      <c r="J543" s="200" t="inlineStr">
        <is>
          <t>Jun</t>
        </is>
      </c>
      <c r="K543" s="199" t="n">
        <v>2025</v>
      </c>
      <c r="L543" s="199" t="n">
        <v>2025</v>
      </c>
    </row>
    <row r="544" ht="15" customHeight="1" s="104">
      <c r="A544" s="194" t="n">
        <v>45838</v>
      </c>
      <c r="B544" s="195" t="inlineStr">
        <is>
          <t>Walmart</t>
        </is>
      </c>
      <c r="C544" s="195" t="inlineStr">
        <is>
          <t>Fees</t>
        </is>
      </c>
      <c r="D544" s="195" t="inlineStr">
        <is>
          <t>Refund commission on product</t>
        </is>
      </c>
      <c r="E544" s="196" t="n">
        <v>39.82</v>
      </c>
      <c r="F544" s="204" t="n">
        <v>0.02777332171</v>
      </c>
      <c r="H544" s="196" t="n">
        <v>39.82</v>
      </c>
      <c r="J544" s="200" t="inlineStr">
        <is>
          <t>Jun</t>
        </is>
      </c>
      <c r="K544" s="199" t="n">
        <v>2025</v>
      </c>
      <c r="L544" s="199" t="n">
        <v>2025</v>
      </c>
    </row>
    <row r="545" ht="15" customHeight="1" s="104">
      <c r="A545" s="194" t="n">
        <v>45838</v>
      </c>
      <c r="B545" s="195" t="inlineStr">
        <is>
          <t>Walmart</t>
        </is>
      </c>
      <c r="C545" s="195" t="inlineStr">
        <is>
          <t>Fees</t>
        </is>
      </c>
      <c r="D545" s="195" t="inlineStr">
        <is>
          <t>Total Walmart funded</t>
        </is>
      </c>
      <c r="F545" s="201" t="n">
        <v>0</v>
      </c>
      <c r="J545" s="200" t="inlineStr">
        <is>
          <t>Jun</t>
        </is>
      </c>
      <c r="K545" s="199" t="n">
        <v>2025</v>
      </c>
      <c r="L545" s="199" t="n">
        <v>2025</v>
      </c>
    </row>
    <row r="546" ht="15" customHeight="1" s="104">
      <c r="A546" s="194" t="n">
        <v>45838</v>
      </c>
      <c r="B546" s="195" t="inlineStr">
        <is>
          <t>Walmart</t>
        </is>
      </c>
      <c r="C546" s="195" t="inlineStr">
        <is>
          <t>Fees</t>
        </is>
      </c>
      <c r="D546" s="195" t="inlineStr">
        <is>
          <t>Lost inventory</t>
        </is>
      </c>
      <c r="F546" s="201" t="n">
        <v>0</v>
      </c>
      <c r="J546" s="200" t="inlineStr">
        <is>
          <t>Jun</t>
        </is>
      </c>
      <c r="K546" s="199" t="n">
        <v>2025</v>
      </c>
      <c r="L546" s="199" t="n">
        <v>2025</v>
      </c>
    </row>
    <row r="547" ht="15" customHeight="1" s="104">
      <c r="A547" s="194" t="n">
        <v>45838</v>
      </c>
      <c r="B547" s="195" t="inlineStr">
        <is>
          <t>Walmart</t>
        </is>
      </c>
      <c r="C547" s="195" t="inlineStr">
        <is>
          <t>Fees</t>
        </is>
      </c>
      <c r="D547" s="195" t="inlineStr">
        <is>
          <t>Wfs inventory fee/reimbursement</t>
        </is>
      </c>
      <c r="E547" s="196" t="n">
        <v>-19.2</v>
      </c>
      <c r="F547" s="204" t="n">
        <v>-0.01339145597</v>
      </c>
      <c r="H547" s="196" t="n">
        <v>-19.2</v>
      </c>
      <c r="J547" s="200" t="inlineStr">
        <is>
          <t>Jun</t>
        </is>
      </c>
      <c r="K547" s="199" t="n">
        <v>2025</v>
      </c>
      <c r="L547" s="199" t="n">
        <v>2025</v>
      </c>
    </row>
    <row r="548" ht="15" customHeight="1" s="104">
      <c r="A548" s="194" t="n">
        <v>45838</v>
      </c>
      <c r="B548" s="195" t="inlineStr">
        <is>
          <t>Walmart</t>
        </is>
      </c>
      <c r="C548" s="195" t="inlineStr">
        <is>
          <t>Cost of goods</t>
        </is>
      </c>
      <c r="D548" s="195" t="inlineStr">
        <is>
          <t>Cost of goods sold</t>
        </is>
      </c>
      <c r="E548" s="196" t="n">
        <v>-577.3</v>
      </c>
      <c r="F548" s="204" t="n">
        <v>-0.4026503923</v>
      </c>
      <c r="H548" s="196" t="n">
        <v>-577.3</v>
      </c>
      <c r="J548" s="200" t="inlineStr">
        <is>
          <t>Jun</t>
        </is>
      </c>
      <c r="K548" s="199" t="n">
        <v>2025</v>
      </c>
      <c r="L548" s="199" t="n">
        <v>2025</v>
      </c>
    </row>
    <row r="549" ht="15" customHeight="1" s="104">
      <c r="A549" s="194" t="n">
        <v>45838</v>
      </c>
      <c r="B549" s="195" t="inlineStr">
        <is>
          <t>Walmart</t>
        </is>
      </c>
      <c r="C549" s="195" t="inlineStr">
        <is>
          <t>Cost of goods</t>
        </is>
      </c>
      <c r="D549" s="195" t="inlineStr">
        <is>
          <t>Value of returned items</t>
        </is>
      </c>
      <c r="E549" s="196" t="n">
        <v>105.1</v>
      </c>
      <c r="F549" s="204" t="n">
        <v>0.07330427201</v>
      </c>
      <c r="H549" s="196" t="n">
        <v>105.1</v>
      </c>
      <c r="J549" s="200" t="inlineStr">
        <is>
          <t>Jun</t>
        </is>
      </c>
      <c r="K549" s="199" t="n">
        <v>2025</v>
      </c>
      <c r="L549" s="199" t="n">
        <v>2025</v>
      </c>
    </row>
    <row r="550" ht="15" customHeight="1" s="104">
      <c r="A550" s="194" t="n">
        <v>45838</v>
      </c>
      <c r="B550" s="195" t="inlineStr">
        <is>
          <t>Tiktok</t>
        </is>
      </c>
      <c r="C550" s="195" t="inlineStr">
        <is>
          <t>Tiktok Shipping</t>
        </is>
      </c>
      <c r="D550" s="195" t="inlineStr">
        <is>
          <t>TikTok Shop shipping fee</t>
        </is>
      </c>
      <c r="E550" s="198" t="n">
        <v>0</v>
      </c>
      <c r="F550" s="201" t="n">
        <v>0</v>
      </c>
      <c r="H550" s="198" t="n">
        <v>0</v>
      </c>
      <c r="J550" s="200" t="inlineStr">
        <is>
          <t>Jun</t>
        </is>
      </c>
      <c r="K550" s="199" t="n">
        <v>2025</v>
      </c>
      <c r="L550" s="199" t="n">
        <v>2025</v>
      </c>
    </row>
    <row r="551" ht="15" customHeight="1" s="104">
      <c r="A551" s="194" t="n">
        <v>45838</v>
      </c>
      <c r="B551" s="195" t="inlineStr">
        <is>
          <t>Tiktok</t>
        </is>
      </c>
      <c r="C551" s="195" t="inlineStr">
        <is>
          <t>Tiktok Shipping</t>
        </is>
      </c>
      <c r="D551" s="195" t="inlineStr">
        <is>
          <t>Fulfilled by TikTok Shop (FBT) shipping fee</t>
        </is>
      </c>
      <c r="E551" s="198" t="n">
        <v>0</v>
      </c>
      <c r="F551" s="201" t="n">
        <v>0</v>
      </c>
      <c r="H551" s="198" t="n">
        <v>0</v>
      </c>
      <c r="J551" s="200" t="inlineStr">
        <is>
          <t>Jun</t>
        </is>
      </c>
      <c r="K551" s="199" t="n">
        <v>2025</v>
      </c>
      <c r="L551" s="199" t="n">
        <v>2025</v>
      </c>
    </row>
    <row r="552" ht="15" customHeight="1" s="104">
      <c r="A552" s="194" t="n">
        <v>45838</v>
      </c>
      <c r="B552" s="195" t="inlineStr">
        <is>
          <t>Tiktok</t>
        </is>
      </c>
      <c r="C552" s="195" t="inlineStr">
        <is>
          <t>Tiktok Shipping</t>
        </is>
      </c>
      <c r="D552" s="195" t="inlineStr">
        <is>
          <t>Signature confirmation service fee</t>
        </is>
      </c>
      <c r="E552" s="198" t="n">
        <v>0</v>
      </c>
      <c r="F552" s="201" t="n">
        <v>0</v>
      </c>
      <c r="H552" s="198" t="n">
        <v>0</v>
      </c>
      <c r="J552" s="200" t="inlineStr">
        <is>
          <t>Jun</t>
        </is>
      </c>
      <c r="K552" s="199" t="n">
        <v>2025</v>
      </c>
      <c r="L552" s="199" t="n">
        <v>2025</v>
      </c>
    </row>
    <row r="553" ht="15" customHeight="1" s="104">
      <c r="A553" s="194" t="n">
        <v>45838</v>
      </c>
      <c r="B553" s="195" t="inlineStr">
        <is>
          <t>Tiktok</t>
        </is>
      </c>
      <c r="C553" s="195" t="inlineStr">
        <is>
          <t>Tiktok Shipping</t>
        </is>
      </c>
      <c r="D553" s="195" t="inlineStr">
        <is>
          <t>Shipping insurance fee</t>
        </is>
      </c>
      <c r="E553" s="198" t="n">
        <v>0</v>
      </c>
      <c r="F553" s="201" t="n">
        <v>0</v>
      </c>
      <c r="H553" s="198" t="n">
        <v>0</v>
      </c>
      <c r="J553" s="200" t="inlineStr">
        <is>
          <t>Jun</t>
        </is>
      </c>
      <c r="K553" s="199" t="n">
        <v>2025</v>
      </c>
      <c r="L553" s="199" t="n">
        <v>2025</v>
      </c>
    </row>
    <row r="554" ht="15" customHeight="1" s="104">
      <c r="A554" s="194" t="n">
        <v>45838</v>
      </c>
      <c r="B554" s="195" t="inlineStr">
        <is>
          <t>Tiktok</t>
        </is>
      </c>
      <c r="C554" s="195" t="inlineStr">
        <is>
          <t>Tiktok Shipping</t>
        </is>
      </c>
      <c r="D554" s="195" t="inlineStr">
        <is>
          <t>Customer-paid shipping fee</t>
        </is>
      </c>
      <c r="E554" s="198" t="n">
        <v>0</v>
      </c>
      <c r="F554" s="201" t="n">
        <v>0</v>
      </c>
      <c r="H554" s="198" t="n">
        <v>0</v>
      </c>
      <c r="J554" s="200" t="inlineStr">
        <is>
          <t>Jun</t>
        </is>
      </c>
      <c r="K554" s="199" t="n">
        <v>2025</v>
      </c>
      <c r="L554" s="199" t="n">
        <v>2025</v>
      </c>
    </row>
    <row r="555" ht="15" customHeight="1" s="104">
      <c r="A555" s="194" t="n">
        <v>45838</v>
      </c>
      <c r="B555" s="195" t="inlineStr">
        <is>
          <t>Tiktok</t>
        </is>
      </c>
      <c r="C555" s="195" t="inlineStr">
        <is>
          <t>Tiktok Shipping</t>
        </is>
      </c>
      <c r="D555" s="195" t="inlineStr">
        <is>
          <t>Customer-paid shipping fee refund</t>
        </is>
      </c>
      <c r="E555" s="198" t="n">
        <v>0</v>
      </c>
      <c r="F555" s="201" t="n">
        <v>0</v>
      </c>
      <c r="H555" s="198" t="n">
        <v>0</v>
      </c>
      <c r="J555" s="200" t="inlineStr">
        <is>
          <t>Jun</t>
        </is>
      </c>
      <c r="K555" s="199" t="n">
        <v>2025</v>
      </c>
      <c r="L555" s="199" t="n">
        <v>2025</v>
      </c>
    </row>
    <row r="556" ht="15" customHeight="1" s="104">
      <c r="A556" s="194" t="n">
        <v>45838</v>
      </c>
      <c r="B556" s="195" t="inlineStr">
        <is>
          <t>Tiktok</t>
        </is>
      </c>
      <c r="C556" s="195" t="inlineStr">
        <is>
          <t>Tiktok Shipping</t>
        </is>
      </c>
      <c r="D556" s="195" t="inlineStr">
        <is>
          <t>TikTok Shop shipping incentive</t>
        </is>
      </c>
      <c r="E556" s="196" t="n">
        <v>13.73</v>
      </c>
      <c r="F556" s="204" t="n">
        <v>0.005797358465</v>
      </c>
      <c r="H556" s="196" t="n">
        <v>13.73</v>
      </c>
      <c r="J556" s="200" t="inlineStr">
        <is>
          <t>Jun</t>
        </is>
      </c>
      <c r="K556" s="199" t="n">
        <v>2025</v>
      </c>
      <c r="L556" s="199" t="n">
        <v>2025</v>
      </c>
    </row>
    <row r="557" ht="15" customHeight="1" s="104">
      <c r="A557" s="194" t="n">
        <v>45838</v>
      </c>
      <c r="B557" s="195" t="inlineStr">
        <is>
          <t>Tiktok</t>
        </is>
      </c>
      <c r="C557" s="195" t="inlineStr">
        <is>
          <t>Tiktok Shipping</t>
        </is>
      </c>
      <c r="D557" s="195" t="inlineStr">
        <is>
          <t>TikTok Shop shipping incentive refund</t>
        </is>
      </c>
      <c r="E557" s="198" t="n">
        <v>0</v>
      </c>
      <c r="F557" s="201" t="n">
        <v>0</v>
      </c>
      <c r="H557" s="198" t="n">
        <v>0</v>
      </c>
      <c r="J557" s="200" t="inlineStr">
        <is>
          <t>Jun</t>
        </is>
      </c>
      <c r="K557" s="199" t="n">
        <v>2025</v>
      </c>
      <c r="L557" s="199" t="n">
        <v>2025</v>
      </c>
    </row>
    <row r="558" ht="15" customHeight="1" s="104">
      <c r="A558" s="194" t="n">
        <v>45838</v>
      </c>
      <c r="B558" s="195" t="inlineStr">
        <is>
          <t>Tiktok</t>
        </is>
      </c>
      <c r="C558" s="195" t="inlineStr">
        <is>
          <t>Tiktok Shipping</t>
        </is>
      </c>
      <c r="D558" s="195" t="inlineStr">
        <is>
          <t>Shipping fee subsidy</t>
        </is>
      </c>
      <c r="E558" s="196" t="n">
        <v>12</v>
      </c>
      <c r="F558" s="204" t="n">
        <v>0.005066882854</v>
      </c>
      <c r="H558" s="196" t="n">
        <v>12</v>
      </c>
      <c r="J558" s="200" t="inlineStr">
        <is>
          <t>Jun</t>
        </is>
      </c>
      <c r="K558" s="199" t="n">
        <v>2025</v>
      </c>
      <c r="L558" s="199" t="n">
        <v>2025</v>
      </c>
    </row>
    <row r="559" ht="15" customHeight="1" s="104">
      <c r="A559" s="194" t="n">
        <v>45838</v>
      </c>
      <c r="B559" s="195" t="inlineStr">
        <is>
          <t>Tiktok</t>
        </is>
      </c>
      <c r="C559" s="195" t="inlineStr">
        <is>
          <t>Tiktok Shipping</t>
        </is>
      </c>
      <c r="D559" s="195" t="inlineStr">
        <is>
          <t>Return shipping fee</t>
        </is>
      </c>
      <c r="E559" s="196" t="n">
        <v>-45</v>
      </c>
      <c r="F559" s="204" t="n">
        <v>-0.0190008107</v>
      </c>
      <c r="H559" s="196" t="n">
        <v>-45</v>
      </c>
      <c r="J559" s="200" t="inlineStr">
        <is>
          <t>Jun</t>
        </is>
      </c>
      <c r="K559" s="199" t="n">
        <v>2025</v>
      </c>
      <c r="L559" s="199" t="n">
        <v>2025</v>
      </c>
    </row>
    <row r="560" ht="15" customHeight="1" s="104">
      <c r="A560" s="194" t="n">
        <v>45838</v>
      </c>
      <c r="B560" s="195" t="inlineStr">
        <is>
          <t>Tiktok</t>
        </is>
      </c>
      <c r="C560" s="195" t="inlineStr">
        <is>
          <t>Tiktok Shipping</t>
        </is>
      </c>
      <c r="D560" s="195" t="inlineStr">
        <is>
          <t>FBT fulfillment fee</t>
        </is>
      </c>
      <c r="E560" s="196" t="n">
        <v>-22.54</v>
      </c>
      <c r="F560" s="204" t="n">
        <v>-0.00951729496</v>
      </c>
      <c r="H560" s="196" t="n">
        <v>-22.54</v>
      </c>
      <c r="J560" s="200" t="inlineStr">
        <is>
          <t>Jun</t>
        </is>
      </c>
      <c r="K560" s="199" t="n">
        <v>2025</v>
      </c>
      <c r="L560" s="199" t="n">
        <v>2025</v>
      </c>
    </row>
    <row r="561" ht="15" customHeight="1" s="104">
      <c r="A561" s="194" t="n">
        <v>45838</v>
      </c>
      <c r="B561" s="195" t="inlineStr">
        <is>
          <t>Tiktok</t>
        </is>
      </c>
      <c r="C561" s="195" t="inlineStr">
        <is>
          <t>Tiktok Shipping</t>
        </is>
      </c>
      <c r="D561" s="195" t="inlineStr">
        <is>
          <t>Customer shipping fee offset</t>
        </is>
      </c>
      <c r="E561" s="196" t="n">
        <v>-13.73</v>
      </c>
      <c r="F561" s="204" t="n">
        <v>-0.005797358465</v>
      </c>
      <c r="H561" s="196" t="n">
        <v>-13.73</v>
      </c>
      <c r="J561" s="200" t="inlineStr">
        <is>
          <t>Jun</t>
        </is>
      </c>
      <c r="K561" s="199" t="n">
        <v>2025</v>
      </c>
      <c r="L561" s="199" t="n">
        <v>2025</v>
      </c>
    </row>
    <row r="562" ht="15" customHeight="1" s="104">
      <c r="A562" s="194" t="n">
        <v>45838</v>
      </c>
      <c r="B562" s="195" t="inlineStr">
        <is>
          <t>Tiktok</t>
        </is>
      </c>
      <c r="C562" s="195" t="inlineStr">
        <is>
          <t>Tiktok Shipping</t>
        </is>
      </c>
      <c r="D562" s="195" t="inlineStr">
        <is>
          <t>Co-funded free shipping reimbursement</t>
        </is>
      </c>
      <c r="E562" s="198" t="n">
        <v>0</v>
      </c>
      <c r="F562" s="201" t="n">
        <v>0</v>
      </c>
      <c r="H562" s="198" t="n">
        <v>0</v>
      </c>
      <c r="J562" s="200" t="inlineStr">
        <is>
          <t>Jun</t>
        </is>
      </c>
      <c r="K562" s="199" t="n">
        <v>2025</v>
      </c>
      <c r="L562" s="199" t="n">
        <v>2025</v>
      </c>
    </row>
    <row r="563" ht="15" customHeight="1" s="104">
      <c r="A563" s="194" t="n">
        <v>45838</v>
      </c>
      <c r="B563" s="195" t="inlineStr">
        <is>
          <t>Tiktok</t>
        </is>
      </c>
      <c r="C563" s="195" t="inlineStr">
        <is>
          <t>MCF Shipping fees</t>
        </is>
      </c>
      <c r="D563" s="195" t="inlineStr">
        <is>
          <t>MCF Shipping fees</t>
        </is>
      </c>
      <c r="E563" s="196" t="n">
        <v>-971.9</v>
      </c>
      <c r="F563" s="204" t="n">
        <v>-0.4103752871</v>
      </c>
      <c r="H563" s="196" t="n">
        <v>-971.9</v>
      </c>
      <c r="J563" s="200" t="inlineStr">
        <is>
          <t>Jun</t>
        </is>
      </c>
      <c r="K563" s="199" t="n">
        <v>2025</v>
      </c>
      <c r="L563" s="199" t="n">
        <v>2025</v>
      </c>
    </row>
    <row r="564" ht="15" customHeight="1" s="104">
      <c r="A564" s="194" t="n">
        <v>45838</v>
      </c>
      <c r="B564" s="195" t="inlineStr">
        <is>
          <t>Tiktok</t>
        </is>
      </c>
      <c r="C564" s="195" t="inlineStr">
        <is>
          <t>Fees</t>
        </is>
      </c>
      <c r="D564" s="195" t="inlineStr">
        <is>
          <t>Transaction fee</t>
        </is>
      </c>
      <c r="E564" s="198" t="n">
        <v>0</v>
      </c>
      <c r="F564" s="201" t="n">
        <v>0</v>
      </c>
      <c r="H564" s="198" t="n">
        <v>0</v>
      </c>
      <c r="J564" s="200" t="inlineStr">
        <is>
          <t>Jun</t>
        </is>
      </c>
      <c r="K564" s="199" t="n">
        <v>2025</v>
      </c>
      <c r="L564" s="199" t="n">
        <v>2025</v>
      </c>
    </row>
    <row r="565" ht="15" customHeight="1" s="104">
      <c r="A565" s="194" t="n">
        <v>45838</v>
      </c>
      <c r="B565" s="195" t="inlineStr">
        <is>
          <t>Tiktok</t>
        </is>
      </c>
      <c r="C565" s="195" t="inlineStr">
        <is>
          <t>Fees</t>
        </is>
      </c>
      <c r="D565" s="195" t="inlineStr">
        <is>
          <t>Referral fee</t>
        </is>
      </c>
      <c r="E565" s="196" t="n">
        <v>-142.14</v>
      </c>
      <c r="F565" s="204" t="n">
        <v>-0.0600172274</v>
      </c>
      <c r="H565" s="196" t="n">
        <v>-142.14</v>
      </c>
      <c r="J565" s="200" t="inlineStr">
        <is>
          <t>Jun</t>
        </is>
      </c>
      <c r="K565" s="199" t="n">
        <v>2025</v>
      </c>
      <c r="L565" s="199" t="n">
        <v>2025</v>
      </c>
    </row>
    <row r="566" ht="15" customHeight="1" s="104">
      <c r="A566" s="194" t="n">
        <v>45838</v>
      </c>
      <c r="B566" s="195" t="inlineStr">
        <is>
          <t>Tiktok</t>
        </is>
      </c>
      <c r="C566" s="195" t="inlineStr">
        <is>
          <t>Fees</t>
        </is>
      </c>
      <c r="D566" s="195" t="inlineStr">
        <is>
          <t>Refund administration fee</t>
        </is>
      </c>
      <c r="E566" s="196" t="n">
        <v>-1.69</v>
      </c>
      <c r="F566" s="204" t="n">
        <v>-0.0007135860019</v>
      </c>
      <c r="H566" s="196" t="n">
        <v>-1.69</v>
      </c>
      <c r="J566" s="200" t="inlineStr">
        <is>
          <t>Jun</t>
        </is>
      </c>
      <c r="K566" s="199" t="n">
        <v>2025</v>
      </c>
      <c r="L566" s="199" t="n">
        <v>2025</v>
      </c>
    </row>
    <row r="567" ht="15" customHeight="1" s="104">
      <c r="A567" s="194" t="n">
        <v>45838</v>
      </c>
      <c r="B567" s="195" t="inlineStr">
        <is>
          <t>Tiktok</t>
        </is>
      </c>
      <c r="C567" s="195" t="inlineStr">
        <is>
          <t>Fees</t>
        </is>
      </c>
      <c r="D567" s="195" t="inlineStr">
        <is>
          <t>Affiliate commission</t>
        </is>
      </c>
      <c r="E567" s="196" t="n">
        <v>-188.3</v>
      </c>
      <c r="F567" s="204" t="n">
        <v>-0.07950783677999999</v>
      </c>
      <c r="H567" s="196" t="n">
        <v>-188.3</v>
      </c>
      <c r="J567" s="200" t="inlineStr">
        <is>
          <t>Jun</t>
        </is>
      </c>
      <c r="K567" s="199" t="n">
        <v>2025</v>
      </c>
      <c r="L567" s="199" t="n">
        <v>2025</v>
      </c>
    </row>
    <row r="568" ht="15" customHeight="1" s="104">
      <c r="A568" s="194" t="n">
        <v>45838</v>
      </c>
      <c r="B568" s="195" t="inlineStr">
        <is>
          <t>Tiktok</t>
        </is>
      </c>
      <c r="C568" s="195" t="inlineStr">
        <is>
          <t>Fees</t>
        </is>
      </c>
      <c r="D568" s="195" t="inlineStr">
        <is>
          <t>Affiliate partner commission</t>
        </is>
      </c>
      <c r="E568" s="198" t="n">
        <v>0</v>
      </c>
      <c r="F568" s="201" t="n">
        <v>0</v>
      </c>
      <c r="H568" s="198" t="n">
        <v>0</v>
      </c>
      <c r="J568" s="200" t="inlineStr">
        <is>
          <t>Jun</t>
        </is>
      </c>
      <c r="K568" s="199" t="n">
        <v>2025</v>
      </c>
      <c r="L568" s="199" t="n">
        <v>2025</v>
      </c>
    </row>
    <row r="569" ht="15" customHeight="1" s="104">
      <c r="A569" s="194" t="n">
        <v>45838</v>
      </c>
      <c r="B569" s="195" t="inlineStr">
        <is>
          <t>Tiktok</t>
        </is>
      </c>
      <c r="C569" s="195" t="inlineStr">
        <is>
          <t>Fees</t>
        </is>
      </c>
      <c r="D569" s="195" t="inlineStr">
        <is>
          <t>Affiliate Shop Ads commission</t>
        </is>
      </c>
      <c r="E569" s="196" t="n">
        <v>-10.5</v>
      </c>
      <c r="F569" s="204" t="n">
        <v>-0.004433522497</v>
      </c>
      <c r="H569" s="196" t="n">
        <v>-10.5</v>
      </c>
      <c r="J569" s="200" t="inlineStr">
        <is>
          <t>Jun</t>
        </is>
      </c>
      <c r="K569" s="199" t="n">
        <v>2025</v>
      </c>
      <c r="L569" s="199" t="n">
        <v>2025</v>
      </c>
    </row>
    <row r="570" ht="15" customHeight="1" s="104">
      <c r="A570" s="194" t="n">
        <v>45838</v>
      </c>
      <c r="B570" s="195" t="inlineStr">
        <is>
          <t>Tiktok</t>
        </is>
      </c>
      <c r="C570" s="195" t="inlineStr">
        <is>
          <t>Fees</t>
        </is>
      </c>
      <c r="D570" s="195" t="inlineStr">
        <is>
          <t>Co-funded promotion service fee</t>
        </is>
      </c>
      <c r="E570" s="198" t="n">
        <v>0</v>
      </c>
      <c r="F570" s="201" t="n">
        <v>0</v>
      </c>
      <c r="H570" s="198" t="n">
        <v>0</v>
      </c>
      <c r="J570" s="200" t="inlineStr">
        <is>
          <t>Jun</t>
        </is>
      </c>
      <c r="K570" s="199" t="n">
        <v>2025</v>
      </c>
      <c r="L570" s="199" t="n">
        <v>2025</v>
      </c>
    </row>
    <row r="571" ht="15" customHeight="1" s="104">
      <c r="A571" s="194" t="n">
        <v>45838</v>
      </c>
      <c r="B571" s="195" t="inlineStr">
        <is>
          <t>Tiktok</t>
        </is>
      </c>
      <c r="C571" s="195" t="inlineStr">
        <is>
          <t xml:space="preserve">Adjustments
</t>
        </is>
      </c>
      <c r="D571" s="195" t="inlineStr">
        <is>
          <t>Logistics adjustment</t>
        </is>
      </c>
      <c r="E571" s="198" t="n">
        <v>0</v>
      </c>
      <c r="F571" s="201" t="n">
        <v>0</v>
      </c>
      <c r="H571" s="198" t="n">
        <v>0</v>
      </c>
      <c r="J571" s="200" t="inlineStr">
        <is>
          <t>Jun</t>
        </is>
      </c>
      <c r="K571" s="199" t="n">
        <v>2025</v>
      </c>
      <c r="L571" s="199" t="n">
        <v>2025</v>
      </c>
    </row>
    <row r="572" ht="15" customHeight="1" s="104">
      <c r="A572" s="194" t="n">
        <v>45838</v>
      </c>
      <c r="B572" s="195" t="inlineStr">
        <is>
          <t>Tiktok</t>
        </is>
      </c>
      <c r="C572" s="195" t="inlineStr">
        <is>
          <t xml:space="preserve">Adjustments
</t>
        </is>
      </c>
      <c r="D572" s="195" t="inlineStr">
        <is>
          <t>Logistics reimbursement</t>
        </is>
      </c>
      <c r="E572" s="198" t="n">
        <v>0</v>
      </c>
      <c r="F572" s="201" t="n">
        <v>0</v>
      </c>
      <c r="H572" s="198" t="n">
        <v>0</v>
      </c>
      <c r="J572" s="200" t="inlineStr">
        <is>
          <t>Jun</t>
        </is>
      </c>
      <c r="K572" s="199" t="n">
        <v>2025</v>
      </c>
      <c r="L572" s="199" t="n">
        <v>2025</v>
      </c>
    </row>
    <row r="573" ht="15" customHeight="1" s="104">
      <c r="A573" s="194" t="n">
        <v>45838</v>
      </c>
      <c r="B573" s="195" t="inlineStr">
        <is>
          <t>Tiktok</t>
        </is>
      </c>
      <c r="C573" s="195" t="inlineStr">
        <is>
          <t xml:space="preserve">Adjustments
</t>
        </is>
      </c>
      <c r="D573" s="195" t="inlineStr">
        <is>
          <t>Logistics deduction</t>
        </is>
      </c>
      <c r="E573" s="198" t="n">
        <v>0</v>
      </c>
      <c r="F573" s="201" t="n">
        <v>0</v>
      </c>
      <c r="H573" s="198" t="n">
        <v>0</v>
      </c>
      <c r="J573" s="200" t="inlineStr">
        <is>
          <t>Jun</t>
        </is>
      </c>
      <c r="K573" s="199" t="n">
        <v>2025</v>
      </c>
      <c r="L573" s="199" t="n">
        <v>2025</v>
      </c>
    </row>
    <row r="574" ht="15" customHeight="1" s="104">
      <c r="A574" s="194" t="n">
        <v>45838</v>
      </c>
      <c r="B574" s="195" t="inlineStr">
        <is>
          <t>Tiktok</t>
        </is>
      </c>
      <c r="C574" s="195" t="inlineStr">
        <is>
          <t xml:space="preserve">Adjustments
</t>
        </is>
      </c>
      <c r="D574" s="195" t="inlineStr">
        <is>
          <t>TikTok Shop reimbursement</t>
        </is>
      </c>
      <c r="E574" s="198" t="n">
        <v>0</v>
      </c>
      <c r="F574" s="201" t="n">
        <v>0</v>
      </c>
      <c r="H574" s="198" t="n">
        <v>0</v>
      </c>
      <c r="J574" s="200" t="inlineStr">
        <is>
          <t>Jun</t>
        </is>
      </c>
      <c r="K574" s="199" t="n">
        <v>2025</v>
      </c>
      <c r="L574" s="199" t="n">
        <v>2025</v>
      </c>
    </row>
    <row r="575" ht="15" customHeight="1" s="104">
      <c r="A575" s="194" t="n">
        <v>45838</v>
      </c>
      <c r="B575" s="195" t="inlineStr">
        <is>
          <t>Tiktok</t>
        </is>
      </c>
      <c r="C575" s="195" t="inlineStr">
        <is>
          <t xml:space="preserve">Adjustments
</t>
        </is>
      </c>
      <c r="D575" s="195" t="inlineStr">
        <is>
          <t>Policy violation deduction</t>
        </is>
      </c>
      <c r="E575" s="198" t="n">
        <v>0</v>
      </c>
      <c r="F575" s="201" t="n">
        <v>0</v>
      </c>
      <c r="H575" s="198" t="n">
        <v>0</v>
      </c>
      <c r="J575" s="200" t="inlineStr">
        <is>
          <t>Jun</t>
        </is>
      </c>
      <c r="K575" s="199" t="n">
        <v>2025</v>
      </c>
      <c r="L575" s="199" t="n">
        <v>2025</v>
      </c>
    </row>
    <row r="576" ht="15" customHeight="1" s="104">
      <c r="A576" s="194" t="n">
        <v>45838</v>
      </c>
      <c r="B576" s="195" t="inlineStr">
        <is>
          <t>Tiktok</t>
        </is>
      </c>
      <c r="C576" s="195" t="inlineStr">
        <is>
          <t xml:space="preserve">Adjustments
</t>
        </is>
      </c>
      <c r="D576" s="195" t="inlineStr">
        <is>
          <t>TikTok fees adjustment</t>
        </is>
      </c>
      <c r="E576" s="198" t="n">
        <v>0</v>
      </c>
      <c r="F576" s="201" t="n">
        <v>0</v>
      </c>
      <c r="H576" s="198" t="n">
        <v>0</v>
      </c>
      <c r="J576" s="200" t="inlineStr">
        <is>
          <t>Jun</t>
        </is>
      </c>
      <c r="K576" s="199" t="n">
        <v>2025</v>
      </c>
      <c r="L576" s="199" t="n">
        <v>2025</v>
      </c>
    </row>
    <row r="577" ht="15" customHeight="1" s="104">
      <c r="A577" s="194" t="n">
        <v>45838</v>
      </c>
      <c r="B577" s="195" t="inlineStr">
        <is>
          <t>Tiktok</t>
        </is>
      </c>
      <c r="C577" s="195" t="inlineStr">
        <is>
          <t xml:space="preserve">Adjustments
</t>
        </is>
      </c>
      <c r="D577" s="195" t="inlineStr">
        <is>
          <t>Promotion adjustment</t>
        </is>
      </c>
      <c r="E577" s="198" t="n">
        <v>0</v>
      </c>
      <c r="F577" s="201" t="n">
        <v>0</v>
      </c>
      <c r="H577" s="198" t="n">
        <v>0</v>
      </c>
      <c r="J577" s="200" t="inlineStr">
        <is>
          <t>Jun</t>
        </is>
      </c>
      <c r="K577" s="199" t="n">
        <v>2025</v>
      </c>
      <c r="L577" s="199" t="n">
        <v>2025</v>
      </c>
    </row>
    <row r="578" ht="15" customHeight="1" s="104">
      <c r="A578" s="194" t="n">
        <v>45838</v>
      </c>
      <c r="B578" s="195" t="inlineStr">
        <is>
          <t>Tiktok</t>
        </is>
      </c>
      <c r="C578" s="195" t="inlineStr">
        <is>
          <t xml:space="preserve">Adjustments
</t>
        </is>
      </c>
      <c r="D578" s="195" t="inlineStr">
        <is>
          <t>Adjustment from settlement account</t>
        </is>
      </c>
      <c r="E578" s="198" t="n">
        <v>0</v>
      </c>
      <c r="F578" s="201" t="n">
        <v>0</v>
      </c>
      <c r="H578" s="198" t="n">
        <v>0</v>
      </c>
      <c r="J578" s="200" t="inlineStr">
        <is>
          <t>Jun</t>
        </is>
      </c>
      <c r="K578" s="199" t="n">
        <v>2025</v>
      </c>
      <c r="L578" s="199" t="n">
        <v>2025</v>
      </c>
    </row>
    <row r="579" ht="15" customHeight="1" s="104">
      <c r="A579" s="194" t="n">
        <v>45838</v>
      </c>
      <c r="B579" s="195" t="inlineStr">
        <is>
          <t>Tiktok</t>
        </is>
      </c>
      <c r="C579" s="195" t="inlineStr">
        <is>
          <t xml:space="preserve">Adjustments
</t>
        </is>
      </c>
      <c r="D579" s="195" t="inlineStr">
        <is>
          <t>Chargeback</t>
        </is>
      </c>
      <c r="E579" s="198" t="n">
        <v>0</v>
      </c>
      <c r="F579" s="201" t="n">
        <v>0</v>
      </c>
      <c r="H579" s="198" t="n">
        <v>0</v>
      </c>
      <c r="J579" s="200" t="inlineStr">
        <is>
          <t>Jun</t>
        </is>
      </c>
      <c r="K579" s="199" t="n">
        <v>2025</v>
      </c>
      <c r="L579" s="199" t="n">
        <v>2025</v>
      </c>
    </row>
    <row r="580" ht="15" customHeight="1" s="104">
      <c r="A580" s="194" t="n">
        <v>45838</v>
      </c>
      <c r="B580" s="195" t="inlineStr">
        <is>
          <t>Tiktok</t>
        </is>
      </c>
      <c r="C580" s="195" t="inlineStr">
        <is>
          <t xml:space="preserve">Adjustments
</t>
        </is>
      </c>
      <c r="D580" s="195" t="inlineStr">
        <is>
          <t>Other adjustment</t>
        </is>
      </c>
      <c r="E580" s="198" t="n">
        <v>0</v>
      </c>
      <c r="F580" s="201" t="n">
        <v>0</v>
      </c>
      <c r="H580" s="198" t="n">
        <v>0</v>
      </c>
      <c r="J580" s="200" t="inlineStr">
        <is>
          <t>Jun</t>
        </is>
      </c>
      <c r="K580" s="199" t="n">
        <v>2025</v>
      </c>
      <c r="L580" s="199" t="n">
        <v>2025</v>
      </c>
    </row>
    <row r="581" ht="15" customHeight="1" s="104">
      <c r="A581" s="194" t="n">
        <v>45838</v>
      </c>
      <c r="B581" s="195" t="inlineStr">
        <is>
          <t>Tiktok</t>
        </is>
      </c>
      <c r="C581" s="195" t="inlineStr">
        <is>
          <t xml:space="preserve">Adjustments
</t>
        </is>
      </c>
      <c r="D581" s="195" t="inlineStr">
        <is>
          <t>Top up ads balance using GMV payments</t>
        </is>
      </c>
      <c r="E581" s="198" t="n">
        <v>0</v>
      </c>
      <c r="F581" s="201" t="n">
        <v>0</v>
      </c>
      <c r="H581" s="198" t="n">
        <v>0</v>
      </c>
      <c r="J581" s="200" t="inlineStr">
        <is>
          <t>Jun</t>
        </is>
      </c>
      <c r="K581" s="199" t="n">
        <v>2025</v>
      </c>
      <c r="L581" s="199" t="n">
        <v>2025</v>
      </c>
    </row>
    <row r="582" ht="15" customHeight="1" s="104">
      <c r="A582" s="194" t="n">
        <v>45838</v>
      </c>
      <c r="B582" s="195" t="inlineStr">
        <is>
          <t>Tiktok</t>
        </is>
      </c>
      <c r="C582" s="195" t="inlineStr">
        <is>
          <t xml:space="preserve">Adjustments
</t>
        </is>
      </c>
      <c r="D582" s="195" t="inlineStr">
        <is>
          <t>FBT warehouse service fee</t>
        </is>
      </c>
      <c r="E582" s="196" t="n">
        <v>-4.07</v>
      </c>
      <c r="F582" s="204" t="n">
        <v>-0.001718517768</v>
      </c>
      <c r="H582" s="196" t="n">
        <v>-4.07</v>
      </c>
      <c r="J582" s="200" t="inlineStr">
        <is>
          <t>Jun</t>
        </is>
      </c>
      <c r="K582" s="199" t="n">
        <v>2025</v>
      </c>
      <c r="L582" s="199" t="n">
        <v>2025</v>
      </c>
    </row>
    <row r="583" ht="15" customHeight="1" s="104">
      <c r="A583" s="194" t="n">
        <v>45838</v>
      </c>
      <c r="B583" s="195" t="inlineStr">
        <is>
          <t>Tiktok</t>
        </is>
      </c>
      <c r="C583" s="195" t="inlineStr">
        <is>
          <t xml:space="preserve">Adjustments
</t>
        </is>
      </c>
      <c r="D583" s="195" t="inlineStr">
        <is>
          <t>Co-funded creator activity</t>
        </is>
      </c>
      <c r="E583" s="198" t="n">
        <v>0</v>
      </c>
      <c r="F583" s="201" t="n">
        <v>0</v>
      </c>
      <c r="H583" s="198" t="n">
        <v>0</v>
      </c>
      <c r="J583" s="200" t="inlineStr">
        <is>
          <t>Jun</t>
        </is>
      </c>
      <c r="K583" s="199" t="n">
        <v>2025</v>
      </c>
      <c r="L583" s="199" t="n">
        <v>2025</v>
      </c>
    </row>
    <row r="584" ht="15" customHeight="1" s="104">
      <c r="A584" s="194" t="n">
        <v>45838</v>
      </c>
      <c r="B584" s="195" t="inlineStr">
        <is>
          <t>Tiktok</t>
        </is>
      </c>
      <c r="C584" s="195" t="inlineStr">
        <is>
          <t xml:space="preserve">Adjustments
</t>
        </is>
      </c>
      <c r="D584" s="195" t="inlineStr">
        <is>
          <t>Rebate</t>
        </is>
      </c>
      <c r="E584" s="198" t="n">
        <v>0</v>
      </c>
      <c r="F584" s="201" t="n">
        <v>0</v>
      </c>
      <c r="H584" s="198" t="n">
        <v>0</v>
      </c>
      <c r="J584" s="200" t="inlineStr">
        <is>
          <t>Jun</t>
        </is>
      </c>
      <c r="K584" s="199" t="n">
        <v>2025</v>
      </c>
      <c r="L584" s="199" t="n">
        <v>2025</v>
      </c>
    </row>
    <row r="585" ht="15" customHeight="1" s="104">
      <c r="A585" s="194" t="n">
        <v>45838</v>
      </c>
      <c r="B585" s="195" t="inlineStr">
        <is>
          <t>Tiktok</t>
        </is>
      </c>
      <c r="C585" s="195" t="inlineStr">
        <is>
          <t>Cost of goods</t>
        </is>
      </c>
      <c r="D585" s="195" t="inlineStr">
        <is>
          <t>Cost of goods sold</t>
        </is>
      </c>
      <c r="E585" s="196" t="n">
        <v>-783.2</v>
      </c>
      <c r="F585" s="204" t="n">
        <v>-0.3306985542</v>
      </c>
      <c r="H585" s="196" t="n">
        <v>-783.2</v>
      </c>
      <c r="J585" s="200" t="inlineStr">
        <is>
          <t>Jun</t>
        </is>
      </c>
      <c r="K585" s="199" t="n">
        <v>2025</v>
      </c>
      <c r="L585" s="199" t="n">
        <v>2025</v>
      </c>
    </row>
    <row r="586" ht="15" customHeight="1" s="104">
      <c r="A586" s="194" t="n">
        <v>45838</v>
      </c>
      <c r="B586" s="195" t="inlineStr">
        <is>
          <t>Tiktok</t>
        </is>
      </c>
      <c r="C586" s="195" t="inlineStr">
        <is>
          <t>Advertising cost</t>
        </is>
      </c>
      <c r="D586" s="195" t="inlineStr">
        <is>
          <t>Advertising Cost</t>
        </is>
      </c>
      <c r="E586" s="196" t="n">
        <v>-25.53</v>
      </c>
      <c r="F586" s="204" t="n">
        <v>-0.01077979327</v>
      </c>
      <c r="H586" s="196" t="n">
        <v>-25.53</v>
      </c>
      <c r="J586" s="200" t="inlineStr">
        <is>
          <t>Jun</t>
        </is>
      </c>
      <c r="K586" s="199" t="n">
        <v>2025</v>
      </c>
      <c r="L586" s="199" t="n">
        <v>2025</v>
      </c>
    </row>
    <row r="587" ht="15" customHeight="1" s="104">
      <c r="A587" s="194" t="n">
        <v>45838</v>
      </c>
      <c r="B587" s="195" t="inlineStr">
        <is>
          <t>Shopify</t>
        </is>
      </c>
      <c r="C587" s="195" t="inlineStr">
        <is>
          <t>Payment fees</t>
        </is>
      </c>
      <c r="D587" s="195" t="inlineStr">
        <is>
          <t>Shopify Payments fee</t>
        </is>
      </c>
      <c r="E587" s="196" t="n">
        <v>-108.24</v>
      </c>
      <c r="F587" s="204" t="n">
        <v>-0.02609349688</v>
      </c>
      <c r="H587" s="196" t="n">
        <v>-108.24</v>
      </c>
      <c r="J587" s="200" t="inlineStr">
        <is>
          <t>Jun</t>
        </is>
      </c>
      <c r="K587" s="199" t="n">
        <v>2025</v>
      </c>
      <c r="L587" s="199" t="n">
        <v>2025</v>
      </c>
    </row>
    <row r="588" ht="15" customHeight="1" s="104">
      <c r="A588" s="194" t="n">
        <v>45838</v>
      </c>
      <c r="B588" s="195" t="inlineStr">
        <is>
          <t>Shopify</t>
        </is>
      </c>
      <c r="C588" s="195" t="inlineStr">
        <is>
          <t>Cost of goods</t>
        </is>
      </c>
      <c r="D588" s="195" t="inlineStr">
        <is>
          <t>Cost of goods sold</t>
        </is>
      </c>
      <c r="E588" s="196" t="n">
        <v>-1469.42</v>
      </c>
      <c r="F588" s="204" t="n">
        <v>-0.3542341665</v>
      </c>
      <c r="H588" s="196" t="n">
        <v>-1469.42</v>
      </c>
      <c r="J588" s="200" t="inlineStr">
        <is>
          <t>Jun</t>
        </is>
      </c>
      <c r="K588" s="199" t="n">
        <v>2025</v>
      </c>
      <c r="L588" s="199" t="n">
        <v>2025</v>
      </c>
    </row>
    <row r="589" ht="15" customHeight="1" s="104">
      <c r="A589" s="194" t="n">
        <v>45838</v>
      </c>
      <c r="B589" s="195" t="inlineStr">
        <is>
          <t>Shopify</t>
        </is>
      </c>
      <c r="C589" s="195" t="inlineStr">
        <is>
          <t>Tax</t>
        </is>
      </c>
      <c r="D589" s="195" t="inlineStr">
        <is>
          <t>Texas State Tax</t>
        </is>
      </c>
      <c r="E589" s="196" t="n">
        <v>-26.62</v>
      </c>
      <c r="F589" s="204" t="n">
        <v>-0.006417303093</v>
      </c>
      <c r="H589" s="196" t="n">
        <v>-26.62</v>
      </c>
      <c r="J589" s="200" t="inlineStr">
        <is>
          <t>Jun</t>
        </is>
      </c>
      <c r="K589" s="199" t="n">
        <v>2025</v>
      </c>
      <c r="L589" s="199" t="n">
        <v>2025</v>
      </c>
    </row>
    <row r="590" ht="15" customHeight="1" s="104">
      <c r="A590" s="194" t="n">
        <v>45838</v>
      </c>
      <c r="B590" s="195" t="inlineStr">
        <is>
          <t>Shopify</t>
        </is>
      </c>
      <c r="C590" s="195" t="inlineStr">
        <is>
          <t>Tax</t>
        </is>
      </c>
      <c r="D590" s="195" t="inlineStr">
        <is>
          <t>Galveston City Tax</t>
        </is>
      </c>
      <c r="E590" s="196" t="n">
        <v>-8.52</v>
      </c>
      <c r="F590" s="204" t="n">
        <v>-0.002053922703</v>
      </c>
      <c r="H590" s="196" t="n">
        <v>-8.52</v>
      </c>
      <c r="J590" s="200" t="inlineStr">
        <is>
          <t>Jun</t>
        </is>
      </c>
      <c r="K590" s="199" t="n">
        <v>2025</v>
      </c>
      <c r="L590" s="199" t="n">
        <v>2025</v>
      </c>
    </row>
    <row r="591" ht="15" customHeight="1" s="104">
      <c r="A591" s="194" t="n">
        <v>45838</v>
      </c>
      <c r="B591" s="195" t="inlineStr">
        <is>
          <t>Shopify</t>
        </is>
      </c>
      <c r="C591" s="195" t="inlineStr">
        <is>
          <t>Tax</t>
        </is>
      </c>
      <c r="D591" s="195" t="inlineStr">
        <is>
          <t>Henrico Co Sp</t>
        </is>
      </c>
      <c r="E591" s="198" t="n">
        <v>0</v>
      </c>
      <c r="F591" s="201" t="n">
        <v>0</v>
      </c>
      <c r="H591" s="198" t="n">
        <v>0</v>
      </c>
      <c r="J591" s="200" t="inlineStr">
        <is>
          <t>Jun</t>
        </is>
      </c>
      <c r="K591" s="199" t="n">
        <v>2025</v>
      </c>
      <c r="L591" s="199" t="n">
        <v>2025</v>
      </c>
    </row>
    <row r="592" ht="15" customHeight="1" s="104">
      <c r="A592" s="194" t="n">
        <v>45838</v>
      </c>
      <c r="B592" s="195" t="inlineStr">
        <is>
          <t>Shopify</t>
        </is>
      </c>
      <c r="C592" s="195" t="inlineStr">
        <is>
          <t>Tax</t>
        </is>
      </c>
      <c r="D592" s="195" t="inlineStr">
        <is>
          <t>California State Tax</t>
        </is>
      </c>
      <c r="E592" s="198" t="n">
        <v>0</v>
      </c>
      <c r="F592" s="201" t="n">
        <v>0</v>
      </c>
      <c r="H592" s="198" t="n">
        <v>0</v>
      </c>
      <c r="J592" s="200" t="inlineStr">
        <is>
          <t>Jun</t>
        </is>
      </c>
      <c r="K592" s="199" t="n">
        <v>2025</v>
      </c>
      <c r="L592" s="199" t="n">
        <v>2025</v>
      </c>
    </row>
    <row r="593" ht="15" customHeight="1" s="104">
      <c r="A593" s="194" t="n">
        <v>45838</v>
      </c>
      <c r="B593" s="195" t="inlineStr">
        <is>
          <t>Shopify</t>
        </is>
      </c>
      <c r="C593" s="195" t="inlineStr">
        <is>
          <t>Tax</t>
        </is>
      </c>
      <c r="D593" s="195" t="inlineStr">
        <is>
          <t>CONTRA COSTA COUNTY</t>
        </is>
      </c>
      <c r="E593" s="198" t="n">
        <v>0</v>
      </c>
      <c r="F593" s="201" t="n">
        <v>0</v>
      </c>
      <c r="H593" s="198" t="n">
        <v>0</v>
      </c>
      <c r="J593" s="200" t="inlineStr">
        <is>
          <t>Jun</t>
        </is>
      </c>
      <c r="K593" s="199" t="n">
        <v>2025</v>
      </c>
      <c r="L593" s="199" t="n">
        <v>2025</v>
      </c>
    </row>
    <row r="594" ht="15" customHeight="1" s="104">
      <c r="A594" s="194" t="n">
        <v>45838</v>
      </c>
      <c r="B594" s="195" t="inlineStr">
        <is>
          <t>Shopify</t>
        </is>
      </c>
      <c r="C594" s="195" t="inlineStr">
        <is>
          <t>Tax</t>
        </is>
      </c>
      <c r="D594" s="195" t="inlineStr">
        <is>
          <t>CONTRA COSTA CO LOC</t>
        </is>
      </c>
      <c r="E594" s="198" t="n">
        <v>0</v>
      </c>
      <c r="F594" s="201" t="n">
        <v>0</v>
      </c>
      <c r="H594" s="198" t="n">
        <v>0</v>
      </c>
      <c r="J594" s="200" t="inlineStr">
        <is>
          <t>Jun</t>
        </is>
      </c>
      <c r="K594" s="199" t="n">
        <v>2025</v>
      </c>
      <c r="L594" s="199" t="n">
        <v>2025</v>
      </c>
    </row>
    <row r="595" ht="15" customHeight="1" s="104">
      <c r="A595" s="194" t="n">
        <v>45838</v>
      </c>
      <c r="B595" s="195" t="inlineStr">
        <is>
          <t>Shopify</t>
        </is>
      </c>
      <c r="C595" s="195" t="inlineStr">
        <is>
          <t>Tax</t>
        </is>
      </c>
      <c r="D595" s="195" t="inlineStr">
        <is>
          <t>Contra Costa County Tax</t>
        </is>
      </c>
      <c r="E595" s="198" t="n">
        <v>0</v>
      </c>
      <c r="F595" s="201" t="n">
        <v>0</v>
      </c>
      <c r="H595" s="198" t="n">
        <v>0</v>
      </c>
      <c r="J595" s="200" t="inlineStr">
        <is>
          <t>Jun</t>
        </is>
      </c>
      <c r="K595" s="199" t="n">
        <v>2025</v>
      </c>
      <c r="L595" s="199" t="n">
        <v>2025</v>
      </c>
    </row>
    <row r="596" ht="15" customHeight="1" s="104">
      <c r="A596" s="194" t="n">
        <v>45838</v>
      </c>
      <c r="B596" s="195" t="inlineStr">
        <is>
          <t>Shopify</t>
        </is>
      </c>
      <c r="C596" s="195" t="inlineStr">
        <is>
          <t>Tax</t>
        </is>
      </c>
      <c r="D596" s="195" t="inlineStr">
        <is>
          <t>Florida State Tax</t>
        </is>
      </c>
      <c r="E596" s="196" t="n">
        <v>-2.34</v>
      </c>
      <c r="F596" s="204" t="n">
        <v>-0.0005641055311</v>
      </c>
      <c r="H596" s="196" t="n">
        <v>-2.34</v>
      </c>
      <c r="J596" s="200" t="inlineStr">
        <is>
          <t>Jun</t>
        </is>
      </c>
      <c r="K596" s="199" t="n">
        <v>2025</v>
      </c>
      <c r="L596" s="199" t="n">
        <v>2025</v>
      </c>
    </row>
    <row r="597" ht="15" customHeight="1" s="104">
      <c r="A597" s="194" t="n">
        <v>45838</v>
      </c>
      <c r="B597" s="195" t="inlineStr">
        <is>
          <t>Shopify</t>
        </is>
      </c>
      <c r="C597" s="195" t="inlineStr">
        <is>
          <t>Tax</t>
        </is>
      </c>
      <c r="D597" s="195" t="inlineStr">
        <is>
          <t>Volusia County Tax</t>
        </is>
      </c>
      <c r="E597" s="197" t="n">
        <v>-0.19</v>
      </c>
      <c r="F597" s="204" t="n">
        <v>-4.580344056e-05</v>
      </c>
      <c r="H597" s="197" t="n">
        <v>-0.19</v>
      </c>
      <c r="J597" s="200" t="inlineStr">
        <is>
          <t>Jun</t>
        </is>
      </c>
      <c r="K597" s="199" t="n">
        <v>2025</v>
      </c>
      <c r="L597" s="199" t="n">
        <v>2025</v>
      </c>
    </row>
    <row r="598" ht="15" customHeight="1" s="104">
      <c r="A598" s="194" t="n">
        <v>45838</v>
      </c>
      <c r="B598" s="195" t="inlineStr">
        <is>
          <t>Shopify</t>
        </is>
      </c>
      <c r="C598" s="195" t="inlineStr">
        <is>
          <t>MCF Shipping fees</t>
        </is>
      </c>
      <c r="D598" s="195" t="inlineStr">
        <is>
          <t>MCF Shipping fees</t>
        </is>
      </c>
      <c r="E598" s="196" t="n">
        <v>-1157.65</v>
      </c>
      <c r="F598" s="204" t="n">
        <v>-0.2790755419</v>
      </c>
      <c r="H598" s="196" t="n">
        <v>-1157.65</v>
      </c>
      <c r="J598" s="200" t="inlineStr">
        <is>
          <t>Jun</t>
        </is>
      </c>
      <c r="K598" s="199" t="n">
        <v>2025</v>
      </c>
      <c r="L598" s="199" t="n">
        <v>2025</v>
      </c>
    </row>
    <row r="599" ht="15" customHeight="1" s="104">
      <c r="A599" s="194" t="n">
        <v>45838</v>
      </c>
      <c r="B599" s="195" t="inlineStr">
        <is>
          <t>Shopify</t>
        </is>
      </c>
      <c r="C599" s="195" t="inlineStr">
        <is>
          <t>Shipping Cost</t>
        </is>
      </c>
      <c r="D599" s="195" t="inlineStr">
        <is>
          <t>Shipping Cost</t>
        </is>
      </c>
      <c r="E599" s="198" t="n">
        <v>0</v>
      </c>
      <c r="F599" s="201" t="n">
        <v>0</v>
      </c>
      <c r="H599" s="198" t="n">
        <v>0</v>
      </c>
      <c r="J599" s="200" t="inlineStr">
        <is>
          <t>Jun</t>
        </is>
      </c>
      <c r="K599" s="199" t="n">
        <v>2025</v>
      </c>
      <c r="L599" s="199" t="n">
        <v>2025</v>
      </c>
    </row>
    <row r="600" ht="15" customHeight="1" s="104">
      <c r="A600" s="194" t="n">
        <v>45838</v>
      </c>
      <c r="B600" s="195" t="inlineStr">
        <is>
          <t>Shopify</t>
        </is>
      </c>
      <c r="C600" s="195" t="inlineStr">
        <is>
          <t>Advertising cost</t>
        </is>
      </c>
      <c r="D600" s="195" t="inlineStr">
        <is>
          <t>Advertising Cost</t>
        </is>
      </c>
      <c r="E600" s="196" t="n">
        <v>-29.86</v>
      </c>
      <c r="F600" s="204" t="n">
        <v>-0.00719837229</v>
      </c>
      <c r="H600" s="196" t="n">
        <v>-29.86</v>
      </c>
      <c r="J600" s="200" t="inlineStr">
        <is>
          <t>Jun</t>
        </is>
      </c>
      <c r="K600" s="199" t="n">
        <v>2025</v>
      </c>
      <c r="L600" s="199" t="n">
        <v>2025</v>
      </c>
    </row>
    <row r="601" ht="15" customHeight="1" s="104">
      <c r="A601" s="194" t="n">
        <v>45869</v>
      </c>
      <c r="B601" s="195" t="inlineStr">
        <is>
          <t>Amazon US</t>
        </is>
      </c>
      <c r="C601" s="195" t="inlineStr">
        <is>
          <t>Advertising cost</t>
        </is>
      </c>
      <c r="D601" s="195" t="inlineStr">
        <is>
          <t>Sponsored Products</t>
        </is>
      </c>
      <c r="E601" s="196" t="n">
        <v>-7204.44</v>
      </c>
      <c r="F601" s="204" t="n">
        <v>-0.06676418733</v>
      </c>
      <c r="H601" s="196" t="n">
        <v>-7204.44</v>
      </c>
      <c r="J601" s="200" t="inlineStr">
        <is>
          <t>Jul</t>
        </is>
      </c>
      <c r="K601" s="199" t="n">
        <v>2025</v>
      </c>
      <c r="L601" s="199" t="n">
        <v>2025</v>
      </c>
    </row>
    <row r="602" ht="15" customHeight="1" s="104">
      <c r="A602" s="194" t="n">
        <v>45869</v>
      </c>
      <c r="B602" s="195" t="inlineStr">
        <is>
          <t>Amazon US</t>
        </is>
      </c>
      <c r="C602" s="195" t="inlineStr">
        <is>
          <t>Advertising cost</t>
        </is>
      </c>
      <c r="D602" s="195" t="inlineStr">
        <is>
          <t>Sponsored Brands Video</t>
        </is>
      </c>
      <c r="E602" s="196" t="n">
        <v>-11.54</v>
      </c>
      <c r="F602" s="204" t="n">
        <v>-0.0001069422081</v>
      </c>
      <c r="H602" s="196" t="n">
        <v>-11.54</v>
      </c>
      <c r="J602" s="200" t="inlineStr">
        <is>
          <t>Jul</t>
        </is>
      </c>
      <c r="K602" s="199" t="n">
        <v>2025</v>
      </c>
      <c r="L602" s="199" t="n">
        <v>2025</v>
      </c>
    </row>
    <row r="603" ht="15" customHeight="1" s="104">
      <c r="A603" s="194" t="n">
        <v>45869</v>
      </c>
      <c r="B603" s="195" t="inlineStr">
        <is>
          <t>Amazon US</t>
        </is>
      </c>
      <c r="C603" s="195" t="inlineStr">
        <is>
          <t>Advertising cost</t>
        </is>
      </c>
      <c r="D603" s="195" t="inlineStr">
        <is>
          <t>Sponsored Display</t>
        </is>
      </c>
      <c r="E603" s="198" t="n">
        <v>0</v>
      </c>
      <c r="F603" s="201" t="n">
        <v>0</v>
      </c>
      <c r="H603" s="198" t="n">
        <v>0</v>
      </c>
      <c r="J603" s="200" t="inlineStr">
        <is>
          <t>Jul</t>
        </is>
      </c>
      <c r="K603" s="199" t="n">
        <v>2025</v>
      </c>
      <c r="L603" s="199" t="n">
        <v>2025</v>
      </c>
    </row>
    <row r="604" ht="15" customHeight="1" s="104">
      <c r="A604" s="194" t="n">
        <v>45869</v>
      </c>
      <c r="B604" s="195" t="inlineStr">
        <is>
          <t>Amazon US</t>
        </is>
      </c>
      <c r="C604" s="195" t="inlineStr">
        <is>
          <t>Advertising cost</t>
        </is>
      </c>
      <c r="D604" s="195" t="inlineStr">
        <is>
          <t>Sponsored Brands</t>
        </is>
      </c>
      <c r="E604" s="198" t="n">
        <v>0</v>
      </c>
      <c r="F604" s="201" t="n">
        <v>0</v>
      </c>
      <c r="H604" s="198" t="n">
        <v>0</v>
      </c>
      <c r="J604" s="200" t="inlineStr">
        <is>
          <t>Jul</t>
        </is>
      </c>
      <c r="K604" s="199" t="n">
        <v>2025</v>
      </c>
      <c r="L604" s="199" t="n">
        <v>2025</v>
      </c>
    </row>
    <row r="605" ht="15" customHeight="1" s="104">
      <c r="A605" s="194" t="n">
        <v>45869</v>
      </c>
      <c r="B605" s="195" t="inlineStr">
        <is>
          <t>Amazon US</t>
        </is>
      </c>
      <c r="C605" s="195" t="inlineStr">
        <is>
          <t>Refund cost</t>
        </is>
      </c>
      <c r="D605" s="195" t="inlineStr">
        <is>
          <t>Refunded amount</t>
        </is>
      </c>
      <c r="E605" s="196" t="n">
        <v>-10436.23</v>
      </c>
      <c r="F605" s="204" t="n">
        <v>-0.09671347319</v>
      </c>
      <c r="H605" s="196" t="n">
        <v>-10436.23</v>
      </c>
      <c r="J605" s="200" t="inlineStr">
        <is>
          <t>Jul</t>
        </is>
      </c>
      <c r="K605" s="199" t="n">
        <v>2025</v>
      </c>
      <c r="L605" s="199" t="n">
        <v>2025</v>
      </c>
    </row>
    <row r="606" ht="15" customHeight="1" s="104">
      <c r="A606" s="194" t="n">
        <v>45869</v>
      </c>
      <c r="B606" s="195" t="inlineStr">
        <is>
          <t>Amazon US</t>
        </is>
      </c>
      <c r="C606" s="195" t="inlineStr">
        <is>
          <t>Refund cost</t>
        </is>
      </c>
      <c r="D606" s="195" t="inlineStr">
        <is>
          <t>Refund commission</t>
        </is>
      </c>
      <c r="E606" s="196" t="n">
        <v>-307.07</v>
      </c>
      <c r="F606" s="204" t="n">
        <v>-0.002845645047</v>
      </c>
      <c r="H606" s="196" t="n">
        <v>-307.07</v>
      </c>
      <c r="J606" s="200" t="inlineStr">
        <is>
          <t>Jul</t>
        </is>
      </c>
      <c r="K606" s="199" t="n">
        <v>2025</v>
      </c>
      <c r="L606" s="199" t="n">
        <v>2025</v>
      </c>
    </row>
    <row r="607" ht="15" customHeight="1" s="104">
      <c r="A607" s="194" t="n">
        <v>45869</v>
      </c>
      <c r="B607" s="195" t="inlineStr">
        <is>
          <t>Amazon US</t>
        </is>
      </c>
      <c r="C607" s="195" t="inlineStr">
        <is>
          <t>Refund cost</t>
        </is>
      </c>
      <c r="D607" s="195" t="inlineStr">
        <is>
          <t>Promotion</t>
        </is>
      </c>
      <c r="E607" s="196" t="n">
        <v>75.23999999999999</v>
      </c>
      <c r="F607" s="204" t="n">
        <v>0.0006972557832</v>
      </c>
      <c r="H607" s="196" t="n">
        <v>75.23999999999999</v>
      </c>
      <c r="J607" s="200" t="inlineStr">
        <is>
          <t>Jul</t>
        </is>
      </c>
      <c r="K607" s="199" t="n">
        <v>2025</v>
      </c>
      <c r="L607" s="199" t="n">
        <v>2025</v>
      </c>
    </row>
    <row r="608" ht="15" customHeight="1" s="104">
      <c r="A608" s="194" t="n">
        <v>45869</v>
      </c>
      <c r="B608" s="195" t="inlineStr">
        <is>
          <t>Amazon US</t>
        </is>
      </c>
      <c r="C608" s="195" t="inlineStr">
        <is>
          <t>Refund cost</t>
        </is>
      </c>
      <c r="D608" s="195" t="inlineStr">
        <is>
          <t>Refunded referral fee</t>
        </is>
      </c>
      <c r="E608" s="196" t="n">
        <v>1554.64</v>
      </c>
      <c r="F608" s="204" t="n">
        <v>0.01440698739</v>
      </c>
      <c r="H608" s="196" t="n">
        <v>1554.64</v>
      </c>
      <c r="J608" s="200" t="inlineStr">
        <is>
          <t>Jul</t>
        </is>
      </c>
      <c r="K608" s="199" t="n">
        <v>2025</v>
      </c>
      <c r="L608" s="199" t="n">
        <v>2025</v>
      </c>
    </row>
    <row r="609" ht="15" customHeight="1" s="104">
      <c r="A609" s="194" t="n">
        <v>45869</v>
      </c>
      <c r="B609" s="195" t="inlineStr">
        <is>
          <t>Amazon US</t>
        </is>
      </c>
      <c r="C609" s="195" t="inlineStr">
        <is>
          <t>Refund cost</t>
        </is>
      </c>
      <c r="D609" s="195" t="inlineStr">
        <is>
          <t>Value of returned items</t>
        </is>
      </c>
      <c r="E609" s="196" t="n">
        <v>1339.08</v>
      </c>
      <c r="F609" s="204" t="n">
        <v>0.01240937366</v>
      </c>
      <c r="H609" s="196" t="n">
        <v>1339.08</v>
      </c>
      <c r="J609" s="200" t="inlineStr">
        <is>
          <t>Jul</t>
        </is>
      </c>
      <c r="K609" s="199" t="n">
        <v>2025</v>
      </c>
      <c r="L609" s="199" t="n">
        <v>2025</v>
      </c>
    </row>
    <row r="610" ht="15" customHeight="1" s="104">
      <c r="A610" s="194" t="n">
        <v>45869</v>
      </c>
      <c r="B610" s="195" t="inlineStr">
        <is>
          <t>Amazon US</t>
        </is>
      </c>
      <c r="C610" s="195" t="inlineStr">
        <is>
          <t>Amazon fees</t>
        </is>
      </c>
      <c r="D610" s="195" t="inlineStr">
        <is>
          <t>FBA per unit fulfilment fee</t>
        </is>
      </c>
      <c r="E610" s="196" t="n">
        <v>-17383.25</v>
      </c>
      <c r="F610" s="204" t="n">
        <v>-0.1610921264</v>
      </c>
      <c r="H610" s="196" t="n">
        <v>-17383.25</v>
      </c>
      <c r="J610" s="200" t="inlineStr">
        <is>
          <t>Jul</t>
        </is>
      </c>
      <c r="K610" s="199" t="n">
        <v>2025</v>
      </c>
      <c r="L610" s="199" t="n">
        <v>2025</v>
      </c>
    </row>
    <row r="611" ht="15" customHeight="1" s="104">
      <c r="A611" s="194" t="n">
        <v>45869</v>
      </c>
      <c r="B611" s="195" t="inlineStr">
        <is>
          <t>Amazon US</t>
        </is>
      </c>
      <c r="C611" s="195" t="inlineStr">
        <is>
          <t>Amazon fees</t>
        </is>
      </c>
      <c r="D611" s="195" t="inlineStr">
        <is>
          <t>Referral fee</t>
        </is>
      </c>
      <c r="E611" s="196" t="n">
        <v>-16061.12</v>
      </c>
      <c r="F611" s="204" t="n">
        <v>-0.1488398299</v>
      </c>
      <c r="H611" s="196" t="n">
        <v>-16061.12</v>
      </c>
      <c r="J611" s="200" t="inlineStr">
        <is>
          <t>Jul</t>
        </is>
      </c>
      <c r="K611" s="199" t="n">
        <v>2025</v>
      </c>
      <c r="L611" s="199" t="n">
        <v>2025</v>
      </c>
    </row>
    <row r="612" ht="15" customHeight="1" s="104">
      <c r="A612" s="194" t="n">
        <v>45869</v>
      </c>
      <c r="B612" s="195" t="inlineStr">
        <is>
          <t>Amazon US</t>
        </is>
      </c>
      <c r="C612" s="195" t="inlineStr">
        <is>
          <t>Amazon fees</t>
        </is>
      </c>
      <c r="D612" s="195" t="inlineStr">
        <is>
          <t>FBA storage fee</t>
        </is>
      </c>
      <c r="E612" s="196" t="n">
        <v>-1479.24</v>
      </c>
      <c r="F612" s="204" t="n">
        <v>-0.01370824887</v>
      </c>
      <c r="H612" s="196" t="n">
        <v>-1479.24</v>
      </c>
      <c r="J612" s="200" t="inlineStr">
        <is>
          <t>Jul</t>
        </is>
      </c>
      <c r="K612" s="199" t="n">
        <v>2025</v>
      </c>
      <c r="L612" s="199" t="n">
        <v>2025</v>
      </c>
    </row>
    <row r="613" ht="15" customHeight="1" s="104">
      <c r="A613" s="194" t="n">
        <v>45869</v>
      </c>
      <c r="B613" s="195" t="inlineStr">
        <is>
          <t>Amazon US</t>
        </is>
      </c>
      <c r="C613" s="195" t="inlineStr">
        <is>
          <t>Amazon fees</t>
        </is>
      </c>
      <c r="D613" s="195" t="inlineStr">
        <is>
          <t>FBA disposal fee</t>
        </is>
      </c>
      <c r="E613" s="196" t="n">
        <v>-663.8099999999999</v>
      </c>
      <c r="F613" s="204" t="n">
        <v>-0.00615158641</v>
      </c>
      <c r="H613" s="196" t="n">
        <v>-663.8099999999999</v>
      </c>
      <c r="J613" s="200" t="inlineStr">
        <is>
          <t>Jul</t>
        </is>
      </c>
      <c r="K613" s="199" t="n">
        <v>2025</v>
      </c>
      <c r="L613" s="199" t="n">
        <v>2025</v>
      </c>
    </row>
    <row r="614" ht="15" customHeight="1" s="104">
      <c r="A614" s="194" t="n">
        <v>45869</v>
      </c>
      <c r="B614" s="195" t="inlineStr">
        <is>
          <t>Amazon US</t>
        </is>
      </c>
      <c r="C614" s="195" t="inlineStr">
        <is>
          <t>Amazon fees</t>
        </is>
      </c>
      <c r="D614" s="195" t="inlineStr">
        <is>
          <t>FBA inbound convenience fee</t>
        </is>
      </c>
      <c r="F614" s="201" t="n">
        <v>0</v>
      </c>
      <c r="J614" s="200" t="inlineStr">
        <is>
          <t>Jul</t>
        </is>
      </c>
      <c r="K614" s="199" t="n">
        <v>2025</v>
      </c>
      <c r="L614" s="199" t="n">
        <v>2025</v>
      </c>
    </row>
    <row r="615" ht="15" customHeight="1" s="104">
      <c r="A615" s="194" t="n">
        <v>45869</v>
      </c>
      <c r="B615" s="195" t="inlineStr">
        <is>
          <t>Amazon US</t>
        </is>
      </c>
      <c r="C615" s="195" t="inlineStr">
        <is>
          <t>Amazon fees</t>
        </is>
      </c>
      <c r="D615" s="195" t="inlineStr">
        <is>
          <t>Liquidations brokerage fee</t>
        </is>
      </c>
      <c r="E615" s="196" t="n">
        <v>-2.49</v>
      </c>
      <c r="F615" s="204" t="n">
        <v>-2.307505184e-05</v>
      </c>
      <c r="H615" s="196" t="n">
        <v>-2.49</v>
      </c>
      <c r="J615" s="200" t="inlineStr">
        <is>
          <t>Jul</t>
        </is>
      </c>
      <c r="K615" s="199" t="n">
        <v>2025</v>
      </c>
      <c r="L615" s="199" t="n">
        <v>2025</v>
      </c>
    </row>
    <row r="616" ht="15" customHeight="1" s="104">
      <c r="A616" s="194" t="n">
        <v>45869</v>
      </c>
      <c r="B616" s="195" t="inlineStr">
        <is>
          <t>Amazon US</t>
        </is>
      </c>
      <c r="C616" s="195" t="inlineStr">
        <is>
          <t>Amazon fees</t>
        </is>
      </c>
      <c r="D616" s="195" t="inlineStr">
        <is>
          <t>Customer Return HRR Unit Fee</t>
        </is>
      </c>
      <c r="E616" s="196" t="n">
        <v>-59.85</v>
      </c>
      <c r="F616" s="204" t="n">
        <v>-0.0005546352821</v>
      </c>
      <c r="H616" s="196" t="n">
        <v>-59.85</v>
      </c>
      <c r="J616" s="200" t="inlineStr">
        <is>
          <t>Jul</t>
        </is>
      </c>
      <c r="K616" s="199" t="n">
        <v>2025</v>
      </c>
      <c r="L616" s="199" t="n">
        <v>2025</v>
      </c>
    </row>
    <row r="617" ht="15" customHeight="1" s="104">
      <c r="A617" s="194" t="n">
        <v>45869</v>
      </c>
      <c r="B617" s="195" t="inlineStr">
        <is>
          <t>Amazon US</t>
        </is>
      </c>
      <c r="C617" s="195" t="inlineStr">
        <is>
          <t>Amazon fees</t>
        </is>
      </c>
      <c r="D617" s="195" t="inlineStr">
        <is>
          <t>Get paid faster fee</t>
        </is>
      </c>
      <c r="E617" s="196" t="n">
        <v>-28.49</v>
      </c>
      <c r="F617" s="204" t="n">
        <v>-0.0002640193682</v>
      </c>
      <c r="H617" s="196" t="n">
        <v>-28.49</v>
      </c>
      <c r="J617" s="200" t="inlineStr">
        <is>
          <t>Jul</t>
        </is>
      </c>
      <c r="K617" s="199" t="n">
        <v>2025</v>
      </c>
      <c r="L617" s="199" t="n">
        <v>2025</v>
      </c>
    </row>
    <row r="618" ht="15" customHeight="1" s="104">
      <c r="A618" s="194" t="n">
        <v>45869</v>
      </c>
      <c r="B618" s="195" t="inlineStr">
        <is>
          <t>Amazon US</t>
        </is>
      </c>
      <c r="C618" s="195" t="inlineStr">
        <is>
          <t>Amazon fees</t>
        </is>
      </c>
      <c r="D618" s="195" t="inlineStr">
        <is>
          <t>Compensated clawback</t>
        </is>
      </c>
      <c r="E618" s="196" t="n">
        <v>-28.9</v>
      </c>
      <c r="F618" s="204" t="n">
        <v>-0.0002678188747</v>
      </c>
      <c r="H618" s="196" t="n">
        <v>-28.9</v>
      </c>
      <c r="J618" s="200" t="inlineStr">
        <is>
          <t>Jul</t>
        </is>
      </c>
      <c r="K618" s="199" t="n">
        <v>2025</v>
      </c>
      <c r="L618" s="199" t="n">
        <v>2025</v>
      </c>
    </row>
    <row r="619" ht="15" customHeight="1" s="104">
      <c r="A619" s="194" t="n">
        <v>45869</v>
      </c>
      <c r="B619" s="195" t="inlineStr">
        <is>
          <t>Amazon US</t>
        </is>
      </c>
      <c r="C619" s="195" t="inlineStr">
        <is>
          <t>Amazon fees</t>
        </is>
      </c>
      <c r="D619" s="195" t="inlineStr">
        <is>
          <t>Free replacement refund items</t>
        </is>
      </c>
      <c r="E619" s="196" t="n">
        <v>28.9</v>
      </c>
      <c r="F619" s="204" t="n">
        <v>0.0002678188747</v>
      </c>
      <c r="H619" s="196" t="n">
        <v>28.9</v>
      </c>
      <c r="J619" s="200" t="inlineStr">
        <is>
          <t>Jul</t>
        </is>
      </c>
      <c r="K619" s="199" t="n">
        <v>2025</v>
      </c>
      <c r="L619" s="199" t="n">
        <v>2025</v>
      </c>
    </row>
    <row r="620" ht="15" customHeight="1" s="104">
      <c r="A620" s="194" t="n">
        <v>45869</v>
      </c>
      <c r="B620" s="195" t="inlineStr">
        <is>
          <t>Amazon US</t>
        </is>
      </c>
      <c r="C620" s="195" t="inlineStr">
        <is>
          <t>Amazon fees</t>
        </is>
      </c>
      <c r="D620" s="195" t="inlineStr">
        <is>
          <t>Warehouse lost</t>
        </is>
      </c>
      <c r="E620" s="196" t="n">
        <v>89.44</v>
      </c>
      <c r="F620" s="204" t="n">
        <v>0.0008288484483</v>
      </c>
      <c r="H620" s="196" t="n">
        <v>89.44</v>
      </c>
      <c r="J620" s="200" t="inlineStr">
        <is>
          <t>Jul</t>
        </is>
      </c>
      <c r="K620" s="199" t="n">
        <v>2025</v>
      </c>
      <c r="L620" s="199" t="n">
        <v>2025</v>
      </c>
    </row>
    <row r="621" ht="15" customHeight="1" s="104">
      <c r="A621" s="194" t="n">
        <v>45869</v>
      </c>
      <c r="B621" s="195" t="inlineStr">
        <is>
          <t>Amazon US</t>
        </is>
      </c>
      <c r="C621" s="195" t="inlineStr">
        <is>
          <t>Amazon fees</t>
        </is>
      </c>
      <c r="D621" s="195" t="inlineStr">
        <is>
          <t>Missing from inbound</t>
        </is>
      </c>
      <c r="E621" s="196" t="n">
        <v>232.57</v>
      </c>
      <c r="F621" s="204" t="n">
        <v>0.00215524691</v>
      </c>
      <c r="H621" s="196" t="n">
        <v>232.57</v>
      </c>
      <c r="J621" s="200" t="inlineStr">
        <is>
          <t>Jul</t>
        </is>
      </c>
      <c r="K621" s="199" t="n">
        <v>2025</v>
      </c>
      <c r="L621" s="199" t="n">
        <v>2025</v>
      </c>
    </row>
    <row r="622" ht="15" customHeight="1" s="104">
      <c r="A622" s="194" t="n">
        <v>45869</v>
      </c>
      <c r="B622" s="195" t="inlineStr">
        <is>
          <t>Amazon US</t>
        </is>
      </c>
      <c r="C622" s="195" t="inlineStr">
        <is>
          <t>Amazon fees</t>
        </is>
      </c>
      <c r="D622" s="195" t="inlineStr">
        <is>
          <t>Warehouse damage</t>
        </is>
      </c>
      <c r="E622" s="196" t="n">
        <v>159.85</v>
      </c>
      <c r="F622" s="204" t="n">
        <v>0.001481344191</v>
      </c>
      <c r="H622" s="196" t="n">
        <v>159.85</v>
      </c>
      <c r="J622" s="200" t="inlineStr">
        <is>
          <t>Jul</t>
        </is>
      </c>
      <c r="K622" s="199" t="n">
        <v>2025</v>
      </c>
      <c r="L622" s="199" t="n">
        <v>2025</v>
      </c>
    </row>
    <row r="623" ht="15" customHeight="1" s="104">
      <c r="A623" s="194" t="n">
        <v>45869</v>
      </c>
      <c r="B623" s="195" t="inlineStr">
        <is>
          <t>Amazon US</t>
        </is>
      </c>
      <c r="C623" s="195" t="inlineStr">
        <is>
          <t>Amazon fees</t>
        </is>
      </c>
      <c r="D623" s="195" t="inlineStr">
        <is>
          <t>Liquidations revenue</t>
        </is>
      </c>
      <c r="E623" s="196" t="n">
        <v>11.28</v>
      </c>
      <c r="F623" s="204" t="n">
        <v>0.000104532765</v>
      </c>
      <c r="H623" s="196" t="n">
        <v>11.28</v>
      </c>
      <c r="J623" s="200" t="inlineStr">
        <is>
          <t>Jul</t>
        </is>
      </c>
      <c r="K623" s="199" t="n">
        <v>2025</v>
      </c>
      <c r="L623" s="199" t="n">
        <v>2025</v>
      </c>
    </row>
    <row r="624" ht="15" customHeight="1" s="104">
      <c r="A624" s="194" t="n">
        <v>45869</v>
      </c>
      <c r="B624" s="195" t="inlineStr">
        <is>
          <t>Amazon US</t>
        </is>
      </c>
      <c r="C624" s="195" t="inlineStr">
        <is>
          <t>Amazon fees</t>
        </is>
      </c>
      <c r="D624" s="195" t="inlineStr">
        <is>
          <t>Reversal reimbursement</t>
        </is>
      </c>
      <c r="E624" s="196" t="n">
        <v>935.35</v>
      </c>
      <c r="F624" s="204" t="n">
        <v>0.008667971781999999</v>
      </c>
      <c r="H624" s="196" t="n">
        <v>935.35</v>
      </c>
      <c r="J624" s="200" t="inlineStr">
        <is>
          <t>Jul</t>
        </is>
      </c>
      <c r="K624" s="199" t="n">
        <v>2025</v>
      </c>
      <c r="L624" s="199" t="n">
        <v>2025</v>
      </c>
    </row>
    <row r="625" ht="15" customHeight="1" s="104">
      <c r="A625" s="194" t="n">
        <v>45869</v>
      </c>
      <c r="B625" s="195" t="inlineStr">
        <is>
          <t>Amazon US</t>
        </is>
      </c>
      <c r="C625" s="195" t="inlineStr">
        <is>
          <t>Amazon fees</t>
        </is>
      </c>
      <c r="D625" s="195" t="inlineStr">
        <is>
          <t>Vine Fee</t>
        </is>
      </c>
      <c r="E625" s="196" t="n">
        <v>-200</v>
      </c>
      <c r="F625" s="204" t="n">
        <v>-0.001853417818</v>
      </c>
      <c r="H625" s="196" t="n">
        <v>-200</v>
      </c>
      <c r="J625" s="200" t="inlineStr">
        <is>
          <t>Jul</t>
        </is>
      </c>
      <c r="K625" s="199" t="n">
        <v>2025</v>
      </c>
      <c r="L625" s="199" t="n">
        <v>2025</v>
      </c>
    </row>
    <row r="626" ht="15" customHeight="1" s="104">
      <c r="A626" s="194" t="n">
        <v>45869</v>
      </c>
      <c r="B626" s="195" t="inlineStr">
        <is>
          <t>Amazon US</t>
        </is>
      </c>
      <c r="C626" s="195" t="inlineStr">
        <is>
          <t>Amazon fees</t>
        </is>
      </c>
      <c r="D626" s="195" t="inlineStr">
        <is>
          <t>Missing from inbound clawback</t>
        </is>
      </c>
      <c r="E626" s="196" t="n">
        <v>-54.93</v>
      </c>
      <c r="F626" s="204" t="n">
        <v>-0.0005090412038</v>
      </c>
      <c r="H626" s="196" t="n">
        <v>-54.93</v>
      </c>
      <c r="J626" s="200" t="inlineStr">
        <is>
          <t>Jul</t>
        </is>
      </c>
      <c r="K626" s="199" t="n">
        <v>2025</v>
      </c>
      <c r="L626" s="199" t="n">
        <v>2025</v>
      </c>
    </row>
    <row r="627" ht="15" customHeight="1" s="104">
      <c r="A627" s="194" t="n">
        <v>45869</v>
      </c>
      <c r="B627" s="195" t="inlineStr">
        <is>
          <t>Amazon US</t>
        </is>
      </c>
      <c r="C627" s="195" t="inlineStr">
        <is>
          <t>Amazon fees</t>
        </is>
      </c>
      <c r="D627" s="195" t="inlineStr">
        <is>
          <t>Subscription</t>
        </is>
      </c>
      <c r="E627" s="196" t="n">
        <v>-39.96</v>
      </c>
      <c r="F627" s="204" t="n">
        <v>-0.0003703128801</v>
      </c>
      <c r="H627" s="196" t="n">
        <v>-39.96</v>
      </c>
      <c r="J627" s="200" t="inlineStr">
        <is>
          <t>Jul</t>
        </is>
      </c>
      <c r="K627" s="199" t="n">
        <v>2025</v>
      </c>
      <c r="L627" s="199" t="n">
        <v>2025</v>
      </c>
    </row>
    <row r="628" ht="15" customHeight="1" s="104">
      <c r="A628" s="194" t="n">
        <v>45869</v>
      </c>
      <c r="B628" s="195" t="inlineStr">
        <is>
          <t>Amazon US</t>
        </is>
      </c>
      <c r="C628" s="195" t="inlineStr">
        <is>
          <t>Amazon fees</t>
        </is>
      </c>
      <c r="D628" s="195" t="inlineStr">
        <is>
          <t>Long term storage fee</t>
        </is>
      </c>
      <c r="E628" s="196" t="n">
        <v>-1.61</v>
      </c>
      <c r="F628" s="204" t="n">
        <v>-1.492001344e-05</v>
      </c>
      <c r="H628" s="196" t="n">
        <v>-1.61</v>
      </c>
      <c r="J628" s="200" t="inlineStr">
        <is>
          <t>Jul</t>
        </is>
      </c>
      <c r="K628" s="199" t="n">
        <v>2025</v>
      </c>
      <c r="L628" s="199" t="n">
        <v>2025</v>
      </c>
    </row>
    <row r="629" ht="15" customHeight="1" s="104">
      <c r="A629" s="194" t="n">
        <v>45869</v>
      </c>
      <c r="B629" s="195" t="inlineStr">
        <is>
          <t>Amazon US</t>
        </is>
      </c>
      <c r="C629" s="195" t="inlineStr">
        <is>
          <t>Cost of goods</t>
        </is>
      </c>
      <c r="D629" s="195" t="inlineStr">
        <is>
          <t>Cost of goods sold</t>
        </is>
      </c>
      <c r="E629" s="196" t="n">
        <v>-28204.74</v>
      </c>
      <c r="F629" s="204" t="n">
        <v>-0.2613758384</v>
      </c>
      <c r="H629" s="196" t="n">
        <v>-28204.74</v>
      </c>
      <c r="J629" s="200" t="inlineStr">
        <is>
          <t>Jul</t>
        </is>
      </c>
      <c r="K629" s="199" t="n">
        <v>2025</v>
      </c>
      <c r="L629" s="199" t="n">
        <v>2025</v>
      </c>
    </row>
    <row r="630" ht="15" customHeight="1" s="104">
      <c r="A630" s="194" t="n">
        <v>45869</v>
      </c>
      <c r="B630" s="195" t="inlineStr">
        <is>
          <t>Amazon US</t>
        </is>
      </c>
      <c r="C630" s="195" t="inlineStr">
        <is>
          <t>Cost of goods</t>
        </is>
      </c>
      <c r="D630" s="195" t="inlineStr">
        <is>
          <t>Lost/damaged by Amazon</t>
        </is>
      </c>
      <c r="E630" s="196" t="n">
        <v>-377.51</v>
      </c>
      <c r="F630" s="204" t="n">
        <v>-0.003498418803</v>
      </c>
      <c r="H630" s="196" t="n">
        <v>-377.51</v>
      </c>
      <c r="J630" s="200" t="inlineStr">
        <is>
          <t>Jul</t>
        </is>
      </c>
      <c r="K630" s="199" t="n">
        <v>2025</v>
      </c>
      <c r="L630" s="199" t="n">
        <v>2025</v>
      </c>
    </row>
    <row r="631" ht="15" customHeight="1" s="104">
      <c r="A631" s="194" t="n">
        <v>45869</v>
      </c>
      <c r="B631" s="195" t="inlineStr">
        <is>
          <t>Amazon CA</t>
        </is>
      </c>
      <c r="C631" s="195" t="inlineStr">
        <is>
          <t>Advertising cost</t>
        </is>
      </c>
      <c r="D631" s="195" t="inlineStr">
        <is>
          <t>Sponsored Products</t>
        </is>
      </c>
      <c r="E631" s="196" t="n">
        <v>-1302.82</v>
      </c>
      <c r="F631" s="204" t="n">
        <v>-0.06618463238</v>
      </c>
      <c r="H631" s="196" t="n">
        <v>-1302.82</v>
      </c>
      <c r="J631" s="200" t="inlineStr">
        <is>
          <t>Jul</t>
        </is>
      </c>
      <c r="K631" s="199" t="n">
        <v>2025</v>
      </c>
      <c r="L631" s="199" t="n">
        <v>2025</v>
      </c>
    </row>
    <row r="632" ht="15" customHeight="1" s="104">
      <c r="A632" s="194" t="n">
        <v>45869</v>
      </c>
      <c r="B632" s="195" t="inlineStr">
        <is>
          <t>Amazon CA</t>
        </is>
      </c>
      <c r="C632" s="195" t="inlineStr">
        <is>
          <t>Advertising cost</t>
        </is>
      </c>
      <c r="D632" s="195" t="inlineStr">
        <is>
          <t>Sponsored Brands Video</t>
        </is>
      </c>
      <c r="E632" s="198" t="n">
        <v>0</v>
      </c>
      <c r="F632" s="201" t="n">
        <v>0</v>
      </c>
      <c r="H632" s="198" t="n">
        <v>0</v>
      </c>
      <c r="J632" s="200" t="inlineStr">
        <is>
          <t>Jul</t>
        </is>
      </c>
      <c r="K632" s="199" t="n">
        <v>2025</v>
      </c>
      <c r="L632" s="199" t="n">
        <v>2025</v>
      </c>
    </row>
    <row r="633" ht="15" customHeight="1" s="104">
      <c r="A633" s="194" t="n">
        <v>45869</v>
      </c>
      <c r="B633" s="195" t="inlineStr">
        <is>
          <t>Amazon CA</t>
        </is>
      </c>
      <c r="C633" s="195" t="inlineStr">
        <is>
          <t>Advertising cost</t>
        </is>
      </c>
      <c r="D633" s="195" t="inlineStr">
        <is>
          <t>Sponsored Display</t>
        </is>
      </c>
      <c r="E633" s="198" t="n">
        <v>0</v>
      </c>
      <c r="F633" s="201" t="n">
        <v>0</v>
      </c>
      <c r="H633" s="198" t="n">
        <v>0</v>
      </c>
      <c r="J633" s="200" t="inlineStr">
        <is>
          <t>Jul</t>
        </is>
      </c>
      <c r="K633" s="199" t="n">
        <v>2025</v>
      </c>
      <c r="L633" s="199" t="n">
        <v>2025</v>
      </c>
    </row>
    <row r="634" ht="15" customHeight="1" s="104">
      <c r="A634" s="194" t="n">
        <v>45869</v>
      </c>
      <c r="B634" s="195" t="inlineStr">
        <is>
          <t>Amazon CA</t>
        </is>
      </c>
      <c r="C634" s="195" t="inlineStr">
        <is>
          <t>Advertising cost</t>
        </is>
      </c>
      <c r="D634" s="195" t="inlineStr">
        <is>
          <t>Sponsored Brands</t>
        </is>
      </c>
      <c r="E634" s="198" t="n">
        <v>0</v>
      </c>
      <c r="F634" s="201" t="n">
        <v>0</v>
      </c>
      <c r="H634" s="198" t="n">
        <v>0</v>
      </c>
      <c r="J634" s="200" t="inlineStr">
        <is>
          <t>Jul</t>
        </is>
      </c>
      <c r="K634" s="199" t="n">
        <v>2025</v>
      </c>
      <c r="L634" s="199" t="n">
        <v>2025</v>
      </c>
    </row>
    <row r="635" ht="15" customHeight="1" s="104">
      <c r="A635" s="194" t="n">
        <v>45869</v>
      </c>
      <c r="B635" s="195" t="inlineStr">
        <is>
          <t>Amazon CA</t>
        </is>
      </c>
      <c r="C635" s="195" t="inlineStr">
        <is>
          <t>Refund cost</t>
        </is>
      </c>
      <c r="D635" s="195" t="inlineStr">
        <is>
          <t>Refunded amount</t>
        </is>
      </c>
      <c r="E635" s="196" t="n">
        <v>-2859.23</v>
      </c>
      <c r="F635" s="204" t="n">
        <v>-0.1452519047</v>
      </c>
      <c r="H635" s="196" t="n">
        <v>-2859.23</v>
      </c>
      <c r="J635" s="200" t="inlineStr">
        <is>
          <t>Jul</t>
        </is>
      </c>
      <c r="K635" s="199" t="n">
        <v>2025</v>
      </c>
      <c r="L635" s="199" t="n">
        <v>2025</v>
      </c>
    </row>
    <row r="636" ht="15" customHeight="1" s="104">
      <c r="A636" s="194" t="n">
        <v>45869</v>
      </c>
      <c r="B636" s="195" t="inlineStr">
        <is>
          <t>Amazon CA</t>
        </is>
      </c>
      <c r="C636" s="195" t="inlineStr">
        <is>
          <t>Refund cost</t>
        </is>
      </c>
      <c r="D636" s="195" t="inlineStr">
        <is>
          <t>Refund commission</t>
        </is>
      </c>
      <c r="E636" s="196" t="n">
        <v>-85.8</v>
      </c>
      <c r="F636" s="204" t="n">
        <v>-0.004358730644</v>
      </c>
      <c r="H636" s="196" t="n">
        <v>-85.8</v>
      </c>
      <c r="J636" s="200" t="inlineStr">
        <is>
          <t>Jul</t>
        </is>
      </c>
      <c r="K636" s="199" t="n">
        <v>2025</v>
      </c>
      <c r="L636" s="199" t="n">
        <v>2025</v>
      </c>
    </row>
    <row r="637" ht="15" customHeight="1" s="104">
      <c r="A637" s="194" t="n">
        <v>45869</v>
      </c>
      <c r="B637" s="195" t="inlineStr">
        <is>
          <t>Amazon CA</t>
        </is>
      </c>
      <c r="C637" s="195" t="inlineStr">
        <is>
          <t>Refund cost</t>
        </is>
      </c>
      <c r="D637" s="195" t="inlineStr">
        <is>
          <t>Refunded referral fee</t>
        </is>
      </c>
      <c r="E637" s="196" t="n">
        <v>428.93</v>
      </c>
      <c r="F637" s="204" t="n">
        <v>0.02179009715</v>
      </c>
      <c r="H637" s="196" t="n">
        <v>428.93</v>
      </c>
      <c r="J637" s="200" t="inlineStr">
        <is>
          <t>Jul</t>
        </is>
      </c>
      <c r="K637" s="199" t="n">
        <v>2025</v>
      </c>
      <c r="L637" s="199" t="n">
        <v>2025</v>
      </c>
    </row>
    <row r="638" ht="15" customHeight="1" s="104">
      <c r="A638" s="194" t="n">
        <v>45869</v>
      </c>
      <c r="B638" s="195" t="inlineStr">
        <is>
          <t>Amazon CA</t>
        </is>
      </c>
      <c r="C638" s="195" t="inlineStr">
        <is>
          <t>Refund cost</t>
        </is>
      </c>
      <c r="D638" s="195" t="inlineStr">
        <is>
          <t>Value of returned items</t>
        </is>
      </c>
      <c r="E638" s="196" t="n">
        <v>189.37</v>
      </c>
      <c r="F638" s="204" t="n">
        <v>0.009620196062</v>
      </c>
      <c r="H638" s="196" t="n">
        <v>189.37</v>
      </c>
      <c r="J638" s="200" t="inlineStr">
        <is>
          <t>Jul</t>
        </is>
      </c>
      <c r="K638" s="199" t="n">
        <v>2025</v>
      </c>
      <c r="L638" s="199" t="n">
        <v>2025</v>
      </c>
    </row>
    <row r="639" ht="15" customHeight="1" s="104">
      <c r="A639" s="194" t="n">
        <v>45869</v>
      </c>
      <c r="B639" s="195" t="inlineStr">
        <is>
          <t>Amazon CA</t>
        </is>
      </c>
      <c r="C639" s="195" t="inlineStr">
        <is>
          <t>Amazon fees</t>
        </is>
      </c>
      <c r="D639" s="195" t="inlineStr">
        <is>
          <t>FBA per unit fulfilment fee</t>
        </is>
      </c>
      <c r="E639" s="196" t="n">
        <v>-3252.26</v>
      </c>
      <c r="F639" s="204" t="n">
        <v>-0.1652182439</v>
      </c>
      <c r="H639" s="196" t="n">
        <v>-3252.26</v>
      </c>
      <c r="J639" s="200" t="inlineStr">
        <is>
          <t>Jul</t>
        </is>
      </c>
      <c r="K639" s="199" t="n">
        <v>2025</v>
      </c>
      <c r="L639" s="199" t="n">
        <v>2025</v>
      </c>
    </row>
    <row r="640" ht="15" customHeight="1" s="104">
      <c r="A640" s="194" t="n">
        <v>45869</v>
      </c>
      <c r="B640" s="195" t="inlineStr">
        <is>
          <t>Amazon CA</t>
        </is>
      </c>
      <c r="C640" s="195" t="inlineStr">
        <is>
          <t>Amazon fees</t>
        </is>
      </c>
      <c r="D640" s="195" t="inlineStr">
        <is>
          <t>Referral fee</t>
        </is>
      </c>
      <c r="E640" s="196" t="n">
        <v>-2945.33</v>
      </c>
      <c r="F640" s="204" t="n">
        <v>-0.1496258756</v>
      </c>
      <c r="H640" s="196" t="n">
        <v>-2945.33</v>
      </c>
      <c r="J640" s="200" t="inlineStr">
        <is>
          <t>Jul</t>
        </is>
      </c>
      <c r="K640" s="199" t="n">
        <v>2025</v>
      </c>
      <c r="L640" s="199" t="n">
        <v>2025</v>
      </c>
    </row>
    <row r="641" ht="15" customHeight="1" s="104">
      <c r="A641" s="194" t="n">
        <v>45869</v>
      </c>
      <c r="B641" s="195" t="inlineStr">
        <is>
          <t>Amazon CA</t>
        </is>
      </c>
      <c r="C641" s="195" t="inlineStr">
        <is>
          <t>Amazon fees</t>
        </is>
      </c>
      <c r="D641" s="195" t="inlineStr">
        <is>
          <t>FBA storage fee</t>
        </is>
      </c>
      <c r="E641" s="196" t="n">
        <v>-296.53</v>
      </c>
      <c r="F641" s="204" t="n">
        <v>-0.01506403727</v>
      </c>
      <c r="H641" s="196" t="n">
        <v>-296.53</v>
      </c>
      <c r="J641" s="200" t="inlineStr">
        <is>
          <t>Jul</t>
        </is>
      </c>
      <c r="K641" s="199" t="n">
        <v>2025</v>
      </c>
      <c r="L641" s="199" t="n">
        <v>2025</v>
      </c>
    </row>
    <row r="642" ht="15" customHeight="1" s="104">
      <c r="A642" s="194" t="n">
        <v>45869</v>
      </c>
      <c r="B642" s="195" t="inlineStr">
        <is>
          <t>Amazon CA</t>
        </is>
      </c>
      <c r="C642" s="195" t="inlineStr">
        <is>
          <t>Amazon fees</t>
        </is>
      </c>
      <c r="D642" s="195" t="inlineStr">
        <is>
          <t>Digital services fee</t>
        </is>
      </c>
      <c r="E642" s="196" t="n">
        <v>-58.82</v>
      </c>
      <c r="F642" s="204" t="n">
        <v>-0.002988118141</v>
      </c>
      <c r="H642" s="196" t="n">
        <v>-58.82</v>
      </c>
      <c r="J642" s="200" t="inlineStr">
        <is>
          <t>Jul</t>
        </is>
      </c>
      <c r="K642" s="199" t="n">
        <v>2025</v>
      </c>
      <c r="L642" s="199" t="n">
        <v>2025</v>
      </c>
    </row>
    <row r="643" ht="15" customHeight="1" s="104">
      <c r="A643" s="194" t="n">
        <v>45869</v>
      </c>
      <c r="B643" s="195" t="inlineStr">
        <is>
          <t>Amazon CA</t>
        </is>
      </c>
      <c r="C643" s="195" t="inlineStr">
        <is>
          <t>Cost of goods</t>
        </is>
      </c>
      <c r="D643" s="195" t="inlineStr">
        <is>
          <t>Cost of goods sold</t>
        </is>
      </c>
      <c r="E643" s="196" t="n">
        <v>-5268.42</v>
      </c>
      <c r="F643" s="204" t="n">
        <v>-0.2676413019</v>
      </c>
      <c r="H643" s="196" t="n">
        <v>-5268.42</v>
      </c>
      <c r="J643" s="200" t="inlineStr">
        <is>
          <t>Jul</t>
        </is>
      </c>
      <c r="K643" s="199" t="n">
        <v>2025</v>
      </c>
      <c r="L643" s="199" t="n">
        <v>2025</v>
      </c>
    </row>
    <row r="644" ht="15" customHeight="1" s="104">
      <c r="A644" s="194" t="n">
        <v>45869</v>
      </c>
      <c r="B644" s="195" t="inlineStr">
        <is>
          <t>Walmart</t>
        </is>
      </c>
      <c r="C644" s="195" t="inlineStr">
        <is>
          <t>Advertising cost</t>
        </is>
      </c>
      <c r="D644" s="195" t="inlineStr">
        <is>
          <t>Advertising Cost</t>
        </is>
      </c>
      <c r="E644" s="196" t="n">
        <v>-26.62</v>
      </c>
      <c r="F644" s="204" t="n">
        <v>-0.02552938469</v>
      </c>
      <c r="H644" s="196" t="n">
        <v>-26.62</v>
      </c>
      <c r="J644" s="200" t="inlineStr">
        <is>
          <t>Jul</t>
        </is>
      </c>
      <c r="K644" s="199" t="n">
        <v>2025</v>
      </c>
      <c r="L644" s="199" t="n">
        <v>2025</v>
      </c>
    </row>
    <row r="645" ht="15" customHeight="1" s="104">
      <c r="A645" s="194" t="n">
        <v>45869</v>
      </c>
      <c r="B645" s="195" t="inlineStr">
        <is>
          <t>Walmart</t>
        </is>
      </c>
      <c r="C645" s="195" t="inlineStr">
        <is>
          <t>Shipping Cost</t>
        </is>
      </c>
      <c r="D645" s="195" t="inlineStr">
        <is>
          <t>WFS Fulfillment fee</t>
        </is>
      </c>
      <c r="E645" s="196" t="n">
        <v>-196.1</v>
      </c>
      <c r="F645" s="204" t="n">
        <v>-0.1880658278</v>
      </c>
      <c r="H645" s="196" t="n">
        <v>-196.1</v>
      </c>
      <c r="J645" s="200" t="inlineStr">
        <is>
          <t>Jul</t>
        </is>
      </c>
      <c r="K645" s="199" t="n">
        <v>2025</v>
      </c>
      <c r="L645" s="199" t="n">
        <v>2025</v>
      </c>
    </row>
    <row r="646" ht="15" customHeight="1" s="104">
      <c r="A646" s="194" t="n">
        <v>45869</v>
      </c>
      <c r="B646" s="195" t="inlineStr">
        <is>
          <t>Walmart</t>
        </is>
      </c>
      <c r="C646" s="195" t="inlineStr">
        <is>
          <t>Shipping Cost</t>
        </is>
      </c>
      <c r="D646" s="195" t="inlineStr">
        <is>
          <t>WFS Shipping Reversal fee</t>
        </is>
      </c>
      <c r="E646" s="196" t="n">
        <v>-20.97</v>
      </c>
      <c r="F646" s="204" t="n">
        <v>-0.02011086389</v>
      </c>
      <c r="H646" s="196" t="n">
        <v>-20.97</v>
      </c>
      <c r="J646" s="200" t="inlineStr">
        <is>
          <t>Jul</t>
        </is>
      </c>
      <c r="K646" s="199" t="n">
        <v>2025</v>
      </c>
      <c r="L646" s="199" t="n">
        <v>2025</v>
      </c>
    </row>
    <row r="647" ht="15" customHeight="1" s="104">
      <c r="A647" s="194" t="n">
        <v>45869</v>
      </c>
      <c r="B647" s="195" t="inlineStr">
        <is>
          <t>Walmart</t>
        </is>
      </c>
      <c r="C647" s="195" t="inlineStr">
        <is>
          <t>Fees</t>
        </is>
      </c>
      <c r="D647" s="195" t="inlineStr">
        <is>
          <t>Commission on product</t>
        </is>
      </c>
      <c r="E647" s="196" t="n">
        <v>-179.72</v>
      </c>
      <c r="F647" s="204" t="n">
        <v>-0.1723569127</v>
      </c>
      <c r="H647" s="196" t="n">
        <v>-179.72</v>
      </c>
      <c r="J647" s="200" t="inlineStr">
        <is>
          <t>Jul</t>
        </is>
      </c>
      <c r="K647" s="199" t="n">
        <v>2025</v>
      </c>
      <c r="L647" s="199" t="n">
        <v>2025</v>
      </c>
    </row>
    <row r="648" ht="15" customHeight="1" s="104">
      <c r="A648" s="194" t="n">
        <v>45869</v>
      </c>
      <c r="B648" s="195" t="inlineStr">
        <is>
          <t>Walmart</t>
        </is>
      </c>
      <c r="C648" s="195" t="inlineStr">
        <is>
          <t>Fees</t>
        </is>
      </c>
      <c r="D648" s="195" t="inlineStr">
        <is>
          <t>Storage fee</t>
        </is>
      </c>
      <c r="E648" s="196" t="n">
        <v>-111.28</v>
      </c>
      <c r="F648" s="204" t="n">
        <v>-0.1067208838</v>
      </c>
      <c r="H648" s="196" t="n">
        <v>-111.28</v>
      </c>
      <c r="J648" s="200" t="inlineStr">
        <is>
          <t>Jul</t>
        </is>
      </c>
      <c r="K648" s="199" t="n">
        <v>2025</v>
      </c>
      <c r="L648" s="199" t="n">
        <v>2025</v>
      </c>
    </row>
    <row r="649" ht="15" customHeight="1" s="104">
      <c r="A649" s="194" t="n">
        <v>45869</v>
      </c>
      <c r="B649" s="195" t="inlineStr">
        <is>
          <t>Walmart</t>
        </is>
      </c>
      <c r="C649" s="195" t="inlineStr">
        <is>
          <t>Fees</t>
        </is>
      </c>
      <c r="D649" s="195" t="inlineStr">
        <is>
          <t>RC inventory disposal fee</t>
        </is>
      </c>
      <c r="E649" s="196" t="n">
        <v>-1.15</v>
      </c>
      <c r="F649" s="204" t="n">
        <v>-0.001102884763</v>
      </c>
      <c r="H649" s="196" t="n">
        <v>-1.15</v>
      </c>
      <c r="J649" s="200" t="inlineStr">
        <is>
          <t>Jul</t>
        </is>
      </c>
      <c r="K649" s="199" t="n">
        <v>2025</v>
      </c>
      <c r="L649" s="199" t="n">
        <v>2025</v>
      </c>
    </row>
    <row r="650" ht="15" customHeight="1" s="104">
      <c r="A650" s="194" t="n">
        <v>45869</v>
      </c>
      <c r="B650" s="195" t="inlineStr">
        <is>
          <t>Walmart</t>
        </is>
      </c>
      <c r="C650" s="195" t="inlineStr">
        <is>
          <t>Cost of goods</t>
        </is>
      </c>
      <c r="D650" s="195" t="inlineStr">
        <is>
          <t>Cost of goods sold</t>
        </is>
      </c>
      <c r="E650" s="196" t="n">
        <v>-419.2</v>
      </c>
      <c r="F650" s="204" t="n">
        <v>-0.4020254718</v>
      </c>
      <c r="H650" s="196" t="n">
        <v>-419.2</v>
      </c>
      <c r="J650" s="200" t="inlineStr">
        <is>
          <t>Jul</t>
        </is>
      </c>
      <c r="K650" s="199" t="n">
        <v>2025</v>
      </c>
      <c r="L650" s="199" t="n">
        <v>2025</v>
      </c>
    </row>
    <row r="651" ht="15" customHeight="1" s="104">
      <c r="A651" s="194" t="n">
        <v>45869</v>
      </c>
      <c r="B651" s="195" t="inlineStr">
        <is>
          <t>Walmart</t>
        </is>
      </c>
      <c r="C651" s="195" t="inlineStr">
        <is>
          <t>Cost of goods</t>
        </is>
      </c>
      <c r="D651" s="195" t="inlineStr">
        <is>
          <t>Value of returned items</t>
        </is>
      </c>
      <c r="E651" s="196" t="n">
        <v>42.1</v>
      </c>
      <c r="F651" s="204" t="n">
        <v>0.04037517263</v>
      </c>
      <c r="H651" s="196" t="n">
        <v>42.1</v>
      </c>
      <c r="J651" s="200" t="inlineStr">
        <is>
          <t>Jul</t>
        </is>
      </c>
      <c r="K651" s="199" t="n">
        <v>2025</v>
      </c>
      <c r="L651" s="199" t="n">
        <v>2025</v>
      </c>
    </row>
    <row r="652" ht="15" customHeight="1" s="104">
      <c r="A652" s="194" t="n">
        <v>45869</v>
      </c>
      <c r="B652" s="195" t="inlineStr">
        <is>
          <t>Tiktok</t>
        </is>
      </c>
      <c r="C652" s="195" t="inlineStr">
        <is>
          <t>Tiktok Shipping</t>
        </is>
      </c>
      <c r="D652" s="195" t="inlineStr">
        <is>
          <t>TikTok Shop shipping fee</t>
        </is>
      </c>
      <c r="E652" s="198" t="n">
        <v>0</v>
      </c>
      <c r="F652" s="201" t="n">
        <v>0</v>
      </c>
      <c r="H652" s="198" t="n">
        <v>0</v>
      </c>
      <c r="J652" s="200" t="inlineStr">
        <is>
          <t>Jul</t>
        </is>
      </c>
      <c r="K652" s="199" t="n">
        <v>2025</v>
      </c>
      <c r="L652" s="199" t="n">
        <v>2025</v>
      </c>
    </row>
    <row r="653" ht="15" customHeight="1" s="104">
      <c r="A653" s="194" t="n">
        <v>45869</v>
      </c>
      <c r="B653" s="195" t="inlineStr">
        <is>
          <t>Tiktok</t>
        </is>
      </c>
      <c r="C653" s="195" t="inlineStr">
        <is>
          <t>Tiktok Shipping</t>
        </is>
      </c>
      <c r="D653" s="195" t="inlineStr">
        <is>
          <t>Fulfilled by TikTok Shop (FBT) shipping fee</t>
        </is>
      </c>
      <c r="E653" s="198" t="n">
        <v>0</v>
      </c>
      <c r="F653" s="201" t="n">
        <v>0</v>
      </c>
      <c r="H653" s="198" t="n">
        <v>0</v>
      </c>
      <c r="J653" s="200" t="inlineStr">
        <is>
          <t>Jul</t>
        </is>
      </c>
      <c r="K653" s="199" t="n">
        <v>2025</v>
      </c>
      <c r="L653" s="199" t="n">
        <v>2025</v>
      </c>
    </row>
    <row r="654" ht="15" customHeight="1" s="104">
      <c r="A654" s="194" t="n">
        <v>45869</v>
      </c>
      <c r="B654" s="195" t="inlineStr">
        <is>
          <t>Tiktok</t>
        </is>
      </c>
      <c r="C654" s="195" t="inlineStr">
        <is>
          <t>Tiktok Shipping</t>
        </is>
      </c>
      <c r="D654" s="195" t="inlineStr">
        <is>
          <t>Signature confirmation service fee</t>
        </is>
      </c>
      <c r="E654" s="198" t="n">
        <v>0</v>
      </c>
      <c r="F654" s="201" t="n">
        <v>0</v>
      </c>
      <c r="H654" s="198" t="n">
        <v>0</v>
      </c>
    </row>
    <row r="655" ht="15" customHeight="1" s="104">
      <c r="A655" s="194" t="n">
        <v>45869</v>
      </c>
      <c r="B655" s="195" t="inlineStr">
        <is>
          <t>Tiktok</t>
        </is>
      </c>
      <c r="C655" s="195" t="inlineStr">
        <is>
          <t>Tiktok Shipping</t>
        </is>
      </c>
      <c r="D655" s="195" t="inlineStr">
        <is>
          <t>Shipping insurance fee</t>
        </is>
      </c>
      <c r="E655" s="198" t="n">
        <v>0</v>
      </c>
      <c r="F655" s="201" t="n">
        <v>0</v>
      </c>
      <c r="H655" s="198" t="n">
        <v>0</v>
      </c>
      <c r="J655" s="200" t="inlineStr">
        <is>
          <t>Jul</t>
        </is>
      </c>
      <c r="K655" s="199" t="n">
        <v>2025</v>
      </c>
      <c r="L655" s="199" t="n">
        <v>2025</v>
      </c>
    </row>
    <row r="656" ht="15" customHeight="1" s="104">
      <c r="A656" s="194" t="n">
        <v>45869</v>
      </c>
      <c r="B656" s="195" t="inlineStr">
        <is>
          <t>Tiktok</t>
        </is>
      </c>
      <c r="C656" s="195" t="inlineStr">
        <is>
          <t>Tiktok Shipping</t>
        </is>
      </c>
      <c r="D656" s="195" t="inlineStr">
        <is>
          <t>Customer-paid shipping fee</t>
        </is>
      </c>
      <c r="E656" s="198" t="n">
        <v>0</v>
      </c>
      <c r="F656" s="201" t="n">
        <v>0</v>
      </c>
      <c r="H656" s="198" t="n">
        <v>0</v>
      </c>
      <c r="J656" s="200" t="inlineStr">
        <is>
          <t>Jul</t>
        </is>
      </c>
      <c r="K656" s="199" t="n">
        <v>2025</v>
      </c>
      <c r="L656" s="199" t="n">
        <v>2025</v>
      </c>
    </row>
    <row r="657" ht="15" customHeight="1" s="104">
      <c r="A657" s="194" t="n">
        <v>45869</v>
      </c>
      <c r="B657" s="195" t="inlineStr">
        <is>
          <t>Tiktok</t>
        </is>
      </c>
      <c r="C657" s="195" t="inlineStr">
        <is>
          <t>Tiktok Shipping</t>
        </is>
      </c>
      <c r="D657" s="195" t="inlineStr">
        <is>
          <t>Customer-paid shipping fee refund</t>
        </is>
      </c>
      <c r="E657" s="198" t="n">
        <v>0</v>
      </c>
      <c r="F657" s="201" t="n">
        <v>0</v>
      </c>
      <c r="H657" s="198" t="n">
        <v>0</v>
      </c>
      <c r="J657" s="200" t="inlineStr">
        <is>
          <t>Jul</t>
        </is>
      </c>
      <c r="K657" s="199" t="n">
        <v>2025</v>
      </c>
      <c r="L657" s="199" t="n">
        <v>2025</v>
      </c>
    </row>
    <row r="658" ht="15" customHeight="1" s="104">
      <c r="A658" s="194" t="n">
        <v>45869</v>
      </c>
      <c r="B658" s="195" t="inlineStr">
        <is>
          <t>Tiktok</t>
        </is>
      </c>
      <c r="C658" s="195" t="inlineStr">
        <is>
          <t>Tiktok Shipping</t>
        </is>
      </c>
      <c r="D658" s="195" t="inlineStr">
        <is>
          <t>TikTok Shop shipping incentive</t>
        </is>
      </c>
      <c r="E658" s="196" t="n">
        <v>5.99</v>
      </c>
      <c r="F658" s="204" t="n">
        <v>0.001285727778</v>
      </c>
      <c r="H658" s="196" t="n">
        <v>5.99</v>
      </c>
      <c r="J658" s="200" t="inlineStr">
        <is>
          <t>Jul</t>
        </is>
      </c>
      <c r="K658" s="199" t="n">
        <v>2025</v>
      </c>
      <c r="L658" s="199" t="n">
        <v>2025</v>
      </c>
    </row>
    <row r="659" ht="15" customHeight="1" s="104">
      <c r="A659" s="194" t="n">
        <v>45869</v>
      </c>
      <c r="B659" s="195" t="inlineStr">
        <is>
          <t>Tiktok</t>
        </is>
      </c>
      <c r="C659" s="195" t="inlineStr">
        <is>
          <t>Tiktok Shipping</t>
        </is>
      </c>
      <c r="D659" s="195" t="inlineStr">
        <is>
          <t>TikTok Shop shipping incentive refund</t>
        </is>
      </c>
      <c r="E659" s="198" t="n">
        <v>0</v>
      </c>
      <c r="F659" s="201" t="n">
        <v>0</v>
      </c>
      <c r="H659" s="198" t="n">
        <v>0</v>
      </c>
      <c r="J659" s="200" t="inlineStr">
        <is>
          <t>Jul</t>
        </is>
      </c>
      <c r="K659" s="199" t="n">
        <v>2025</v>
      </c>
      <c r="L659" s="199" t="n">
        <v>2025</v>
      </c>
    </row>
    <row r="660" ht="15" customHeight="1" s="104">
      <c r="A660" s="194" t="n">
        <v>45869</v>
      </c>
      <c r="B660" s="195" t="inlineStr">
        <is>
          <t>Tiktok</t>
        </is>
      </c>
      <c r="C660" s="195" t="inlineStr">
        <is>
          <t>Tiktok Shipping</t>
        </is>
      </c>
      <c r="D660" s="195" t="inlineStr">
        <is>
          <t>Shipping fee subsidy</t>
        </is>
      </c>
      <c r="E660" s="198" t="n">
        <v>0</v>
      </c>
      <c r="F660" s="201" t="n">
        <v>0</v>
      </c>
      <c r="H660" s="198" t="n">
        <v>0</v>
      </c>
      <c r="J660" s="200" t="inlineStr">
        <is>
          <t>Jul</t>
        </is>
      </c>
      <c r="K660" s="199" t="n">
        <v>2025</v>
      </c>
      <c r="L660" s="199" t="n">
        <v>2025</v>
      </c>
    </row>
    <row r="661" ht="15" customHeight="1" s="104">
      <c r="A661" s="194" t="n">
        <v>45869</v>
      </c>
      <c r="B661" s="195" t="inlineStr">
        <is>
          <t>Tiktok</t>
        </is>
      </c>
      <c r="C661" s="195" t="inlineStr">
        <is>
          <t>Tiktok Shipping</t>
        </is>
      </c>
      <c r="D661" s="195" t="inlineStr">
        <is>
          <t>Return shipping fee</t>
        </is>
      </c>
      <c r="E661" s="196" t="n">
        <v>8.529999999999999</v>
      </c>
      <c r="F661" s="204" t="n">
        <v>0.00183092787</v>
      </c>
      <c r="H661" s="196" t="n">
        <v>8.529999999999999</v>
      </c>
      <c r="J661" s="200" t="inlineStr">
        <is>
          <t>Jul</t>
        </is>
      </c>
      <c r="K661" s="199" t="n">
        <v>2025</v>
      </c>
      <c r="L661" s="199" t="n">
        <v>2025</v>
      </c>
    </row>
    <row r="662" ht="15" customHeight="1" s="104">
      <c r="A662" s="194" t="n">
        <v>45869</v>
      </c>
      <c r="B662" s="195" t="inlineStr">
        <is>
          <t>Tiktok</t>
        </is>
      </c>
      <c r="C662" s="195" t="inlineStr">
        <is>
          <t>Tiktok Shipping</t>
        </is>
      </c>
      <c r="D662" s="195" t="inlineStr">
        <is>
          <t>FBT fulfillment fee</t>
        </is>
      </c>
      <c r="E662" s="196" t="n">
        <v>-8.58</v>
      </c>
      <c r="F662" s="204" t="n">
        <v>-0.001841660156</v>
      </c>
      <c r="H662" s="196" t="n">
        <v>-8.58</v>
      </c>
      <c r="J662" s="200" t="inlineStr">
        <is>
          <t>Jul</t>
        </is>
      </c>
      <c r="K662" s="199" t="n">
        <v>2025</v>
      </c>
      <c r="L662" s="199" t="n">
        <v>2025</v>
      </c>
    </row>
    <row r="663" ht="15" customHeight="1" s="104">
      <c r="A663" s="194" t="n">
        <v>45869</v>
      </c>
      <c r="B663" s="195" t="inlineStr">
        <is>
          <t>Tiktok</t>
        </is>
      </c>
      <c r="C663" s="195" t="inlineStr">
        <is>
          <t>Tiktok Shipping</t>
        </is>
      </c>
      <c r="D663" s="195" t="inlineStr">
        <is>
          <t>Customer shipping fee offset</t>
        </is>
      </c>
      <c r="E663" s="196" t="n">
        <v>-5.99</v>
      </c>
      <c r="F663" s="204" t="n">
        <v>-0.001285727778</v>
      </c>
      <c r="H663" s="196" t="n">
        <v>-5.99</v>
      </c>
      <c r="J663" s="200" t="inlineStr">
        <is>
          <t>Jul</t>
        </is>
      </c>
      <c r="K663" s="199" t="n">
        <v>2025</v>
      </c>
      <c r="L663" s="199" t="n">
        <v>2025</v>
      </c>
    </row>
    <row r="664" ht="15" customHeight="1" s="104">
      <c r="A664" s="194" t="n">
        <v>45869</v>
      </c>
      <c r="B664" s="195" t="inlineStr">
        <is>
          <t>Tiktok</t>
        </is>
      </c>
      <c r="C664" s="195" t="inlineStr">
        <is>
          <t>Tiktok Shipping</t>
        </is>
      </c>
      <c r="D664" s="195" t="inlineStr">
        <is>
          <t>Co-funded free shipping reimbursement</t>
        </is>
      </c>
      <c r="E664" s="198" t="n">
        <v>0</v>
      </c>
      <c r="F664" s="201" t="n">
        <v>0</v>
      </c>
      <c r="H664" s="198" t="n">
        <v>0</v>
      </c>
      <c r="J664" s="200" t="inlineStr">
        <is>
          <t>Jul</t>
        </is>
      </c>
      <c r="K664" s="199" t="n">
        <v>2025</v>
      </c>
      <c r="L664" s="199" t="n">
        <v>2025</v>
      </c>
    </row>
    <row r="665" ht="15" customHeight="1" s="104">
      <c r="A665" s="194" t="n">
        <v>45869</v>
      </c>
      <c r="B665" s="195" t="inlineStr">
        <is>
          <t>Tiktok</t>
        </is>
      </c>
      <c r="C665" s="195" t="inlineStr">
        <is>
          <t>MCF Shipping fees</t>
        </is>
      </c>
      <c r="D665" s="195" t="inlineStr">
        <is>
          <t>MCF Shipping fees</t>
        </is>
      </c>
      <c r="E665" s="196" t="n">
        <v>-1530.57</v>
      </c>
      <c r="F665" s="204" t="n">
        <v>-0.3285302779</v>
      </c>
      <c r="H665" s="196" t="n">
        <v>-1530.57</v>
      </c>
      <c r="J665" s="200" t="inlineStr">
        <is>
          <t>Jul</t>
        </is>
      </c>
      <c r="K665" s="199" t="n">
        <v>2025</v>
      </c>
      <c r="L665" s="199" t="n">
        <v>2025</v>
      </c>
    </row>
    <row r="666" ht="15" customHeight="1" s="104">
      <c r="A666" s="194" t="n">
        <v>45869</v>
      </c>
      <c r="B666" s="195" t="inlineStr">
        <is>
          <t>Tiktok</t>
        </is>
      </c>
      <c r="C666" s="195" t="inlineStr">
        <is>
          <t>Fees</t>
        </is>
      </c>
      <c r="D666" s="195" t="inlineStr">
        <is>
          <t>Transaction fee</t>
        </is>
      </c>
      <c r="E666" s="198" t="n">
        <v>0</v>
      </c>
      <c r="F666" s="201" t="n">
        <v>0</v>
      </c>
      <c r="H666" s="198" t="n">
        <v>0</v>
      </c>
      <c r="J666" s="200" t="inlineStr">
        <is>
          <t>Jul</t>
        </is>
      </c>
      <c r="K666" s="199" t="n">
        <v>2025</v>
      </c>
      <c r="L666" s="199" t="n">
        <v>2025</v>
      </c>
    </row>
    <row r="667" ht="15" customHeight="1" s="104">
      <c r="A667" s="194" t="n">
        <v>45869</v>
      </c>
      <c r="B667" s="195" t="inlineStr">
        <is>
          <t>Tiktok</t>
        </is>
      </c>
      <c r="C667" s="195" t="inlineStr">
        <is>
          <t>Fees</t>
        </is>
      </c>
      <c r="D667" s="195" t="inlineStr">
        <is>
          <t>Referral fee</t>
        </is>
      </c>
      <c r="E667" s="196" t="n">
        <v>-279.6</v>
      </c>
      <c r="F667" s="204" t="n">
        <v>-0.06001493934</v>
      </c>
      <c r="H667" s="196" t="n">
        <v>-279.6</v>
      </c>
      <c r="J667" s="200" t="inlineStr">
        <is>
          <t>Jul</t>
        </is>
      </c>
      <c r="K667" s="199" t="n">
        <v>2025</v>
      </c>
      <c r="L667" s="199" t="n">
        <v>2025</v>
      </c>
    </row>
    <row r="668" ht="15" customHeight="1" s="104">
      <c r="A668" s="194" t="n">
        <v>45869</v>
      </c>
      <c r="B668" s="195" t="inlineStr">
        <is>
          <t>Tiktok</t>
        </is>
      </c>
      <c r="C668" s="195" t="inlineStr">
        <is>
          <t>Fees</t>
        </is>
      </c>
      <c r="D668" s="195" t="inlineStr">
        <is>
          <t>Refund administration fee</t>
        </is>
      </c>
      <c r="E668" s="196" t="n">
        <v>-2.64</v>
      </c>
      <c r="F668" s="204" t="n">
        <v>-0.0005666646633</v>
      </c>
      <c r="H668" s="196" t="n">
        <v>-2.64</v>
      </c>
      <c r="J668" s="200" t="inlineStr">
        <is>
          <t>Jul</t>
        </is>
      </c>
      <c r="K668" s="199" t="n">
        <v>2025</v>
      </c>
      <c r="L668" s="199" t="n">
        <v>2025</v>
      </c>
    </row>
    <row r="669" ht="15" customHeight="1" s="104">
      <c r="A669" s="194" t="n">
        <v>45869</v>
      </c>
      <c r="B669" s="195" t="inlineStr">
        <is>
          <t>Tiktok</t>
        </is>
      </c>
      <c r="C669" s="195" t="inlineStr">
        <is>
          <t>Fees</t>
        </is>
      </c>
      <c r="D669" s="195" t="inlineStr">
        <is>
          <t>Affiliate commission</t>
        </is>
      </c>
      <c r="E669" s="196" t="n">
        <v>-315.3</v>
      </c>
      <c r="F669" s="204" t="n">
        <v>-0.06767779104</v>
      </c>
      <c r="H669" s="196" t="n">
        <v>-315.3</v>
      </c>
      <c r="J669" s="200" t="inlineStr">
        <is>
          <t>Jul</t>
        </is>
      </c>
      <c r="K669" s="199" t="n">
        <v>2025</v>
      </c>
      <c r="L669" s="199" t="n">
        <v>2025</v>
      </c>
    </row>
    <row r="670" ht="15" customHeight="1" s="104">
      <c r="A670" s="194" t="n">
        <v>45869</v>
      </c>
      <c r="B670" s="195" t="inlineStr">
        <is>
          <t>Tiktok</t>
        </is>
      </c>
      <c r="C670" s="195" t="inlineStr">
        <is>
          <t>Fees</t>
        </is>
      </c>
      <c r="D670" s="195" t="inlineStr">
        <is>
          <t>Affiliate partner commission</t>
        </is>
      </c>
      <c r="E670" s="198" t="n">
        <v>0</v>
      </c>
      <c r="F670" s="201" t="n">
        <v>0</v>
      </c>
      <c r="H670" s="198" t="n">
        <v>0</v>
      </c>
      <c r="J670" s="200" t="inlineStr">
        <is>
          <t>Jul</t>
        </is>
      </c>
      <c r="K670" s="199" t="n">
        <v>2025</v>
      </c>
      <c r="L670" s="199" t="n">
        <v>2025</v>
      </c>
    </row>
    <row r="671" ht="15" customHeight="1" s="104">
      <c r="A671" s="194" t="n">
        <v>45869</v>
      </c>
      <c r="B671" s="195" t="inlineStr">
        <is>
          <t>Tiktok</t>
        </is>
      </c>
      <c r="C671" s="195" t="inlineStr">
        <is>
          <t>Fees</t>
        </is>
      </c>
      <c r="D671" s="195" t="inlineStr">
        <is>
          <t>Affiliate Shop Ads commission</t>
        </is>
      </c>
      <c r="E671" s="196" t="n">
        <v>-69.5</v>
      </c>
      <c r="F671" s="204" t="n">
        <v>-0.01491787655</v>
      </c>
      <c r="H671" s="196" t="n">
        <v>-69.5</v>
      </c>
      <c r="J671" s="200" t="inlineStr">
        <is>
          <t>Jul</t>
        </is>
      </c>
      <c r="K671" s="199" t="n">
        <v>2025</v>
      </c>
      <c r="L671" s="199" t="n">
        <v>2025</v>
      </c>
    </row>
    <row r="672" ht="15" customHeight="1" s="104">
      <c r="A672" s="194" t="n">
        <v>45869</v>
      </c>
      <c r="B672" s="195" t="inlineStr">
        <is>
          <t>Tiktok</t>
        </is>
      </c>
      <c r="C672" s="195" t="inlineStr">
        <is>
          <t>Fees</t>
        </is>
      </c>
      <c r="D672" s="195" t="inlineStr">
        <is>
          <t>Co-funded promotion service fee</t>
        </is>
      </c>
      <c r="E672" s="198" t="n">
        <v>0</v>
      </c>
      <c r="F672" s="201" t="n">
        <v>0</v>
      </c>
      <c r="H672" s="198" t="n">
        <v>0</v>
      </c>
      <c r="J672" s="200" t="inlineStr">
        <is>
          <t>Jul</t>
        </is>
      </c>
      <c r="K672" s="199" t="n">
        <v>2025</v>
      </c>
      <c r="L672" s="199" t="n">
        <v>2025</v>
      </c>
    </row>
    <row r="673" ht="15" customHeight="1" s="104">
      <c r="A673" s="194" t="n">
        <v>45869</v>
      </c>
      <c r="B673" s="195" t="inlineStr">
        <is>
          <t>Tiktok</t>
        </is>
      </c>
      <c r="C673" s="195" t="inlineStr">
        <is>
          <t xml:space="preserve">Adjustments
</t>
        </is>
      </c>
      <c r="D673" s="195" t="inlineStr">
        <is>
          <t>Logistics adjustment</t>
        </is>
      </c>
      <c r="E673" s="198" t="n">
        <v>0</v>
      </c>
      <c r="F673" s="201" t="n">
        <v>0</v>
      </c>
      <c r="H673" s="198" t="n">
        <v>0</v>
      </c>
      <c r="J673" s="200" t="inlineStr">
        <is>
          <t>Jul</t>
        </is>
      </c>
      <c r="K673" s="199" t="n">
        <v>2025</v>
      </c>
      <c r="L673" s="199" t="n">
        <v>2025</v>
      </c>
    </row>
    <row r="674" ht="15" customHeight="1" s="104">
      <c r="A674" s="194" t="n">
        <v>45869</v>
      </c>
      <c r="B674" s="195" t="inlineStr">
        <is>
          <t>Tiktok</t>
        </is>
      </c>
      <c r="C674" s="195" t="inlineStr">
        <is>
          <t xml:space="preserve">Adjustments
</t>
        </is>
      </c>
      <c r="D674" s="195" t="inlineStr">
        <is>
          <t>Logistics reimbursement</t>
        </is>
      </c>
      <c r="E674" s="198" t="n">
        <v>0</v>
      </c>
      <c r="F674" s="201" t="n">
        <v>0</v>
      </c>
      <c r="H674" s="198" t="n">
        <v>0</v>
      </c>
      <c r="J674" s="200" t="inlineStr">
        <is>
          <t>Jul</t>
        </is>
      </c>
      <c r="K674" s="199" t="n">
        <v>2025</v>
      </c>
      <c r="L674" s="199" t="n">
        <v>2025</v>
      </c>
    </row>
    <row r="675" ht="15" customHeight="1" s="104">
      <c r="A675" s="194" t="n">
        <v>45869</v>
      </c>
      <c r="B675" s="195" t="inlineStr">
        <is>
          <t>Tiktok</t>
        </is>
      </c>
      <c r="C675" s="195" t="inlineStr">
        <is>
          <t xml:space="preserve">Adjustments
</t>
        </is>
      </c>
      <c r="D675" s="195" t="inlineStr">
        <is>
          <t>Logistics deduction</t>
        </is>
      </c>
      <c r="E675" s="198" t="n">
        <v>0</v>
      </c>
      <c r="F675" s="201" t="n">
        <v>0</v>
      </c>
      <c r="H675" s="198" t="n">
        <v>0</v>
      </c>
      <c r="J675" s="200" t="inlineStr">
        <is>
          <t>Jul</t>
        </is>
      </c>
      <c r="K675" s="199" t="n">
        <v>2025</v>
      </c>
      <c r="L675" s="199" t="n">
        <v>2025</v>
      </c>
    </row>
    <row r="676" ht="15" customHeight="1" s="104">
      <c r="A676" s="194" t="n">
        <v>45869</v>
      </c>
      <c r="B676" s="195" t="inlineStr">
        <is>
          <t>Tiktok</t>
        </is>
      </c>
      <c r="C676" s="195" t="inlineStr">
        <is>
          <t xml:space="preserve">Adjustments
</t>
        </is>
      </c>
      <c r="D676" s="195" t="inlineStr">
        <is>
          <t>TikTok Shop reimbursement</t>
        </is>
      </c>
      <c r="E676" s="198" t="n">
        <v>0</v>
      </c>
      <c r="F676" s="201" t="n">
        <v>0</v>
      </c>
      <c r="H676" s="198" t="n">
        <v>0</v>
      </c>
      <c r="J676" s="200" t="inlineStr">
        <is>
          <t>Jul</t>
        </is>
      </c>
      <c r="K676" s="199" t="n">
        <v>2025</v>
      </c>
      <c r="L676" s="199" t="n">
        <v>2025</v>
      </c>
    </row>
    <row r="677" ht="15" customHeight="1" s="104">
      <c r="A677" s="194" t="n">
        <v>45869</v>
      </c>
      <c r="B677" s="195" t="inlineStr">
        <is>
          <t>Tiktok</t>
        </is>
      </c>
      <c r="C677" s="195" t="inlineStr">
        <is>
          <t xml:space="preserve">Adjustments
</t>
        </is>
      </c>
      <c r="D677" s="195" t="inlineStr">
        <is>
          <t>Policy violation deduction</t>
        </is>
      </c>
      <c r="E677" s="198" t="n">
        <v>0</v>
      </c>
      <c r="F677" s="201" t="n">
        <v>0</v>
      </c>
      <c r="H677" s="198" t="n">
        <v>0</v>
      </c>
      <c r="J677" s="200" t="inlineStr">
        <is>
          <t>Jul</t>
        </is>
      </c>
      <c r="K677" s="199" t="n">
        <v>2025</v>
      </c>
      <c r="L677" s="199" t="n">
        <v>2025</v>
      </c>
    </row>
    <row r="678" ht="15" customHeight="1" s="104">
      <c r="A678" s="194" t="n">
        <v>45869</v>
      </c>
      <c r="B678" s="195" t="inlineStr">
        <is>
          <t>Tiktok</t>
        </is>
      </c>
      <c r="C678" s="195" t="inlineStr">
        <is>
          <t xml:space="preserve">Adjustments
</t>
        </is>
      </c>
      <c r="D678" s="195" t="inlineStr">
        <is>
          <t>TikTok fees adjustment</t>
        </is>
      </c>
      <c r="E678" s="198" t="n">
        <v>0</v>
      </c>
      <c r="F678" s="201" t="n">
        <v>0</v>
      </c>
      <c r="H678" s="198" t="n">
        <v>0</v>
      </c>
      <c r="J678" s="200" t="inlineStr">
        <is>
          <t>Jul</t>
        </is>
      </c>
      <c r="K678" s="199" t="n">
        <v>2025</v>
      </c>
      <c r="L678" s="199" t="n">
        <v>2025</v>
      </c>
    </row>
    <row r="679" ht="15" customHeight="1" s="104">
      <c r="A679" s="194" t="n">
        <v>45869</v>
      </c>
      <c r="B679" s="195" t="inlineStr">
        <is>
          <t>Tiktok</t>
        </is>
      </c>
      <c r="C679" s="195" t="inlineStr">
        <is>
          <t xml:space="preserve">Adjustments
</t>
        </is>
      </c>
      <c r="D679" s="195" t="inlineStr">
        <is>
          <t>Promotion adjustment</t>
        </is>
      </c>
      <c r="E679" s="198" t="n">
        <v>0</v>
      </c>
      <c r="F679" s="201" t="n">
        <v>0</v>
      </c>
      <c r="H679" s="198" t="n">
        <v>0</v>
      </c>
      <c r="J679" s="200" t="inlineStr">
        <is>
          <t>Jul</t>
        </is>
      </c>
      <c r="K679" s="199" t="n">
        <v>2025</v>
      </c>
      <c r="L679" s="199" t="n">
        <v>2025</v>
      </c>
    </row>
    <row r="680" ht="15" customHeight="1" s="104">
      <c r="A680" s="194" t="n">
        <v>45869</v>
      </c>
      <c r="B680" s="195" t="inlineStr">
        <is>
          <t>Tiktok</t>
        </is>
      </c>
      <c r="C680" s="195" t="inlineStr">
        <is>
          <t xml:space="preserve">Adjustments
</t>
        </is>
      </c>
      <c r="D680" s="195" t="inlineStr">
        <is>
          <t>Adjustment from settlement account</t>
        </is>
      </c>
      <c r="E680" s="198" t="n">
        <v>0</v>
      </c>
      <c r="F680" s="201" t="n">
        <v>0</v>
      </c>
      <c r="H680" s="198" t="n">
        <v>0</v>
      </c>
      <c r="J680" s="200" t="inlineStr">
        <is>
          <t>Jul</t>
        </is>
      </c>
      <c r="K680" s="199" t="n">
        <v>2025</v>
      </c>
      <c r="L680" s="199" t="n">
        <v>2025</v>
      </c>
    </row>
    <row r="681" ht="15" customHeight="1" s="104">
      <c r="A681" s="194" t="n">
        <v>45869</v>
      </c>
      <c r="B681" s="195" t="inlineStr">
        <is>
          <t>Tiktok</t>
        </is>
      </c>
      <c r="C681" s="195" t="inlineStr">
        <is>
          <t xml:space="preserve">Adjustments
</t>
        </is>
      </c>
      <c r="D681" s="195" t="inlineStr">
        <is>
          <t>Chargeback</t>
        </is>
      </c>
      <c r="E681" s="198" t="n">
        <v>0</v>
      </c>
      <c r="F681" s="201" t="n">
        <v>0</v>
      </c>
      <c r="H681" s="198" t="n">
        <v>0</v>
      </c>
      <c r="J681" s="200" t="inlineStr">
        <is>
          <t>Jul</t>
        </is>
      </c>
      <c r="K681" s="199" t="n">
        <v>2025</v>
      </c>
      <c r="L681" s="199" t="n">
        <v>2025</v>
      </c>
    </row>
    <row r="682" ht="15" customHeight="1" s="104">
      <c r="A682" s="194" t="n">
        <v>45869</v>
      </c>
      <c r="B682" s="195" t="inlineStr">
        <is>
          <t>Tiktok</t>
        </is>
      </c>
      <c r="C682" s="195" t="inlineStr">
        <is>
          <t xml:space="preserve">Adjustments
</t>
        </is>
      </c>
      <c r="D682" s="195" t="inlineStr">
        <is>
          <t>Other adjustment</t>
        </is>
      </c>
      <c r="E682" s="198" t="n">
        <v>0</v>
      </c>
      <c r="F682" s="201" t="n">
        <v>0</v>
      </c>
      <c r="H682" s="198" t="n">
        <v>0</v>
      </c>
      <c r="J682" s="200" t="inlineStr">
        <is>
          <t>Jul</t>
        </is>
      </c>
      <c r="K682" s="199" t="n">
        <v>2025</v>
      </c>
      <c r="L682" s="199" t="n">
        <v>2025</v>
      </c>
    </row>
    <row r="683" ht="15" customHeight="1" s="104">
      <c r="A683" s="194" t="n">
        <v>45869</v>
      </c>
      <c r="B683" s="195" t="inlineStr">
        <is>
          <t>Tiktok</t>
        </is>
      </c>
      <c r="C683" s="195" t="inlineStr">
        <is>
          <t xml:space="preserve">Adjustments
</t>
        </is>
      </c>
      <c r="D683" s="195" t="inlineStr">
        <is>
          <t>Top up ads balance using GMV payments</t>
        </is>
      </c>
      <c r="E683" s="198" t="n">
        <v>0</v>
      </c>
      <c r="F683" s="201" t="n">
        <v>0</v>
      </c>
      <c r="H683" s="198" t="n">
        <v>0</v>
      </c>
      <c r="J683" s="200" t="inlineStr">
        <is>
          <t>Jul</t>
        </is>
      </c>
      <c r="K683" s="199" t="n">
        <v>2025</v>
      </c>
      <c r="L683" s="199" t="n">
        <v>2025</v>
      </c>
    </row>
    <row r="684" ht="15" customHeight="1" s="104">
      <c r="A684" s="194" t="n">
        <v>45869</v>
      </c>
      <c r="B684" s="195" t="inlineStr">
        <is>
          <t>Tiktok</t>
        </is>
      </c>
      <c r="C684" s="195" t="inlineStr">
        <is>
          <t xml:space="preserve">Adjustments
</t>
        </is>
      </c>
      <c r="D684" s="195" t="inlineStr">
        <is>
          <t>FBT warehouse service fee</t>
        </is>
      </c>
      <c r="E684" s="196" t="n">
        <v>-4.56</v>
      </c>
      <c r="F684" s="204" t="n">
        <v>-0.0009787844184000001</v>
      </c>
      <c r="H684" s="196" t="n">
        <v>-4.56</v>
      </c>
      <c r="J684" s="200" t="inlineStr">
        <is>
          <t>Jul</t>
        </is>
      </c>
      <c r="K684" s="199" t="n">
        <v>2025</v>
      </c>
      <c r="L684" s="199" t="n">
        <v>2025</v>
      </c>
    </row>
    <row r="685" ht="15" customHeight="1" s="104">
      <c r="A685" s="194" t="n">
        <v>45869</v>
      </c>
      <c r="B685" s="195" t="inlineStr">
        <is>
          <t>Tiktok</t>
        </is>
      </c>
      <c r="C685" s="195" t="inlineStr">
        <is>
          <t xml:space="preserve">Adjustments
</t>
        </is>
      </c>
      <c r="D685" s="195" t="inlineStr">
        <is>
          <t>Co-funded creator activity</t>
        </is>
      </c>
      <c r="E685" s="198" t="n">
        <v>0</v>
      </c>
      <c r="F685" s="201" t="n">
        <v>0</v>
      </c>
      <c r="H685" s="198" t="n">
        <v>0</v>
      </c>
      <c r="J685" s="200" t="inlineStr">
        <is>
          <t>Jul</t>
        </is>
      </c>
      <c r="K685" s="199" t="n">
        <v>2025</v>
      </c>
      <c r="L685" s="199" t="n">
        <v>2025</v>
      </c>
    </row>
    <row r="686" ht="15" customHeight="1" s="104">
      <c r="A686" s="194" t="n">
        <v>45869</v>
      </c>
      <c r="B686" s="195" t="inlineStr">
        <is>
          <t>Tiktok</t>
        </is>
      </c>
      <c r="C686" s="195" t="inlineStr">
        <is>
          <t xml:space="preserve">Adjustments
</t>
        </is>
      </c>
      <c r="D686" s="195" t="inlineStr">
        <is>
          <t>Rebate</t>
        </is>
      </c>
      <c r="E686" s="198" t="n">
        <v>0</v>
      </c>
      <c r="F686" s="201" t="n">
        <v>0</v>
      </c>
      <c r="H686" s="198" t="n">
        <v>0</v>
      </c>
      <c r="J686" s="200" t="inlineStr">
        <is>
          <t>Jul</t>
        </is>
      </c>
      <c r="K686" s="199" t="n">
        <v>2025</v>
      </c>
      <c r="L686" s="199" t="n">
        <v>2025</v>
      </c>
    </row>
    <row r="687" ht="15" customHeight="1" s="104">
      <c r="A687" s="194" t="n">
        <v>45869</v>
      </c>
      <c r="B687" s="195" t="inlineStr">
        <is>
          <t>Tiktok</t>
        </is>
      </c>
      <c r="C687" s="195" t="inlineStr">
        <is>
          <t>Cost of goods</t>
        </is>
      </c>
      <c r="D687" s="195" t="inlineStr">
        <is>
          <t>Cost of goods sold</t>
        </is>
      </c>
      <c r="E687" s="196" t="n">
        <v>-1320.23</v>
      </c>
      <c r="F687" s="204" t="n">
        <v>-0.2833817002</v>
      </c>
      <c r="H687" s="196" t="n">
        <v>-1320.23</v>
      </c>
      <c r="J687" s="200" t="inlineStr">
        <is>
          <t>Jul</t>
        </is>
      </c>
      <c r="K687" s="199" t="n">
        <v>2025</v>
      </c>
      <c r="L687" s="199" t="n">
        <v>2025</v>
      </c>
    </row>
    <row r="688" ht="15" customHeight="1" s="104">
      <c r="A688" s="194" t="n">
        <v>45869</v>
      </c>
      <c r="B688" s="195" t="inlineStr">
        <is>
          <t>Tiktok</t>
        </is>
      </c>
      <c r="C688" s="195" t="inlineStr">
        <is>
          <t>Advertising cost</t>
        </is>
      </c>
      <c r="D688" s="195" t="inlineStr">
        <is>
          <t>Advertising Cost</t>
        </is>
      </c>
      <c r="E688" s="196" t="n">
        <v>-302.09</v>
      </c>
      <c r="F688" s="204" t="n">
        <v>-0.06484232126</v>
      </c>
      <c r="H688" s="196" t="n">
        <v>-302.09</v>
      </c>
      <c r="J688" s="200" t="inlineStr">
        <is>
          <t>Jul</t>
        </is>
      </c>
      <c r="K688" s="199" t="n">
        <v>2025</v>
      </c>
      <c r="L688" s="199" t="n">
        <v>2025</v>
      </c>
    </row>
    <row r="689" ht="15" customHeight="1" s="104">
      <c r="A689" s="194" t="n">
        <v>45869</v>
      </c>
      <c r="B689" s="195" t="inlineStr">
        <is>
          <t>Shopify</t>
        </is>
      </c>
      <c r="C689" s="195" t="inlineStr">
        <is>
          <t>Payment fees</t>
        </is>
      </c>
      <c r="D689" s="195" t="inlineStr">
        <is>
          <t>Shopify Payments fee</t>
        </is>
      </c>
      <c r="E689" s="196" t="n">
        <v>-188.79</v>
      </c>
      <c r="F689" s="204" t="n">
        <v>-0.03342392026</v>
      </c>
      <c r="H689" s="196" t="n">
        <v>-188.79</v>
      </c>
      <c r="J689" s="200" t="inlineStr">
        <is>
          <t>Jul</t>
        </is>
      </c>
      <c r="K689" s="199" t="n">
        <v>2025</v>
      </c>
      <c r="L689" s="199" t="n">
        <v>2025</v>
      </c>
    </row>
    <row r="690" ht="15" customHeight="1" s="104">
      <c r="A690" s="194" t="n">
        <v>45869</v>
      </c>
      <c r="B690" s="195" t="inlineStr">
        <is>
          <t>Shopify</t>
        </is>
      </c>
      <c r="C690" s="195" t="inlineStr">
        <is>
          <t>Cost of goods</t>
        </is>
      </c>
      <c r="D690" s="195" t="inlineStr">
        <is>
          <t>Cost of goods sold</t>
        </is>
      </c>
      <c r="E690" s="196" t="n">
        <v>-1681.69</v>
      </c>
      <c r="F690" s="204" t="n">
        <v>-0.2977311958</v>
      </c>
      <c r="H690" s="196" t="n">
        <v>-1681.69</v>
      </c>
      <c r="J690" s="200" t="inlineStr">
        <is>
          <t>Jul</t>
        </is>
      </c>
      <c r="K690" s="199" t="n">
        <v>2025</v>
      </c>
      <c r="L690" s="199" t="n">
        <v>2025</v>
      </c>
    </row>
    <row r="691" ht="15" customHeight="1" s="104">
      <c r="A691" s="194" t="n">
        <v>45869</v>
      </c>
      <c r="B691" s="195" t="inlineStr">
        <is>
          <t>Shopify</t>
        </is>
      </c>
      <c r="C691" s="195" t="inlineStr">
        <is>
          <t>Tax</t>
        </is>
      </c>
      <c r="D691" s="195" t="inlineStr">
        <is>
          <t>Texas State Tax</t>
        </is>
      </c>
      <c r="E691" s="196" t="n">
        <v>-25.48</v>
      </c>
      <c r="F691" s="204" t="n">
        <v>-0.0045110519</v>
      </c>
      <c r="H691" s="196" t="n">
        <v>-25.48</v>
      </c>
      <c r="J691" s="200" t="inlineStr">
        <is>
          <t>Jul</t>
        </is>
      </c>
      <c r="K691" s="199" t="n">
        <v>2025</v>
      </c>
      <c r="L691" s="199" t="n">
        <v>2025</v>
      </c>
    </row>
    <row r="692" ht="15" customHeight="1" s="104">
      <c r="A692" s="194" t="n">
        <v>45869</v>
      </c>
      <c r="B692" s="195" t="inlineStr">
        <is>
          <t>Shopify</t>
        </is>
      </c>
      <c r="C692" s="195" t="inlineStr">
        <is>
          <t>Tax</t>
        </is>
      </c>
      <c r="D692" s="195" t="inlineStr">
        <is>
          <t>Galveston City Tax</t>
        </is>
      </c>
      <c r="E692" s="196" t="n">
        <v>-8.16</v>
      </c>
      <c r="F692" s="204" t="n">
        <v>-0.001444669682</v>
      </c>
      <c r="H692" s="196" t="n">
        <v>-8.16</v>
      </c>
      <c r="J692" s="200" t="inlineStr">
        <is>
          <t>Jul</t>
        </is>
      </c>
      <c r="K692" s="199" t="n">
        <v>2025</v>
      </c>
      <c r="L692" s="199" t="n">
        <v>2025</v>
      </c>
    </row>
    <row r="693" ht="15" customHeight="1" s="104">
      <c r="A693" s="194" t="n">
        <v>45869</v>
      </c>
      <c r="B693" s="195" t="inlineStr">
        <is>
          <t>Shopify</t>
        </is>
      </c>
      <c r="C693" s="195" t="inlineStr">
        <is>
          <t>Tax</t>
        </is>
      </c>
      <c r="D693" s="195" t="inlineStr">
        <is>
          <t>Cuyahoga County Tax</t>
        </is>
      </c>
      <c r="E693" s="197" t="n">
        <v>-0.87</v>
      </c>
      <c r="F693" s="204" t="n">
        <v>-0.0001540272823</v>
      </c>
      <c r="H693" s="197" t="n">
        <v>-0.87</v>
      </c>
      <c r="J693" s="200" t="inlineStr">
        <is>
          <t>Jul</t>
        </is>
      </c>
      <c r="K693" s="199" t="n">
        <v>2025</v>
      </c>
      <c r="L693" s="199" t="n">
        <v>2025</v>
      </c>
    </row>
    <row r="694" ht="15" customHeight="1" s="104">
      <c r="A694" s="194" t="n">
        <v>45869</v>
      </c>
      <c r="B694" s="195" t="inlineStr">
        <is>
          <t>Shopify</t>
        </is>
      </c>
      <c r="C694" s="195" t="inlineStr">
        <is>
          <t>Tax</t>
        </is>
      </c>
      <c r="D694" s="195" t="inlineStr">
        <is>
          <t>Wisconsin State Tax</t>
        </is>
      </c>
      <c r="E694" s="196" t="n">
        <v>-1.78</v>
      </c>
      <c r="F694" s="204" t="n">
        <v>-0.0003151362787</v>
      </c>
      <c r="H694" s="196" t="n">
        <v>-1.78</v>
      </c>
      <c r="J694" s="200" t="inlineStr">
        <is>
          <t>Jul</t>
        </is>
      </c>
      <c r="K694" s="199" t="n">
        <v>2025</v>
      </c>
      <c r="L694" s="199" t="n">
        <v>2025</v>
      </c>
    </row>
    <row r="695" ht="15" customHeight="1" s="104">
      <c r="A695" s="194" t="n">
        <v>45869</v>
      </c>
      <c r="B695" s="195" t="inlineStr">
        <is>
          <t>Shopify</t>
        </is>
      </c>
      <c r="C695" s="195" t="inlineStr">
        <is>
          <t>Tax</t>
        </is>
      </c>
      <c r="D695" s="195" t="inlineStr">
        <is>
          <t>Maryland State Tax</t>
        </is>
      </c>
      <c r="E695" s="196" t="n">
        <v>-1.92</v>
      </c>
      <c r="F695" s="204" t="n">
        <v>-0.0003399222782</v>
      </c>
      <c r="H695" s="196" t="n">
        <v>-1.92</v>
      </c>
      <c r="J695" s="200" t="inlineStr">
        <is>
          <t>Jul</t>
        </is>
      </c>
      <c r="K695" s="199" t="n">
        <v>2025</v>
      </c>
      <c r="L695" s="199" t="n">
        <v>2025</v>
      </c>
    </row>
    <row r="696" ht="15" customHeight="1" s="104">
      <c r="A696" s="194" t="n">
        <v>45869</v>
      </c>
      <c r="B696" s="195" t="inlineStr">
        <is>
          <t>Shopify</t>
        </is>
      </c>
      <c r="C696" s="195" t="inlineStr">
        <is>
          <t>Tax</t>
        </is>
      </c>
      <c r="D696" s="195" t="inlineStr">
        <is>
          <t>Ohio State Tax</t>
        </is>
      </c>
      <c r="E696" s="196" t="n">
        <v>-2.24</v>
      </c>
      <c r="F696" s="204" t="n">
        <v>-0.0003965759912</v>
      </c>
      <c r="H696" s="196" t="n">
        <v>-2.24</v>
      </c>
      <c r="J696" s="200" t="inlineStr">
        <is>
          <t>Jul</t>
        </is>
      </c>
      <c r="K696" s="199" t="n">
        <v>2025</v>
      </c>
      <c r="L696" s="199" t="n">
        <v>2025</v>
      </c>
    </row>
    <row r="697" ht="15" customHeight="1" s="104">
      <c r="A697" s="194" t="n">
        <v>45869</v>
      </c>
      <c r="B697" s="195" t="inlineStr">
        <is>
          <t>Shopify</t>
        </is>
      </c>
      <c r="C697" s="195" t="inlineStr">
        <is>
          <t>Tax</t>
        </is>
      </c>
      <c r="D697" s="195" t="inlineStr">
        <is>
          <t>New Jersey State Tax</t>
        </is>
      </c>
      <c r="E697" s="196" t="n">
        <v>-2.39</v>
      </c>
      <c r="F697" s="204" t="n">
        <v>-0.0004231324192</v>
      </c>
      <c r="H697" s="196" t="n">
        <v>-2.39</v>
      </c>
      <c r="J697" s="200" t="inlineStr">
        <is>
          <t>Jul</t>
        </is>
      </c>
      <c r="K697" s="199" t="n">
        <v>2025</v>
      </c>
      <c r="L697" s="199" t="n">
        <v>2025</v>
      </c>
    </row>
    <row r="698" ht="15" customHeight="1" s="104">
      <c r="A698" s="194" t="n">
        <v>45869</v>
      </c>
      <c r="B698" s="195" t="inlineStr">
        <is>
          <t>Shopify</t>
        </is>
      </c>
      <c r="C698" s="195" t="inlineStr">
        <is>
          <t>MCF Shipping fees</t>
        </is>
      </c>
      <c r="D698" s="195" t="inlineStr">
        <is>
          <t>MCF Shipping fees</t>
        </is>
      </c>
      <c r="E698" s="196" t="n">
        <v>-1245.12</v>
      </c>
      <c r="F698" s="204" t="n">
        <v>-0.2204395974</v>
      </c>
      <c r="H698" s="196" t="n">
        <v>-1245.12</v>
      </c>
      <c r="J698" s="200" t="inlineStr">
        <is>
          <t>Jul</t>
        </is>
      </c>
      <c r="K698" s="199" t="n">
        <v>2025</v>
      </c>
      <c r="L698" s="199" t="n">
        <v>2025</v>
      </c>
    </row>
    <row r="699" ht="15" customHeight="1" s="104">
      <c r="A699" s="194" t="n">
        <v>45869</v>
      </c>
      <c r="B699" s="195" t="inlineStr">
        <is>
          <t>Shopify</t>
        </is>
      </c>
      <c r="C699" s="195" t="inlineStr">
        <is>
          <t>Shipping Cost</t>
        </is>
      </c>
      <c r="D699" s="195" t="inlineStr">
        <is>
          <t>Shipping Cost</t>
        </is>
      </c>
      <c r="E699" s="198" t="n">
        <v>0</v>
      </c>
      <c r="F699" s="201" t="n">
        <v>0</v>
      </c>
      <c r="H699" s="198" t="n">
        <v>0</v>
      </c>
      <c r="J699" s="200" t="inlineStr">
        <is>
          <t>Jul</t>
        </is>
      </c>
      <c r="K699" s="199" t="n">
        <v>2025</v>
      </c>
      <c r="L699" s="199" t="n">
        <v>2025</v>
      </c>
    </row>
    <row r="700" ht="15" customHeight="1" s="104">
      <c r="A700" s="194" t="n">
        <v>45869</v>
      </c>
      <c r="B700" s="195" t="inlineStr">
        <is>
          <t>Shopify</t>
        </is>
      </c>
      <c r="C700" s="195" t="inlineStr">
        <is>
          <t>Advertising cost</t>
        </is>
      </c>
      <c r="D700" s="195" t="inlineStr">
        <is>
          <t>Advertising Cost</t>
        </is>
      </c>
      <c r="E700" s="196" t="n">
        <v>-2606.64</v>
      </c>
      <c r="F700" s="204" t="n">
        <v>-0.4614869829</v>
      </c>
      <c r="H700" s="196" t="n">
        <v>-2606.64</v>
      </c>
      <c r="J700" s="200" t="inlineStr">
        <is>
          <t>Jul</t>
        </is>
      </c>
      <c r="K700" s="199" t="n">
        <v>2025</v>
      </c>
      <c r="L700" s="199" t="n">
        <v>2025</v>
      </c>
    </row>
    <row r="701" ht="15" customHeight="1" s="104">
      <c r="A701" s="194" t="n">
        <v>45900</v>
      </c>
      <c r="B701" s="195" t="inlineStr">
        <is>
          <t>Amazon US</t>
        </is>
      </c>
      <c r="C701" s="195" t="inlineStr">
        <is>
          <t>Advertising cost</t>
        </is>
      </c>
      <c r="D701" s="195" t="inlineStr">
        <is>
          <t>Sponsored Products</t>
        </is>
      </c>
      <c r="E701" s="196" t="n">
        <v>-6142.14</v>
      </c>
      <c r="F701" s="204" t="n">
        <v>-0.06248825574</v>
      </c>
      <c r="H701" s="196" t="n">
        <v>-6142.14</v>
      </c>
      <c r="J701" s="200" t="inlineStr">
        <is>
          <t>Aug</t>
        </is>
      </c>
      <c r="K701" s="199" t="n">
        <v>2025</v>
      </c>
      <c r="L701" s="199" t="n">
        <v>2025</v>
      </c>
    </row>
    <row r="702" ht="15" customHeight="1" s="104">
      <c r="A702" s="194" t="n">
        <v>45900</v>
      </c>
      <c r="B702" s="195" t="inlineStr">
        <is>
          <t>Amazon US</t>
        </is>
      </c>
      <c r="C702" s="195" t="inlineStr">
        <is>
          <t>Advertising cost</t>
        </is>
      </c>
      <c r="D702" s="195" t="inlineStr">
        <is>
          <t>Sponsored Brands Video</t>
        </is>
      </c>
      <c r="E702" s="198" t="n">
        <v>0</v>
      </c>
      <c r="F702" s="201" t="n">
        <v>0</v>
      </c>
      <c r="H702" s="198" t="n">
        <v>0</v>
      </c>
      <c r="J702" s="200" t="inlineStr">
        <is>
          <t>Aug</t>
        </is>
      </c>
      <c r="K702" s="199" t="n">
        <v>2025</v>
      </c>
      <c r="L702" s="199" t="n">
        <v>2025</v>
      </c>
    </row>
    <row r="703" ht="15" customHeight="1" s="104">
      <c r="A703" s="194" t="n">
        <v>45900</v>
      </c>
      <c r="B703" s="195" t="inlineStr">
        <is>
          <t>Amazon US</t>
        </is>
      </c>
      <c r="C703" s="195" t="inlineStr">
        <is>
          <t>Advertising cost</t>
        </is>
      </c>
      <c r="D703" s="195" t="inlineStr">
        <is>
          <t>Sponsored Display</t>
        </is>
      </c>
      <c r="E703" s="198" t="n">
        <v>0</v>
      </c>
      <c r="F703" s="201" t="n">
        <v>0</v>
      </c>
      <c r="H703" s="198" t="n">
        <v>0</v>
      </c>
      <c r="J703" s="200" t="inlineStr">
        <is>
          <t>Aug</t>
        </is>
      </c>
      <c r="K703" s="199" t="n">
        <v>2025</v>
      </c>
      <c r="L703" s="199" t="n">
        <v>2025</v>
      </c>
    </row>
    <row r="704" ht="15" customHeight="1" s="104">
      <c r="A704" s="194" t="n">
        <v>45900</v>
      </c>
      <c r="B704" s="195" t="inlineStr">
        <is>
          <t>Amazon US</t>
        </is>
      </c>
      <c r="C704" s="195" t="inlineStr">
        <is>
          <t>Advertising cost</t>
        </is>
      </c>
      <c r="D704" s="195" t="inlineStr">
        <is>
          <t>Sponsored Brands</t>
        </is>
      </c>
      <c r="E704" s="198" t="n">
        <v>0</v>
      </c>
      <c r="F704" s="201" t="n">
        <v>0</v>
      </c>
      <c r="H704" s="198" t="n">
        <v>0</v>
      </c>
      <c r="J704" s="200" t="inlineStr">
        <is>
          <t>Aug</t>
        </is>
      </c>
      <c r="K704" s="199" t="n">
        <v>2025</v>
      </c>
      <c r="L704" s="199" t="n">
        <v>2025</v>
      </c>
    </row>
    <row r="705" ht="15" customHeight="1" s="104">
      <c r="A705" s="194" t="n">
        <v>45900</v>
      </c>
      <c r="B705" s="195" t="inlineStr">
        <is>
          <t>Amazon US</t>
        </is>
      </c>
      <c r="C705" s="195" t="inlineStr">
        <is>
          <t>Refund cost</t>
        </is>
      </c>
      <c r="D705" s="195" t="inlineStr">
        <is>
          <t>Refunded amount</t>
        </is>
      </c>
      <c r="E705" s="196" t="n">
        <v>-11468.23</v>
      </c>
      <c r="F705" s="204" t="n">
        <v>-0.1166742681</v>
      </c>
      <c r="H705" s="196" t="n">
        <v>-11468.23</v>
      </c>
      <c r="J705" s="200" t="inlineStr">
        <is>
          <t>Aug</t>
        </is>
      </c>
      <c r="K705" s="199" t="n">
        <v>2025</v>
      </c>
      <c r="L705" s="199" t="n">
        <v>2025</v>
      </c>
    </row>
    <row r="706" ht="15" customHeight="1" s="104">
      <c r="A706" s="194" t="n">
        <v>45900</v>
      </c>
      <c r="B706" s="195" t="inlineStr">
        <is>
          <t>Amazon US</t>
        </is>
      </c>
      <c r="C706" s="195" t="inlineStr">
        <is>
          <t>Refund cost</t>
        </is>
      </c>
      <c r="D706" s="195" t="inlineStr">
        <is>
          <t>Refund commission</t>
        </is>
      </c>
      <c r="E706" s="196" t="n">
        <v>-341.52</v>
      </c>
      <c r="F706" s="204" t="n">
        <v>-0.003474520135</v>
      </c>
      <c r="H706" s="196" t="n">
        <v>-341.52</v>
      </c>
      <c r="J706" s="200" t="inlineStr">
        <is>
          <t>Aug</t>
        </is>
      </c>
      <c r="K706" s="199" t="n">
        <v>2025</v>
      </c>
      <c r="L706" s="199" t="n">
        <v>2025</v>
      </c>
    </row>
    <row r="707" ht="15" customHeight="1" s="104">
      <c r="A707" s="194" t="n">
        <v>45900</v>
      </c>
      <c r="B707" s="195" t="inlineStr">
        <is>
          <t>Amazon US</t>
        </is>
      </c>
      <c r="C707" s="195" t="inlineStr">
        <is>
          <t>Refund cost</t>
        </is>
      </c>
      <c r="D707" s="195" t="inlineStr">
        <is>
          <t>Promotion</t>
        </is>
      </c>
      <c r="E707" s="196" t="n">
        <v>85.28</v>
      </c>
      <c r="F707" s="204" t="n">
        <v>0.0008676126643</v>
      </c>
      <c r="H707" s="196" t="n">
        <v>85.28</v>
      </c>
      <c r="J707" s="200" t="inlineStr">
        <is>
          <t>Aug</t>
        </is>
      </c>
      <c r="K707" s="199" t="n">
        <v>2025</v>
      </c>
      <c r="L707" s="199" t="n">
        <v>2025</v>
      </c>
    </row>
    <row r="708" ht="15" customHeight="1" s="104">
      <c r="A708" s="194" t="n">
        <v>45900</v>
      </c>
      <c r="B708" s="195" t="inlineStr">
        <is>
          <t>Amazon US</t>
        </is>
      </c>
      <c r="C708" s="195" t="inlineStr">
        <is>
          <t>Refund cost</t>
        </is>
      </c>
      <c r="D708" s="195" t="inlineStr">
        <is>
          <t>Refunded referral fee</t>
        </is>
      </c>
      <c r="E708" s="196" t="n">
        <v>1707.73</v>
      </c>
      <c r="F708" s="204" t="n">
        <v>0.01737392325</v>
      </c>
      <c r="H708" s="196" t="n">
        <v>1707.73</v>
      </c>
      <c r="J708" s="200" t="inlineStr">
        <is>
          <t>Aug</t>
        </is>
      </c>
      <c r="K708" s="199" t="n">
        <v>2025</v>
      </c>
      <c r="L708" s="199" t="n">
        <v>2025</v>
      </c>
    </row>
    <row r="709" ht="15" customHeight="1" s="104">
      <c r="A709" s="194" t="n">
        <v>45900</v>
      </c>
      <c r="B709" s="195" t="inlineStr">
        <is>
          <t>Amazon US</t>
        </is>
      </c>
      <c r="C709" s="195" t="inlineStr">
        <is>
          <t>Refund cost</t>
        </is>
      </c>
      <c r="D709" s="195" t="inlineStr">
        <is>
          <t>Value of returned items</t>
        </is>
      </c>
      <c r="E709" s="196" t="n">
        <v>1135.71</v>
      </c>
      <c r="F709" s="204" t="n">
        <v>0.01155436654</v>
      </c>
      <c r="H709" s="196" t="n">
        <v>1135.71</v>
      </c>
      <c r="J709" s="200" t="inlineStr">
        <is>
          <t>Aug</t>
        </is>
      </c>
      <c r="K709" s="199" t="n">
        <v>2025</v>
      </c>
      <c r="L709" s="199" t="n">
        <v>2025</v>
      </c>
    </row>
    <row r="710" ht="15" customHeight="1" s="104">
      <c r="A710" s="194" t="n">
        <v>45900</v>
      </c>
      <c r="B710" s="195" t="inlineStr">
        <is>
          <t>Amazon US</t>
        </is>
      </c>
      <c r="C710" s="195" t="inlineStr">
        <is>
          <t>Amazon fees</t>
        </is>
      </c>
      <c r="D710" s="195" t="inlineStr">
        <is>
          <t>FBA per unit fulfilment fee</t>
        </is>
      </c>
      <c r="E710" s="196" t="n">
        <v>-15544.58</v>
      </c>
      <c r="F710" s="204" t="n">
        <v>-0.1581458076</v>
      </c>
      <c r="H710" s="196" t="n">
        <v>-15544.58</v>
      </c>
      <c r="J710" s="200" t="inlineStr">
        <is>
          <t>Aug</t>
        </is>
      </c>
      <c r="K710" s="199" t="n">
        <v>2025</v>
      </c>
      <c r="L710" s="199" t="n">
        <v>2025</v>
      </c>
    </row>
    <row r="711" ht="15" customHeight="1" s="104">
      <c r="A711" s="194" t="n">
        <v>45900</v>
      </c>
      <c r="B711" s="195" t="inlineStr">
        <is>
          <t>Amazon US</t>
        </is>
      </c>
      <c r="C711" s="195" t="inlineStr">
        <is>
          <t>Amazon fees</t>
        </is>
      </c>
      <c r="D711" s="195" t="inlineStr">
        <is>
          <t>Referral fee</t>
        </is>
      </c>
      <c r="E711" s="196" t="n">
        <v>-14653.17</v>
      </c>
      <c r="F711" s="204" t="n">
        <v>-0.1490768746</v>
      </c>
      <c r="H711" s="196" t="n">
        <v>-14653.17</v>
      </c>
      <c r="J711" s="200" t="inlineStr">
        <is>
          <t>Aug</t>
        </is>
      </c>
      <c r="K711" s="199" t="n">
        <v>2025</v>
      </c>
      <c r="L711" s="199" t="n">
        <v>2025</v>
      </c>
    </row>
    <row r="712" ht="15" customHeight="1" s="104">
      <c r="A712" s="194" t="n">
        <v>45900</v>
      </c>
      <c r="B712" s="195" t="inlineStr">
        <is>
          <t>Amazon US</t>
        </is>
      </c>
      <c r="C712" s="195" t="inlineStr">
        <is>
          <t>Amazon fees</t>
        </is>
      </c>
      <c r="D712" s="195" t="inlineStr">
        <is>
          <t>FBA storage fee</t>
        </is>
      </c>
      <c r="E712" s="196" t="n">
        <v>-1834.57</v>
      </c>
      <c r="F712" s="204" t="n">
        <v>-0.01866435466</v>
      </c>
      <c r="H712" s="196" t="n">
        <v>-1834.57</v>
      </c>
      <c r="J712" s="200" t="inlineStr">
        <is>
          <t>Aug</t>
        </is>
      </c>
      <c r="K712" s="199" t="n">
        <v>2025</v>
      </c>
      <c r="L712" s="199" t="n">
        <v>2025</v>
      </c>
    </row>
    <row r="713" ht="15" customHeight="1" s="104">
      <c r="A713" s="194" t="n">
        <v>45900</v>
      </c>
      <c r="B713" s="195" t="inlineStr">
        <is>
          <t>Amazon US</t>
        </is>
      </c>
      <c r="C713" s="195" t="inlineStr">
        <is>
          <t>Amazon fees</t>
        </is>
      </c>
      <c r="D713" s="195" t="inlineStr">
        <is>
          <t>FBA disposal fee</t>
        </is>
      </c>
      <c r="E713" s="196" t="n">
        <v>-805.3200000000001</v>
      </c>
      <c r="F713" s="204" t="n">
        <v>-0.008193079629</v>
      </c>
      <c r="H713" s="196" t="n">
        <v>-805.3200000000001</v>
      </c>
      <c r="J713" s="200" t="inlineStr">
        <is>
          <t>Aug</t>
        </is>
      </c>
      <c r="K713" s="199" t="n">
        <v>2025</v>
      </c>
      <c r="L713" s="199" t="n">
        <v>2025</v>
      </c>
    </row>
    <row r="714" ht="15" customHeight="1" s="104">
      <c r="A714" s="194" t="n">
        <v>45900</v>
      </c>
      <c r="B714" s="195" t="inlineStr">
        <is>
          <t>Amazon US</t>
        </is>
      </c>
      <c r="C714" s="195" t="inlineStr">
        <is>
          <t>Amazon fees</t>
        </is>
      </c>
      <c r="D714" s="195" t="inlineStr">
        <is>
          <t>FBA inbound convenience fee</t>
        </is>
      </c>
      <c r="E714" s="196" t="n">
        <v>-290</v>
      </c>
      <c r="F714" s="204" t="n">
        <v>-0.002950371396</v>
      </c>
      <c r="H714" s="196" t="n">
        <v>-290</v>
      </c>
      <c r="J714" s="200" t="inlineStr">
        <is>
          <t>Aug</t>
        </is>
      </c>
      <c r="K714" s="199" t="n">
        <v>2025</v>
      </c>
      <c r="L714" s="199" t="n">
        <v>2025</v>
      </c>
    </row>
    <row r="715" ht="15" customHeight="1" s="104">
      <c r="A715" s="194" t="n">
        <v>45900</v>
      </c>
      <c r="B715" s="195" t="inlineStr">
        <is>
          <t>Amazon US</t>
        </is>
      </c>
      <c r="C715" s="195" t="inlineStr">
        <is>
          <t>Amazon fees</t>
        </is>
      </c>
      <c r="D715" s="195" t="inlineStr">
        <is>
          <t>AWD processing fee</t>
        </is>
      </c>
      <c r="E715" s="196" t="n">
        <v>-758.7</v>
      </c>
      <c r="F715" s="204" t="n">
        <v>-0.007718781993</v>
      </c>
      <c r="H715" s="196" t="n">
        <v>-758.7</v>
      </c>
      <c r="J715" s="200" t="inlineStr">
        <is>
          <t>Aug</t>
        </is>
      </c>
      <c r="K715" s="199" t="n">
        <v>2025</v>
      </c>
      <c r="L715" s="199" t="n">
        <v>2025</v>
      </c>
    </row>
    <row r="716" ht="15" customHeight="1" s="104">
      <c r="A716" s="194" t="n">
        <v>45900</v>
      </c>
      <c r="B716" s="195" t="inlineStr">
        <is>
          <t>Amazon US</t>
        </is>
      </c>
      <c r="C716" s="195" t="inlineStr">
        <is>
          <t>Amazon fees</t>
        </is>
      </c>
      <c r="D716" s="195" t="inlineStr">
        <is>
          <t>Liquidations brokerage fee</t>
        </is>
      </c>
      <c r="F716" s="201" t="n">
        <v>0</v>
      </c>
      <c r="J716" s="200" t="inlineStr">
        <is>
          <t>Aug</t>
        </is>
      </c>
      <c r="K716" s="199" t="n">
        <v>2025</v>
      </c>
      <c r="L716" s="199" t="n">
        <v>2025</v>
      </c>
    </row>
    <row r="717" ht="15" customHeight="1" s="104">
      <c r="A717" s="194" t="n">
        <v>45900</v>
      </c>
      <c r="B717" s="195" t="inlineStr">
        <is>
          <t>Amazon US</t>
        </is>
      </c>
      <c r="C717" s="195" t="inlineStr">
        <is>
          <t>Amazon fees</t>
        </is>
      </c>
      <c r="D717" s="195" t="inlineStr">
        <is>
          <t>Customer Return HRR Unit Fee</t>
        </is>
      </c>
      <c r="E717" s="196" t="n">
        <v>-156.75</v>
      </c>
      <c r="F717" s="204" t="n">
        <v>-0.001594726608</v>
      </c>
      <c r="H717" s="196" t="n">
        <v>-156.75</v>
      </c>
      <c r="J717" s="200" t="inlineStr">
        <is>
          <t>Aug</t>
        </is>
      </c>
      <c r="K717" s="199" t="n">
        <v>2025</v>
      </c>
      <c r="L717" s="199" t="n">
        <v>2025</v>
      </c>
    </row>
    <row r="718" ht="15" customHeight="1" s="104">
      <c r="A718" s="194" t="n">
        <v>45900</v>
      </c>
      <c r="B718" s="195" t="inlineStr">
        <is>
          <t>Amazon US</t>
        </is>
      </c>
      <c r="C718" s="195" t="inlineStr">
        <is>
          <t>Amazon fees</t>
        </is>
      </c>
      <c r="D718" s="195" t="inlineStr">
        <is>
          <t>Get paid faster fee</t>
        </is>
      </c>
      <c r="E718" s="196" t="n">
        <v>-33.58</v>
      </c>
      <c r="F718" s="204" t="n">
        <v>-0.0003416326602</v>
      </c>
      <c r="H718" s="196" t="n">
        <v>-33.58</v>
      </c>
      <c r="J718" s="200" t="inlineStr">
        <is>
          <t>Aug</t>
        </is>
      </c>
      <c r="K718" s="199" t="n">
        <v>2025</v>
      </c>
      <c r="L718" s="199" t="n">
        <v>2025</v>
      </c>
    </row>
    <row r="719" ht="15" customHeight="1" s="104">
      <c r="A719" s="194" t="n">
        <v>45900</v>
      </c>
      <c r="B719" s="195" t="inlineStr">
        <is>
          <t>Amazon US</t>
        </is>
      </c>
      <c r="C719" s="195" t="inlineStr">
        <is>
          <t>Amazon fees</t>
        </is>
      </c>
      <c r="D719" s="195" t="inlineStr">
        <is>
          <t>Compensated clawback</t>
        </is>
      </c>
      <c r="E719" s="196" t="n">
        <v>-66.11</v>
      </c>
      <c r="F719" s="204" t="n">
        <v>-0.0006725829413</v>
      </c>
      <c r="H719" s="196" t="n">
        <v>-66.11</v>
      </c>
      <c r="J719" s="200" t="inlineStr">
        <is>
          <t>Aug</t>
        </is>
      </c>
      <c r="K719" s="199" t="n">
        <v>2025</v>
      </c>
      <c r="L719" s="199" t="n">
        <v>2025</v>
      </c>
    </row>
    <row r="720" ht="15" customHeight="1" s="104">
      <c r="A720" s="194" t="n">
        <v>45900</v>
      </c>
      <c r="B720" s="195" t="inlineStr">
        <is>
          <t>Amazon US</t>
        </is>
      </c>
      <c r="C720" s="195" t="inlineStr">
        <is>
          <t>Amazon fees</t>
        </is>
      </c>
      <c r="D720" s="195" t="inlineStr">
        <is>
          <t>Free replacement refund items</t>
        </is>
      </c>
      <c r="E720" s="196" t="n">
        <v>184.74</v>
      </c>
      <c r="F720" s="204" t="n">
        <v>0.001879488316</v>
      </c>
      <c r="H720" s="196" t="n">
        <v>184.74</v>
      </c>
      <c r="J720" s="200" t="inlineStr">
        <is>
          <t>Aug</t>
        </is>
      </c>
      <c r="K720" s="199" t="n">
        <v>2025</v>
      </c>
      <c r="L720" s="199" t="n">
        <v>2025</v>
      </c>
    </row>
    <row r="721" ht="15" customHeight="1" s="104">
      <c r="A721" s="194" t="n">
        <v>45900</v>
      </c>
      <c r="B721" s="195" t="inlineStr">
        <is>
          <t>Amazon US</t>
        </is>
      </c>
      <c r="C721" s="195" t="inlineStr">
        <is>
          <t>Amazon fees</t>
        </is>
      </c>
      <c r="D721" s="195" t="inlineStr">
        <is>
          <t>Warehouse lost</t>
        </is>
      </c>
      <c r="E721" s="196" t="n">
        <v>85.06</v>
      </c>
      <c r="F721" s="204" t="n">
        <v>0.0008653744515</v>
      </c>
      <c r="H721" s="196" t="n">
        <v>85.06</v>
      </c>
      <c r="J721" s="200" t="inlineStr">
        <is>
          <t>Aug</t>
        </is>
      </c>
      <c r="K721" s="199" t="n">
        <v>2025</v>
      </c>
      <c r="L721" s="199" t="n">
        <v>2025</v>
      </c>
    </row>
    <row r="722" ht="15" customHeight="1" s="104">
      <c r="A722" s="194" t="n">
        <v>45900</v>
      </c>
      <c r="B722" s="195" t="inlineStr">
        <is>
          <t>Amazon US</t>
        </is>
      </c>
      <c r="C722" s="195" t="inlineStr">
        <is>
          <t>Amazon fees</t>
        </is>
      </c>
      <c r="D722" s="195" t="inlineStr">
        <is>
          <t>Missing from inbound</t>
        </is>
      </c>
      <c r="E722" s="196" t="n">
        <v>155.57</v>
      </c>
      <c r="F722" s="204" t="n">
        <v>0.001582721648</v>
      </c>
      <c r="H722" s="196" t="n">
        <v>155.57</v>
      </c>
      <c r="J722" s="200" t="inlineStr">
        <is>
          <t>Aug</t>
        </is>
      </c>
      <c r="K722" s="199" t="n">
        <v>2025</v>
      </c>
      <c r="L722" s="199" t="n">
        <v>2025</v>
      </c>
    </row>
    <row r="723" ht="15" customHeight="1" s="104">
      <c r="A723" s="194" t="n">
        <v>45900</v>
      </c>
      <c r="B723" s="195" t="inlineStr">
        <is>
          <t>Amazon US</t>
        </is>
      </c>
      <c r="C723" s="195" t="inlineStr">
        <is>
          <t>Amazon fees</t>
        </is>
      </c>
      <c r="D723" s="195" t="inlineStr">
        <is>
          <t>Warehouse damage</t>
        </is>
      </c>
      <c r="E723" s="196" t="n">
        <v>71.5</v>
      </c>
      <c r="F723" s="204" t="n">
        <v>0.0007274191545</v>
      </c>
      <c r="H723" s="196" t="n">
        <v>71.5</v>
      </c>
      <c r="J723" s="200" t="inlineStr">
        <is>
          <t>Aug</t>
        </is>
      </c>
      <c r="K723" s="199" t="n">
        <v>2025</v>
      </c>
      <c r="L723" s="199" t="n">
        <v>2025</v>
      </c>
    </row>
    <row r="724" ht="15" customHeight="1" s="104">
      <c r="A724" s="194" t="n">
        <v>45900</v>
      </c>
      <c r="B724" s="195" t="inlineStr">
        <is>
          <t>Amazon US</t>
        </is>
      </c>
      <c r="C724" s="195" t="inlineStr">
        <is>
          <t>Amazon fees</t>
        </is>
      </c>
      <c r="D724" s="195" t="inlineStr">
        <is>
          <t>Liquidations revenue</t>
        </is>
      </c>
      <c r="F724" s="201" t="n">
        <v>0</v>
      </c>
      <c r="J724" s="200" t="inlineStr">
        <is>
          <t>Aug</t>
        </is>
      </c>
      <c r="K724" s="199" t="n">
        <v>2025</v>
      </c>
      <c r="L724" s="199" t="n">
        <v>2025</v>
      </c>
    </row>
    <row r="725" ht="15" customHeight="1" s="104">
      <c r="A725" s="194" t="n">
        <v>45900</v>
      </c>
      <c r="B725" s="195" t="inlineStr">
        <is>
          <t>Amazon US</t>
        </is>
      </c>
      <c r="C725" s="195" t="inlineStr">
        <is>
          <t>Amazon fees</t>
        </is>
      </c>
      <c r="D725" s="195" t="inlineStr">
        <is>
          <t>Reversal reimbursement</t>
        </is>
      </c>
      <c r="E725" s="196" t="n">
        <v>823.21</v>
      </c>
      <c r="F725" s="204" t="n">
        <v>0.008375087022999999</v>
      </c>
      <c r="H725" s="196" t="n">
        <v>823.21</v>
      </c>
      <c r="J725" s="200" t="inlineStr">
        <is>
          <t>Aug</t>
        </is>
      </c>
      <c r="K725" s="199" t="n">
        <v>2025</v>
      </c>
      <c r="L725" s="199" t="n">
        <v>2025</v>
      </c>
    </row>
    <row r="726" ht="15" customHeight="1" s="104">
      <c r="A726" s="194" t="n">
        <v>45900</v>
      </c>
      <c r="B726" s="195" t="inlineStr">
        <is>
          <t>Amazon US</t>
        </is>
      </c>
      <c r="C726" s="195" t="inlineStr">
        <is>
          <t>Amazon fees</t>
        </is>
      </c>
      <c r="D726" s="195" t="inlineStr">
        <is>
          <t>Vine Fee</t>
        </is>
      </c>
      <c r="F726" s="201" t="n">
        <v>0</v>
      </c>
      <c r="J726" s="200" t="inlineStr">
        <is>
          <t>Aug</t>
        </is>
      </c>
      <c r="K726" s="199" t="n">
        <v>2025</v>
      </c>
      <c r="L726" s="199" t="n">
        <v>2025</v>
      </c>
    </row>
    <row r="727" ht="15" customHeight="1" s="104">
      <c r="A727" s="194" t="n">
        <v>45900</v>
      </c>
      <c r="B727" s="195" t="inlineStr">
        <is>
          <t>Amazon US</t>
        </is>
      </c>
      <c r="C727" s="195" t="inlineStr">
        <is>
          <t>Amazon fees</t>
        </is>
      </c>
      <c r="D727" s="195" t="inlineStr">
        <is>
          <t>Missing from inbound clawback</t>
        </is>
      </c>
      <c r="F727" s="201" t="n">
        <v>0</v>
      </c>
      <c r="J727" s="200" t="inlineStr">
        <is>
          <t>Aug</t>
        </is>
      </c>
      <c r="K727" s="199" t="n">
        <v>2025</v>
      </c>
      <c r="L727" s="199" t="n">
        <v>2025</v>
      </c>
    </row>
    <row r="728" ht="15" customHeight="1" s="104">
      <c r="A728" s="194" t="n">
        <v>45900</v>
      </c>
      <c r="B728" s="195" t="inlineStr">
        <is>
          <t>Amazon US</t>
        </is>
      </c>
      <c r="C728" s="195" t="inlineStr">
        <is>
          <t>Amazon fees</t>
        </is>
      </c>
      <c r="D728" s="195" t="inlineStr">
        <is>
          <t>Subscription</t>
        </is>
      </c>
      <c r="E728" s="196" t="n">
        <v>-40.01</v>
      </c>
      <c r="F728" s="204" t="n">
        <v>-0.0004070495157</v>
      </c>
      <c r="H728" s="196" t="n">
        <v>-40.01</v>
      </c>
      <c r="J728" s="200" t="inlineStr">
        <is>
          <t>Aug</t>
        </is>
      </c>
      <c r="K728" s="199" t="n">
        <v>2025</v>
      </c>
      <c r="L728" s="199" t="n">
        <v>2025</v>
      </c>
    </row>
    <row r="729" ht="15" customHeight="1" s="104">
      <c r="A729" s="194" t="n">
        <v>45900</v>
      </c>
      <c r="B729" s="195" t="inlineStr">
        <is>
          <t>Amazon US</t>
        </is>
      </c>
      <c r="C729" s="195" t="inlineStr">
        <is>
          <t>Amazon fees</t>
        </is>
      </c>
      <c r="D729" s="195" t="inlineStr">
        <is>
          <t>Long term storage fee</t>
        </is>
      </c>
      <c r="E729" s="196" t="n">
        <v>-3.22</v>
      </c>
      <c r="F729" s="204" t="n">
        <v>-3.275929619e-05</v>
      </c>
      <c r="H729" s="196" t="n">
        <v>-3.22</v>
      </c>
      <c r="J729" s="200" t="inlineStr">
        <is>
          <t>Aug</t>
        </is>
      </c>
      <c r="K729" s="199" t="n">
        <v>2025</v>
      </c>
      <c r="L729" s="199" t="n">
        <v>2025</v>
      </c>
    </row>
    <row r="730" ht="15" customHeight="1" s="104">
      <c r="A730" s="194" t="n">
        <v>45900</v>
      </c>
      <c r="B730" s="195" t="inlineStr">
        <is>
          <t>Amazon US</t>
        </is>
      </c>
      <c r="C730" s="195" t="inlineStr">
        <is>
          <t>Cost of goods</t>
        </is>
      </c>
      <c r="D730" s="195" t="inlineStr">
        <is>
          <t>Cost of goods sold</t>
        </is>
      </c>
      <c r="E730" s="196" t="n">
        <v>-25742.83</v>
      </c>
      <c r="F730" s="204" t="n">
        <v>-0.2618996872</v>
      </c>
      <c r="H730" s="196" t="n">
        <v>-25742.83</v>
      </c>
      <c r="J730" s="200" t="inlineStr">
        <is>
          <t>Aug</t>
        </is>
      </c>
      <c r="K730" s="199" t="n">
        <v>2025</v>
      </c>
      <c r="L730" s="199" t="n">
        <v>2025</v>
      </c>
    </row>
    <row r="731" ht="15" customHeight="1" s="104">
      <c r="A731" s="194" t="n">
        <v>45900</v>
      </c>
      <c r="B731" s="195" t="inlineStr">
        <is>
          <t>Amazon US</t>
        </is>
      </c>
      <c r="C731" s="195" t="inlineStr">
        <is>
          <t>Cost of goods</t>
        </is>
      </c>
      <c r="D731" s="195" t="inlineStr">
        <is>
          <t>Lost/damaged by Amazon</t>
        </is>
      </c>
      <c r="E731" s="196" t="n">
        <v>-185.2</v>
      </c>
      <c r="F731" s="204" t="n">
        <v>-0.001884168216</v>
      </c>
      <c r="H731" s="196" t="n">
        <v>-185.2</v>
      </c>
      <c r="J731" s="200" t="inlineStr">
        <is>
          <t>Aug</t>
        </is>
      </c>
      <c r="K731" s="199" t="n">
        <v>2025</v>
      </c>
      <c r="L731" s="199" t="n">
        <v>2025</v>
      </c>
    </row>
    <row r="732" ht="15" customHeight="1" s="104">
      <c r="A732" s="194" t="n">
        <v>45900</v>
      </c>
      <c r="B732" s="195" t="inlineStr">
        <is>
          <t>Amazon CA</t>
        </is>
      </c>
      <c r="C732" s="195" t="inlineStr">
        <is>
          <t>Advertising cost</t>
        </is>
      </c>
      <c r="D732" s="195" t="inlineStr">
        <is>
          <t>Sponsored Products</t>
        </is>
      </c>
      <c r="E732" s="196" t="n">
        <v>-507.06</v>
      </c>
      <c r="F732" s="204" t="n">
        <v>-0.03552775952</v>
      </c>
      <c r="H732" s="196" t="n">
        <v>-507.06</v>
      </c>
      <c r="J732" s="200" t="inlineStr">
        <is>
          <t>Aug</t>
        </is>
      </c>
      <c r="K732" s="199" t="n">
        <v>2025</v>
      </c>
      <c r="L732" s="199" t="n">
        <v>2025</v>
      </c>
    </row>
    <row r="733" ht="15" customHeight="1" s="104">
      <c r="A733" s="194" t="n">
        <v>45900</v>
      </c>
      <c r="B733" s="195" t="inlineStr">
        <is>
          <t>Amazon CA</t>
        </is>
      </c>
      <c r="C733" s="195" t="inlineStr">
        <is>
          <t>Advertising cost</t>
        </is>
      </c>
      <c r="D733" s="195" t="inlineStr">
        <is>
          <t>Sponsored Brands Video</t>
        </is>
      </c>
      <c r="E733" s="198" t="n">
        <v>0</v>
      </c>
      <c r="F733" s="201" t="n">
        <v>0</v>
      </c>
      <c r="H733" s="198" t="n">
        <v>0</v>
      </c>
      <c r="J733" s="200" t="inlineStr">
        <is>
          <t>Aug</t>
        </is>
      </c>
      <c r="K733" s="199" t="n">
        <v>2025</v>
      </c>
      <c r="L733" s="199" t="n">
        <v>2025</v>
      </c>
    </row>
    <row r="734" ht="15" customHeight="1" s="104">
      <c r="A734" s="194" t="n">
        <v>45900</v>
      </c>
      <c r="B734" s="195" t="inlineStr">
        <is>
          <t>Amazon CA</t>
        </is>
      </c>
      <c r="C734" s="195" t="inlineStr">
        <is>
          <t>Advertising cost</t>
        </is>
      </c>
      <c r="D734" s="195" t="inlineStr">
        <is>
          <t>Sponsored Display</t>
        </is>
      </c>
      <c r="E734" s="198" t="n">
        <v>0</v>
      </c>
      <c r="F734" s="201" t="n">
        <v>0</v>
      </c>
      <c r="H734" s="198" t="n">
        <v>0</v>
      </c>
      <c r="J734" s="200" t="inlineStr">
        <is>
          <t>Aug</t>
        </is>
      </c>
      <c r="K734" s="199" t="n">
        <v>2025</v>
      </c>
      <c r="L734" s="199" t="n">
        <v>2025</v>
      </c>
    </row>
    <row r="735" ht="15" customHeight="1" s="104">
      <c r="A735" s="194" t="n">
        <v>45900</v>
      </c>
      <c r="B735" s="195" t="inlineStr">
        <is>
          <t>Amazon CA</t>
        </is>
      </c>
      <c r="C735" s="195" t="inlineStr">
        <is>
          <t>Advertising cost</t>
        </is>
      </c>
      <c r="D735" s="195" t="inlineStr">
        <is>
          <t>Sponsored Brands</t>
        </is>
      </c>
      <c r="E735" s="198" t="n">
        <v>0</v>
      </c>
      <c r="F735" s="201" t="n">
        <v>0</v>
      </c>
      <c r="H735" s="198" t="n">
        <v>0</v>
      </c>
      <c r="J735" s="200" t="inlineStr">
        <is>
          <t>Aug</t>
        </is>
      </c>
      <c r="K735" s="199" t="n">
        <v>2025</v>
      </c>
      <c r="L735" s="199" t="n">
        <v>2025</v>
      </c>
    </row>
    <row r="736" ht="15" customHeight="1" s="104">
      <c r="A736" s="194" t="n">
        <v>45900</v>
      </c>
      <c r="B736" s="195" t="inlineStr">
        <is>
          <t>Amazon CA</t>
        </is>
      </c>
      <c r="C736" s="195" t="inlineStr">
        <is>
          <t>Refund cost</t>
        </is>
      </c>
      <c r="D736" s="195" t="inlineStr">
        <is>
          <t>Refunded amount</t>
        </is>
      </c>
      <c r="E736" s="196" t="n">
        <v>-2927.29</v>
      </c>
      <c r="F736" s="204" t="n">
        <v>-0.2051040413</v>
      </c>
      <c r="H736" s="196" t="n">
        <v>-2927.29</v>
      </c>
      <c r="J736" s="200" t="inlineStr">
        <is>
          <t>Aug</t>
        </is>
      </c>
      <c r="K736" s="199" t="n">
        <v>2025</v>
      </c>
      <c r="L736" s="199" t="n">
        <v>2025</v>
      </c>
    </row>
    <row r="737" ht="15" customHeight="1" s="104">
      <c r="A737" s="194" t="n">
        <v>45900</v>
      </c>
      <c r="B737" s="195" t="inlineStr">
        <is>
          <t>Amazon CA</t>
        </is>
      </c>
      <c r="C737" s="195" t="inlineStr">
        <is>
          <t>Refund cost</t>
        </is>
      </c>
      <c r="D737" s="195" t="inlineStr">
        <is>
          <t>Refund commission</t>
        </is>
      </c>
      <c r="E737" s="196" t="n">
        <v>-84.93000000000001</v>
      </c>
      <c r="F737" s="204" t="n">
        <v>-0.005950721051</v>
      </c>
      <c r="H737" s="196" t="n">
        <v>-84.93000000000001</v>
      </c>
      <c r="J737" s="200" t="inlineStr">
        <is>
          <t>Aug</t>
        </is>
      </c>
      <c r="K737" s="199" t="n">
        <v>2025</v>
      </c>
      <c r="L737" s="199" t="n">
        <v>2025</v>
      </c>
    </row>
    <row r="738" ht="15" customHeight="1" s="104">
      <c r="A738" s="194" t="n">
        <v>45900</v>
      </c>
      <c r="B738" s="195" t="inlineStr">
        <is>
          <t>Amazon CA</t>
        </is>
      </c>
      <c r="C738" s="195" t="inlineStr">
        <is>
          <t>Refund cost</t>
        </is>
      </c>
      <c r="D738" s="195" t="inlineStr">
        <is>
          <t>Refunded referral fee</t>
        </is>
      </c>
      <c r="E738" s="196" t="n">
        <v>439.17</v>
      </c>
      <c r="F738" s="204" t="n">
        <v>0.03077096625</v>
      </c>
      <c r="H738" s="196" t="n">
        <v>439.17</v>
      </c>
      <c r="J738" s="200" t="inlineStr">
        <is>
          <t>Aug</t>
        </is>
      </c>
      <c r="K738" s="199" t="n">
        <v>2025</v>
      </c>
      <c r="L738" s="199" t="n">
        <v>2025</v>
      </c>
    </row>
    <row r="739" ht="15" customHeight="1" s="104">
      <c r="A739" s="194" t="n">
        <v>45900</v>
      </c>
      <c r="B739" s="195" t="inlineStr">
        <is>
          <t>Amazon CA</t>
        </is>
      </c>
      <c r="C739" s="195" t="inlineStr">
        <is>
          <t>Refund cost</t>
        </is>
      </c>
      <c r="D739" s="195" t="inlineStr">
        <is>
          <t>Value of returned items</t>
        </is>
      </c>
      <c r="E739" s="196" t="n">
        <v>290.7</v>
      </c>
      <c r="F739" s="204" t="n">
        <v>0.02036823984</v>
      </c>
      <c r="H739" s="196" t="n">
        <v>290.7</v>
      </c>
      <c r="J739" s="200" t="inlineStr">
        <is>
          <t>Aug</t>
        </is>
      </c>
      <c r="K739" s="199" t="n">
        <v>2025</v>
      </c>
      <c r="L739" s="199" t="n">
        <v>2025</v>
      </c>
    </row>
    <row r="740" ht="15" customHeight="1" s="104">
      <c r="A740" s="194" t="n">
        <v>45900</v>
      </c>
      <c r="B740" s="195" t="inlineStr">
        <is>
          <t>Amazon CA</t>
        </is>
      </c>
      <c r="C740" s="195" t="inlineStr">
        <is>
          <t>Amazon fees</t>
        </is>
      </c>
      <c r="D740" s="195" t="inlineStr">
        <is>
          <t>FBA per unit fulfilment fee</t>
        </is>
      </c>
      <c r="E740" s="196" t="n">
        <v>-2493.32</v>
      </c>
      <c r="F740" s="204" t="n">
        <v>-0.1746974192</v>
      </c>
      <c r="H740" s="196" t="n">
        <v>-2493.32</v>
      </c>
      <c r="J740" s="200" t="inlineStr">
        <is>
          <t>Aug</t>
        </is>
      </c>
      <c r="K740" s="199" t="n">
        <v>2025</v>
      </c>
      <c r="L740" s="199" t="n">
        <v>2025</v>
      </c>
    </row>
    <row r="741" ht="15" customHeight="1" s="104">
      <c r="A741" s="194" t="n">
        <v>45900</v>
      </c>
      <c r="B741" s="195" t="inlineStr">
        <is>
          <t>Amazon CA</t>
        </is>
      </c>
      <c r="C741" s="195" t="inlineStr">
        <is>
          <t>Amazon fees</t>
        </is>
      </c>
      <c r="D741" s="195" t="inlineStr">
        <is>
          <t>Referral fee</t>
        </is>
      </c>
      <c r="E741" s="196" t="n">
        <v>-2139.28</v>
      </c>
      <c r="F741" s="204" t="n">
        <v>-0.1498911872</v>
      </c>
      <c r="H741" s="196" t="n">
        <v>-2139.28</v>
      </c>
      <c r="J741" s="200" t="inlineStr">
        <is>
          <t>Aug</t>
        </is>
      </c>
      <c r="K741" s="199" t="n">
        <v>2025</v>
      </c>
      <c r="L741" s="199" t="n">
        <v>2025</v>
      </c>
    </row>
    <row r="742" ht="15" customHeight="1" s="104">
      <c r="A742" s="194" t="n">
        <v>45900</v>
      </c>
      <c r="B742" s="195" t="inlineStr">
        <is>
          <t>Amazon CA</t>
        </is>
      </c>
      <c r="C742" s="195" t="inlineStr">
        <is>
          <t>Amazon fees</t>
        </is>
      </c>
      <c r="D742" s="195" t="inlineStr">
        <is>
          <t>FBA storage fee</t>
        </is>
      </c>
      <c r="E742" s="196" t="n">
        <v>-281.64</v>
      </c>
      <c r="F742" s="204" t="n">
        <v>-0.01973344021</v>
      </c>
      <c r="H742" s="196" t="n">
        <v>-281.64</v>
      </c>
      <c r="J742" s="200" t="inlineStr">
        <is>
          <t>Aug</t>
        </is>
      </c>
      <c r="K742" s="199" t="n">
        <v>2025</v>
      </c>
      <c r="L742" s="199" t="n">
        <v>2025</v>
      </c>
    </row>
    <row r="743" ht="15" customHeight="1" s="104">
      <c r="A743" s="194" t="n">
        <v>45900</v>
      </c>
      <c r="B743" s="195" t="inlineStr">
        <is>
          <t>Amazon CA</t>
        </is>
      </c>
      <c r="C743" s="195" t="inlineStr">
        <is>
          <t>Amazon fees</t>
        </is>
      </c>
      <c r="D743" s="195" t="inlineStr">
        <is>
          <t>Digital services fee</t>
        </is>
      </c>
      <c r="E743" s="196" t="n">
        <v>-20.01</v>
      </c>
      <c r="F743" s="204" t="n">
        <v>-0.001402024352</v>
      </c>
      <c r="H743" s="196" t="n">
        <v>-20.01</v>
      </c>
      <c r="J743" s="200" t="inlineStr">
        <is>
          <t>Aug</t>
        </is>
      </c>
      <c r="K743" s="199" t="n">
        <v>2025</v>
      </c>
      <c r="L743" s="199" t="n">
        <v>2025</v>
      </c>
    </row>
    <row r="744" ht="15" customHeight="1" s="104">
      <c r="A744" s="194" t="n">
        <v>45900</v>
      </c>
      <c r="B744" s="195" t="inlineStr">
        <is>
          <t>Amazon CA</t>
        </is>
      </c>
      <c r="C744" s="195" t="inlineStr">
        <is>
          <t>Amazon fees</t>
        </is>
      </c>
      <c r="D744" s="195" t="inlineStr">
        <is>
          <t>Long term storage fee</t>
        </is>
      </c>
      <c r="E744" s="196" t="n">
        <v>-58.7</v>
      </c>
      <c r="F744" s="204" t="n">
        <v>-0.004112885031</v>
      </c>
      <c r="H744" s="196" t="n">
        <v>-58.7</v>
      </c>
      <c r="J744" s="200" t="inlineStr">
        <is>
          <t>Aug</t>
        </is>
      </c>
      <c r="K744" s="199" t="n">
        <v>2025</v>
      </c>
      <c r="L744" s="199" t="n">
        <v>2025</v>
      </c>
    </row>
    <row r="745" ht="15" customHeight="1" s="104">
      <c r="A745" s="194" t="n">
        <v>45900</v>
      </c>
      <c r="B745" s="195" t="inlineStr">
        <is>
          <t>Amazon CA</t>
        </is>
      </c>
      <c r="C745" s="195" t="inlineStr">
        <is>
          <t>Cost of goods</t>
        </is>
      </c>
      <c r="D745" s="195" t="inlineStr">
        <is>
          <t>Cost of goods sold</t>
        </is>
      </c>
      <c r="E745" s="196" t="n">
        <v>-3736.26</v>
      </c>
      <c r="F745" s="204" t="n">
        <v>-0.2617854826</v>
      </c>
      <c r="H745" s="196" t="n">
        <v>-3736.26</v>
      </c>
      <c r="J745" s="200" t="inlineStr">
        <is>
          <t>Aug</t>
        </is>
      </c>
      <c r="K745" s="199" t="n">
        <v>2025</v>
      </c>
      <c r="L745" s="199" t="n">
        <v>2025</v>
      </c>
    </row>
    <row r="746" ht="15" customHeight="1" s="104">
      <c r="A746" s="194" t="n">
        <v>45900</v>
      </c>
      <c r="B746" s="195" t="inlineStr">
        <is>
          <t>Walmart</t>
        </is>
      </c>
      <c r="C746" s="195" t="inlineStr">
        <is>
          <t>Advertising cost</t>
        </is>
      </c>
      <c r="D746" s="195" t="inlineStr">
        <is>
          <t>Advertising Cost</t>
        </is>
      </c>
      <c r="E746" s="196" t="n">
        <v>-18.13</v>
      </c>
      <c r="F746" s="204" t="n">
        <v>-0.0176798705</v>
      </c>
      <c r="H746" s="196" t="n">
        <v>-18.13</v>
      </c>
      <c r="J746" s="200" t="inlineStr">
        <is>
          <t>Aug</t>
        </is>
      </c>
      <c r="K746" s="199" t="n">
        <v>2025</v>
      </c>
      <c r="L746" s="199" t="n">
        <v>2025</v>
      </c>
    </row>
    <row r="747" ht="15" customHeight="1" s="104">
      <c r="A747" s="194" t="n">
        <v>45900</v>
      </c>
      <c r="B747" s="195" t="inlineStr">
        <is>
          <t>Walmart</t>
        </is>
      </c>
      <c r="C747" s="195" t="inlineStr">
        <is>
          <t>Shipping Cost</t>
        </is>
      </c>
      <c r="D747" s="195" t="inlineStr">
        <is>
          <t>WFS Fulfillment fee</t>
        </is>
      </c>
      <c r="E747" s="196" t="n">
        <v>-147.1</v>
      </c>
      <c r="F747" s="204" t="n">
        <v>-0.1434478185</v>
      </c>
      <c r="H747" s="196" t="n">
        <v>-147.1</v>
      </c>
      <c r="J747" s="200" t="inlineStr">
        <is>
          <t>Aug</t>
        </is>
      </c>
      <c r="K747" s="199" t="n">
        <v>2025</v>
      </c>
      <c r="L747" s="199" t="n">
        <v>2025</v>
      </c>
    </row>
    <row r="748" ht="15" customHeight="1" s="104">
      <c r="A748" s="194" t="n">
        <v>45900</v>
      </c>
      <c r="B748" s="195" t="inlineStr">
        <is>
          <t>Walmart</t>
        </is>
      </c>
      <c r="C748" s="195" t="inlineStr">
        <is>
          <t>Shipping Cost</t>
        </is>
      </c>
      <c r="D748" s="195" t="inlineStr">
        <is>
          <t>WFS Shipping Reversal fee</t>
        </is>
      </c>
      <c r="E748" s="198" t="n">
        <v>0</v>
      </c>
      <c r="F748" s="201" t="n">
        <v>0</v>
      </c>
      <c r="H748" s="198" t="n">
        <v>0</v>
      </c>
      <c r="J748" s="200" t="inlineStr">
        <is>
          <t>Aug</t>
        </is>
      </c>
      <c r="K748" s="199" t="n">
        <v>2025</v>
      </c>
      <c r="L748" s="199" t="n">
        <v>2025</v>
      </c>
    </row>
    <row r="749" ht="15" customHeight="1" s="104">
      <c r="A749" s="194" t="n">
        <v>45900</v>
      </c>
      <c r="B749" s="195" t="inlineStr">
        <is>
          <t>Walmart</t>
        </is>
      </c>
      <c r="C749" s="195" t="inlineStr">
        <is>
          <t>Fees</t>
        </is>
      </c>
      <c r="D749" s="195" t="inlineStr">
        <is>
          <t>Commission on product</t>
        </is>
      </c>
      <c r="E749" s="196" t="n">
        <v>-151.8</v>
      </c>
      <c r="F749" s="204" t="n">
        <v>-0.1480311275</v>
      </c>
      <c r="H749" s="196" t="n">
        <v>-151.8</v>
      </c>
      <c r="J749" s="200" t="inlineStr">
        <is>
          <t>Aug</t>
        </is>
      </c>
      <c r="K749" s="199" t="n">
        <v>2025</v>
      </c>
      <c r="L749" s="199" t="n">
        <v>2025</v>
      </c>
    </row>
    <row r="750" ht="15" customHeight="1" s="104">
      <c r="A750" s="194" t="n">
        <v>45900</v>
      </c>
      <c r="B750" s="195" t="inlineStr">
        <is>
          <t>Walmart</t>
        </is>
      </c>
      <c r="C750" s="195" t="inlineStr">
        <is>
          <t>Fees</t>
        </is>
      </c>
      <c r="D750" s="195" t="inlineStr">
        <is>
          <t>Storage fee</t>
        </is>
      </c>
      <c r="E750" s="196" t="n">
        <v>-73.31999999999999</v>
      </c>
      <c r="F750" s="204" t="n">
        <v>-0.07149961968</v>
      </c>
      <c r="H750" s="196" t="n">
        <v>-73.31999999999999</v>
      </c>
      <c r="J750" s="200" t="inlineStr">
        <is>
          <t>Aug</t>
        </is>
      </c>
      <c r="K750" s="199" t="n">
        <v>2025</v>
      </c>
      <c r="L750" s="199" t="n">
        <v>2025</v>
      </c>
    </row>
    <row r="751" ht="15" customHeight="1" s="104">
      <c r="A751" s="194" t="n">
        <v>45900</v>
      </c>
      <c r="B751" s="195" t="inlineStr">
        <is>
          <t>Walmart</t>
        </is>
      </c>
      <c r="C751" s="195" t="inlineStr">
        <is>
          <t>Fees</t>
        </is>
      </c>
      <c r="D751" s="195" t="inlineStr">
        <is>
          <t>RC inventory disposal fee</t>
        </is>
      </c>
      <c r="E751" s="198" t="n">
        <v>0</v>
      </c>
      <c r="F751" s="201" t="n">
        <v>0</v>
      </c>
      <c r="H751" s="198" t="n">
        <v>0</v>
      </c>
      <c r="J751" s="200" t="inlineStr">
        <is>
          <t>Aug</t>
        </is>
      </c>
      <c r="K751" s="199" t="n">
        <v>2025</v>
      </c>
      <c r="L751" s="199" t="n">
        <v>2025</v>
      </c>
    </row>
    <row r="752" ht="15" customHeight="1" s="104">
      <c r="A752" s="194" t="n">
        <v>45900</v>
      </c>
      <c r="B752" s="195" t="inlineStr">
        <is>
          <t>Walmart</t>
        </is>
      </c>
      <c r="C752" s="195" t="inlineStr">
        <is>
          <t>Cost of goods</t>
        </is>
      </c>
      <c r="D752" s="195" t="inlineStr">
        <is>
          <t>Cost of goods sold</t>
        </is>
      </c>
      <c r="E752" s="196" t="n">
        <v>-337.4</v>
      </c>
      <c r="F752" s="204" t="n">
        <v>-0.3290230726</v>
      </c>
      <c r="H752" s="196" t="n">
        <v>-337.4</v>
      </c>
      <c r="J752" s="200" t="inlineStr">
        <is>
          <t>Aug</t>
        </is>
      </c>
      <c r="K752" s="199" t="n">
        <v>2025</v>
      </c>
      <c r="L752" s="199" t="n">
        <v>2025</v>
      </c>
    </row>
    <row r="753" ht="15" customHeight="1" s="104">
      <c r="A753" s="194" t="n">
        <v>45900</v>
      </c>
      <c r="B753" s="195" t="inlineStr">
        <is>
          <t>Walmart</t>
        </is>
      </c>
      <c r="C753" s="195" t="inlineStr">
        <is>
          <t>Cost of goods</t>
        </is>
      </c>
      <c r="D753" s="195" t="inlineStr">
        <is>
          <t>Value of returned items</t>
        </is>
      </c>
      <c r="E753" s="198" t="n">
        <v>0</v>
      </c>
      <c r="F753" s="201" t="n">
        <v>0</v>
      </c>
      <c r="H753" s="198" t="n">
        <v>0</v>
      </c>
      <c r="J753" s="200" t="inlineStr">
        <is>
          <t>Aug</t>
        </is>
      </c>
      <c r="K753" s="199" t="n">
        <v>2025</v>
      </c>
      <c r="L753" s="199" t="n">
        <v>2025</v>
      </c>
    </row>
    <row r="754" ht="15" customHeight="1" s="104">
      <c r="A754" s="194" t="n">
        <v>45900</v>
      </c>
      <c r="B754" s="195" t="inlineStr">
        <is>
          <t>Tiktok</t>
        </is>
      </c>
      <c r="C754" s="195" t="inlineStr">
        <is>
          <t>Tiktok Shipping</t>
        </is>
      </c>
      <c r="D754" s="195" t="inlineStr">
        <is>
          <t>TikTok Shop shipping fee</t>
        </is>
      </c>
      <c r="E754" s="198" t="n">
        <v>0</v>
      </c>
      <c r="F754" s="201" t="n">
        <v>0</v>
      </c>
      <c r="H754" s="198" t="n">
        <v>0</v>
      </c>
      <c r="J754" s="200" t="inlineStr">
        <is>
          <t>Aug</t>
        </is>
      </c>
      <c r="K754" s="199" t="n">
        <v>2025</v>
      </c>
      <c r="L754" s="199" t="n">
        <v>2025</v>
      </c>
    </row>
    <row r="755" ht="15" customHeight="1" s="104">
      <c r="A755" s="194" t="n">
        <v>45900</v>
      </c>
      <c r="B755" s="195" t="inlineStr">
        <is>
          <t>Tiktok</t>
        </is>
      </c>
      <c r="C755" s="195" t="inlineStr">
        <is>
          <t>Tiktok Shipping</t>
        </is>
      </c>
      <c r="D755" s="195" t="inlineStr">
        <is>
          <t>Fulfilled by TikTok Shop (FBT) shipping fee</t>
        </is>
      </c>
      <c r="E755" s="198" t="n">
        <v>0</v>
      </c>
      <c r="F755" s="201" t="n">
        <v>0</v>
      </c>
      <c r="H755" s="198" t="n">
        <v>0</v>
      </c>
      <c r="J755" s="200" t="inlineStr">
        <is>
          <t>Aug</t>
        </is>
      </c>
      <c r="K755" s="199" t="n">
        <v>2025</v>
      </c>
      <c r="L755" s="199" t="n">
        <v>2025</v>
      </c>
    </row>
    <row r="756" ht="15" customHeight="1" s="104">
      <c r="A756" s="194" t="n">
        <v>45900</v>
      </c>
      <c r="B756" s="195" t="inlineStr">
        <is>
          <t>Tiktok</t>
        </is>
      </c>
      <c r="C756" s="195" t="inlineStr">
        <is>
          <t>Tiktok Shipping</t>
        </is>
      </c>
      <c r="D756" s="195" t="inlineStr">
        <is>
          <t>Signature confirmation service fee</t>
        </is>
      </c>
      <c r="E756" s="198" t="n">
        <v>0</v>
      </c>
      <c r="F756" s="201" t="n">
        <v>0</v>
      </c>
      <c r="H756" s="198" t="n">
        <v>0</v>
      </c>
      <c r="J756" s="200" t="inlineStr">
        <is>
          <t>Aug</t>
        </is>
      </c>
      <c r="K756" s="199" t="n">
        <v>2025</v>
      </c>
      <c r="L756" s="199" t="n">
        <v>2025</v>
      </c>
    </row>
    <row r="757" ht="15" customHeight="1" s="104">
      <c r="A757" s="194" t="n">
        <v>45900</v>
      </c>
      <c r="B757" s="195" t="inlineStr">
        <is>
          <t>Tiktok</t>
        </is>
      </c>
      <c r="C757" s="195" t="inlineStr">
        <is>
          <t>Tiktok Shipping</t>
        </is>
      </c>
      <c r="D757" s="195" t="inlineStr">
        <is>
          <t>Shipping insurance fee</t>
        </is>
      </c>
      <c r="E757" s="198" t="n">
        <v>0</v>
      </c>
      <c r="F757" s="201" t="n">
        <v>0</v>
      </c>
      <c r="H757" s="198" t="n">
        <v>0</v>
      </c>
      <c r="J757" s="200" t="inlineStr">
        <is>
          <t>Aug</t>
        </is>
      </c>
      <c r="K757" s="199" t="n">
        <v>2025</v>
      </c>
      <c r="L757" s="199" t="n">
        <v>2025</v>
      </c>
    </row>
    <row r="758" ht="15" customHeight="1" s="104">
      <c r="A758" s="194" t="n">
        <v>45900</v>
      </c>
      <c r="B758" s="195" t="inlineStr">
        <is>
          <t>Tiktok</t>
        </is>
      </c>
      <c r="C758" s="195" t="inlineStr">
        <is>
          <t>Tiktok Shipping</t>
        </is>
      </c>
      <c r="D758" s="195" t="inlineStr">
        <is>
          <t>Customer-paid shipping fee</t>
        </is>
      </c>
      <c r="E758" s="198" t="n">
        <v>0</v>
      </c>
      <c r="F758" s="201" t="n">
        <v>0</v>
      </c>
      <c r="H758" s="198" t="n">
        <v>0</v>
      </c>
      <c r="J758" s="200" t="inlineStr">
        <is>
          <t>Aug</t>
        </is>
      </c>
      <c r="K758" s="199" t="n">
        <v>2025</v>
      </c>
      <c r="L758" s="199" t="n">
        <v>2025</v>
      </c>
    </row>
    <row r="759" ht="15" customHeight="1" s="104">
      <c r="A759" s="194" t="n">
        <v>45900</v>
      </c>
      <c r="B759" s="195" t="inlineStr">
        <is>
          <t>Tiktok</t>
        </is>
      </c>
      <c r="C759" s="195" t="inlineStr">
        <is>
          <t>Tiktok Shipping</t>
        </is>
      </c>
      <c r="D759" s="195" t="inlineStr">
        <is>
          <t>Customer-paid shipping fee refund</t>
        </is>
      </c>
      <c r="E759" s="197" t="n">
        <v>0.4</v>
      </c>
      <c r="F759" s="204" t="n">
        <v>0.0001006760396</v>
      </c>
      <c r="H759" s="197" t="n">
        <v>0.4</v>
      </c>
      <c r="J759" s="200" t="inlineStr">
        <is>
          <t>Aug</t>
        </is>
      </c>
      <c r="K759" s="199" t="n">
        <v>2025</v>
      </c>
      <c r="L759" s="199" t="n">
        <v>2025</v>
      </c>
    </row>
    <row r="760" ht="15" customHeight="1" s="104">
      <c r="A760" s="194" t="n">
        <v>45900</v>
      </c>
      <c r="B760" s="195" t="inlineStr">
        <is>
          <t>Tiktok</t>
        </is>
      </c>
      <c r="C760" s="195" t="inlineStr">
        <is>
          <t>Tiktok Shipping</t>
        </is>
      </c>
      <c r="D760" s="195" t="inlineStr">
        <is>
          <t>TikTok Shop shipping incentive</t>
        </is>
      </c>
      <c r="E760" s="198" t="n">
        <v>0</v>
      </c>
      <c r="F760" s="201" t="n">
        <v>0</v>
      </c>
      <c r="H760" s="198" t="n">
        <v>0</v>
      </c>
      <c r="J760" s="200" t="inlineStr">
        <is>
          <t>Aug</t>
        </is>
      </c>
      <c r="K760" s="199" t="n">
        <v>2025</v>
      </c>
      <c r="L760" s="199" t="n">
        <v>2025</v>
      </c>
    </row>
    <row r="761" ht="15" customHeight="1" s="104">
      <c r="A761" s="194" t="n">
        <v>45900</v>
      </c>
      <c r="B761" s="195" t="inlineStr">
        <is>
          <t>Tiktok</t>
        </is>
      </c>
      <c r="C761" s="195" t="inlineStr">
        <is>
          <t>Tiktok Shipping</t>
        </is>
      </c>
      <c r="D761" s="195" t="inlineStr">
        <is>
          <t>TikTok Shop shipping incentive refund</t>
        </is>
      </c>
      <c r="E761" s="198" t="n">
        <v>0</v>
      </c>
      <c r="F761" s="201" t="n">
        <v>0</v>
      </c>
      <c r="H761" s="198" t="n">
        <v>0</v>
      </c>
      <c r="J761" s="200" t="inlineStr">
        <is>
          <t>Aug</t>
        </is>
      </c>
      <c r="K761" s="199" t="n">
        <v>2025</v>
      </c>
      <c r="L761" s="199" t="n">
        <v>2025</v>
      </c>
    </row>
    <row r="762" ht="15" customHeight="1" s="104">
      <c r="A762" s="194" t="n">
        <v>45900</v>
      </c>
      <c r="B762" s="195" t="inlineStr">
        <is>
          <t>Tiktok</t>
        </is>
      </c>
      <c r="C762" s="195" t="inlineStr">
        <is>
          <t>Tiktok Shipping</t>
        </is>
      </c>
      <c r="D762" s="195" t="inlineStr">
        <is>
          <t>Shipping fee subsidy</t>
        </is>
      </c>
      <c r="E762" s="198" t="n">
        <v>0</v>
      </c>
      <c r="F762" s="201" t="n">
        <v>0</v>
      </c>
      <c r="H762" s="198" t="n">
        <v>0</v>
      </c>
      <c r="J762" s="200" t="inlineStr">
        <is>
          <t>Aug</t>
        </is>
      </c>
      <c r="K762" s="199" t="n">
        <v>2025</v>
      </c>
      <c r="L762" s="199" t="n">
        <v>2025</v>
      </c>
    </row>
    <row r="763" ht="15" customHeight="1" s="104">
      <c r="A763" s="194" t="n">
        <v>45900</v>
      </c>
      <c r="B763" s="195" t="inlineStr">
        <is>
          <t>Tiktok</t>
        </is>
      </c>
      <c r="C763" s="195" t="inlineStr">
        <is>
          <t>Tiktok Shipping</t>
        </is>
      </c>
      <c r="D763" s="195" t="inlineStr">
        <is>
          <t>Return shipping fee</t>
        </is>
      </c>
      <c r="E763" s="196" t="n">
        <v>-12.11</v>
      </c>
      <c r="F763" s="204" t="n">
        <v>-0.003047967099</v>
      </c>
      <c r="H763" s="196" t="n">
        <v>-12.11</v>
      </c>
      <c r="J763" s="200" t="inlineStr">
        <is>
          <t>Aug</t>
        </is>
      </c>
      <c r="K763" s="199" t="n">
        <v>2025</v>
      </c>
      <c r="L763" s="199" t="n">
        <v>2025</v>
      </c>
    </row>
    <row r="764" ht="15" customHeight="1" s="104">
      <c r="A764" s="194" t="n">
        <v>45900</v>
      </c>
      <c r="B764" s="195" t="inlineStr">
        <is>
          <t>Tiktok</t>
        </is>
      </c>
      <c r="C764" s="195" t="inlineStr">
        <is>
          <t>Tiktok Shipping</t>
        </is>
      </c>
      <c r="D764" s="195" t="inlineStr">
        <is>
          <t>FBT fulfillment fee</t>
        </is>
      </c>
      <c r="E764" s="198" t="n">
        <v>0</v>
      </c>
      <c r="F764" s="201" t="n">
        <v>0</v>
      </c>
      <c r="H764" s="198" t="n">
        <v>0</v>
      </c>
      <c r="J764" s="200" t="inlineStr">
        <is>
          <t>Aug</t>
        </is>
      </c>
      <c r="K764" s="199" t="n">
        <v>2025</v>
      </c>
      <c r="L764" s="199" t="n">
        <v>2025</v>
      </c>
    </row>
    <row r="765" ht="15" customHeight="1" s="104">
      <c r="A765" s="194" t="n">
        <v>45900</v>
      </c>
      <c r="B765" s="195" t="inlineStr">
        <is>
          <t>Tiktok</t>
        </is>
      </c>
      <c r="C765" s="195" t="inlineStr">
        <is>
          <t>Tiktok Shipping</t>
        </is>
      </c>
      <c r="D765" s="195" t="inlineStr">
        <is>
          <t>Customer shipping fee offset</t>
        </is>
      </c>
      <c r="E765" s="198" t="n">
        <v>0</v>
      </c>
      <c r="F765" s="201" t="n">
        <v>0</v>
      </c>
      <c r="H765" s="198" t="n">
        <v>0</v>
      </c>
      <c r="J765" s="200" t="inlineStr">
        <is>
          <t>Aug</t>
        </is>
      </c>
      <c r="K765" s="199" t="n">
        <v>2025</v>
      </c>
      <c r="L765" s="199" t="n">
        <v>2025</v>
      </c>
    </row>
    <row r="766" ht="15" customHeight="1" s="104">
      <c r="A766" s="194" t="n">
        <v>45900</v>
      </c>
      <c r="B766" s="195" t="inlineStr">
        <is>
          <t>Tiktok</t>
        </is>
      </c>
      <c r="C766" s="195" t="inlineStr">
        <is>
          <t>Tiktok Shipping</t>
        </is>
      </c>
      <c r="D766" s="195" t="inlineStr">
        <is>
          <t>Co-funded free shipping reimbursement</t>
        </is>
      </c>
      <c r="E766" s="198" t="n">
        <v>0</v>
      </c>
      <c r="F766" s="201" t="n">
        <v>0</v>
      </c>
      <c r="H766" s="198" t="n">
        <v>0</v>
      </c>
      <c r="J766" s="200" t="inlineStr">
        <is>
          <t>Aug</t>
        </is>
      </c>
      <c r="K766" s="199" t="n">
        <v>2025</v>
      </c>
      <c r="L766" s="199" t="n">
        <v>2025</v>
      </c>
    </row>
    <row r="767" ht="15" customHeight="1" s="104">
      <c r="A767" s="194" t="n">
        <v>45900</v>
      </c>
      <c r="B767" s="195" t="inlineStr">
        <is>
          <t>Tiktok</t>
        </is>
      </c>
      <c r="C767" s="195" t="inlineStr">
        <is>
          <t>MCF Shipping fees</t>
        </is>
      </c>
      <c r="D767" s="195" t="inlineStr">
        <is>
          <t>MCF Shipping fees</t>
        </is>
      </c>
      <c r="E767" s="196" t="n">
        <v>-970.7</v>
      </c>
      <c r="F767" s="204" t="n">
        <v>-0.2443155791</v>
      </c>
      <c r="H767" s="196" t="n">
        <v>-970.7</v>
      </c>
      <c r="J767" s="200" t="inlineStr">
        <is>
          <t>Aug</t>
        </is>
      </c>
      <c r="K767" s="199" t="n">
        <v>2025</v>
      </c>
      <c r="L767" s="199" t="n">
        <v>2025</v>
      </c>
    </row>
    <row r="768" ht="15" customHeight="1" s="104">
      <c r="A768" s="194" t="n">
        <v>45900</v>
      </c>
      <c r="B768" s="195" t="inlineStr">
        <is>
          <t>Tiktok</t>
        </is>
      </c>
      <c r="C768" s="195" t="inlineStr">
        <is>
          <t>Fees</t>
        </is>
      </c>
      <c r="D768" s="195" t="inlineStr">
        <is>
          <t>Transaction fee</t>
        </is>
      </c>
      <c r="E768" s="198" t="n">
        <v>0</v>
      </c>
      <c r="F768" s="201" t="n">
        <v>0</v>
      </c>
      <c r="H768" s="198" t="n">
        <v>0</v>
      </c>
      <c r="J768" s="200" t="inlineStr">
        <is>
          <t>Aug</t>
        </is>
      </c>
      <c r="K768" s="199" t="n">
        <v>2025</v>
      </c>
      <c r="L768" s="199" t="n">
        <v>2025</v>
      </c>
    </row>
    <row r="769" ht="15" customHeight="1" s="104">
      <c r="A769" s="194" t="n">
        <v>45900</v>
      </c>
      <c r="B769" s="195" t="inlineStr">
        <is>
          <t>Tiktok</t>
        </is>
      </c>
      <c r="C769" s="195" t="inlineStr">
        <is>
          <t>Fees</t>
        </is>
      </c>
      <c r="D769" s="195" t="inlineStr">
        <is>
          <t>Referral fee</t>
        </is>
      </c>
      <c r="E769" s="196" t="n">
        <v>-238.44</v>
      </c>
      <c r="F769" s="204" t="n">
        <v>-0.06001298721</v>
      </c>
      <c r="H769" s="196" t="n">
        <v>-238.44</v>
      </c>
      <c r="J769" s="200" t="inlineStr">
        <is>
          <t>Aug</t>
        </is>
      </c>
      <c r="K769" s="199" t="n">
        <v>2025</v>
      </c>
      <c r="L769" s="199" t="n">
        <v>2025</v>
      </c>
    </row>
    <row r="770" ht="15" customHeight="1" s="104">
      <c r="A770" s="194" t="n">
        <v>45900</v>
      </c>
      <c r="B770" s="195" t="inlineStr">
        <is>
          <t>Tiktok</t>
        </is>
      </c>
      <c r="C770" s="195" t="inlineStr">
        <is>
          <t>Fees</t>
        </is>
      </c>
      <c r="D770" s="195" t="inlineStr">
        <is>
          <t>Refund administration fee</t>
        </is>
      </c>
      <c r="E770" s="196" t="n">
        <v>-4.1</v>
      </c>
      <c r="F770" s="204" t="n">
        <v>-0.001031929406</v>
      </c>
      <c r="H770" s="196" t="n">
        <v>-4.1</v>
      </c>
      <c r="J770" s="200" t="inlineStr">
        <is>
          <t>Aug</t>
        </is>
      </c>
      <c r="K770" s="199" t="n">
        <v>2025</v>
      </c>
      <c r="L770" s="199" t="n">
        <v>2025</v>
      </c>
    </row>
    <row r="771" ht="15" customHeight="1" s="104">
      <c r="A771" s="194" t="n">
        <v>45900</v>
      </c>
      <c r="B771" s="195" t="inlineStr">
        <is>
          <t>Tiktok</t>
        </is>
      </c>
      <c r="C771" s="195" t="inlineStr">
        <is>
          <t>Fees</t>
        </is>
      </c>
      <c r="D771" s="195" t="inlineStr">
        <is>
          <t>Affiliate commission</t>
        </is>
      </c>
      <c r="E771" s="196" t="n">
        <v>-271.1</v>
      </c>
      <c r="F771" s="204" t="n">
        <v>-0.06823318584</v>
      </c>
      <c r="H771" s="196" t="n">
        <v>-271.1</v>
      </c>
      <c r="J771" s="200" t="inlineStr">
        <is>
          <t>Aug</t>
        </is>
      </c>
      <c r="K771" s="199" t="n">
        <v>2025</v>
      </c>
      <c r="L771" s="199" t="n">
        <v>2025</v>
      </c>
    </row>
    <row r="772" ht="15" customHeight="1" s="104">
      <c r="A772" s="194" t="n">
        <v>45900</v>
      </c>
      <c r="B772" s="195" t="inlineStr">
        <is>
          <t>Tiktok</t>
        </is>
      </c>
      <c r="C772" s="195" t="inlineStr">
        <is>
          <t>Fees</t>
        </is>
      </c>
      <c r="D772" s="195" t="inlineStr">
        <is>
          <t>Affiliate partner commission</t>
        </is>
      </c>
      <c r="E772" s="198" t="n">
        <v>0</v>
      </c>
      <c r="F772" s="201" t="n">
        <v>0</v>
      </c>
      <c r="H772" s="198" t="n">
        <v>0</v>
      </c>
      <c r="J772" s="200" t="inlineStr">
        <is>
          <t>Aug</t>
        </is>
      </c>
      <c r="K772" s="199" t="n">
        <v>2025</v>
      </c>
      <c r="L772" s="199" t="n">
        <v>2025</v>
      </c>
    </row>
    <row r="773" ht="15" customHeight="1" s="104">
      <c r="A773" s="194" t="n">
        <v>45900</v>
      </c>
      <c r="B773" s="195" t="inlineStr">
        <is>
          <t>Tiktok</t>
        </is>
      </c>
      <c r="C773" s="195" t="inlineStr">
        <is>
          <t>Fees</t>
        </is>
      </c>
      <c r="D773" s="195" t="inlineStr">
        <is>
          <t>Affiliate Shop Ads commission</t>
        </is>
      </c>
      <c r="E773" s="196" t="n">
        <v>-18.5</v>
      </c>
      <c r="F773" s="204" t="n">
        <v>-0.004656266832</v>
      </c>
      <c r="H773" s="196" t="n">
        <v>-18.5</v>
      </c>
      <c r="J773" s="200" t="inlineStr">
        <is>
          <t>Aug</t>
        </is>
      </c>
      <c r="K773" s="199" t="n">
        <v>2025</v>
      </c>
      <c r="L773" s="199" t="n">
        <v>2025</v>
      </c>
    </row>
    <row r="774" ht="15" customHeight="1" s="104">
      <c r="A774" s="194" t="n">
        <v>45900</v>
      </c>
      <c r="B774" s="195" t="inlineStr">
        <is>
          <t>Tiktok</t>
        </is>
      </c>
      <c r="C774" s="195" t="inlineStr">
        <is>
          <t>Fees</t>
        </is>
      </c>
      <c r="D774" s="195" t="inlineStr">
        <is>
          <t>Co-funded promotion service fee</t>
        </is>
      </c>
      <c r="E774" s="198" t="n">
        <v>0</v>
      </c>
      <c r="F774" s="201" t="n">
        <v>0</v>
      </c>
      <c r="H774" s="198" t="n">
        <v>0</v>
      </c>
      <c r="J774" s="200" t="inlineStr">
        <is>
          <t>Aug</t>
        </is>
      </c>
      <c r="K774" s="199" t="n">
        <v>2025</v>
      </c>
      <c r="L774" s="199" t="n">
        <v>2025</v>
      </c>
    </row>
    <row r="775" ht="15" customHeight="1" s="104">
      <c r="A775" s="194" t="n">
        <v>45900</v>
      </c>
      <c r="B775" s="195" t="inlineStr">
        <is>
          <t>Tiktok</t>
        </is>
      </c>
      <c r="C775" s="195" t="inlineStr">
        <is>
          <t xml:space="preserve">Adjustments
</t>
        </is>
      </c>
      <c r="D775" s="195" t="inlineStr">
        <is>
          <t>Logistics adjustment</t>
        </is>
      </c>
      <c r="E775" s="198" t="n">
        <v>0</v>
      </c>
      <c r="F775" s="201" t="n">
        <v>0</v>
      </c>
      <c r="H775" s="198" t="n">
        <v>0</v>
      </c>
      <c r="J775" s="200" t="inlineStr">
        <is>
          <t>Aug</t>
        </is>
      </c>
      <c r="K775" s="199" t="n">
        <v>2025</v>
      </c>
      <c r="L775" s="199" t="n">
        <v>2025</v>
      </c>
    </row>
    <row r="776" ht="15" customHeight="1" s="104">
      <c r="A776" s="194" t="n">
        <v>45900</v>
      </c>
      <c r="B776" s="195" t="inlineStr">
        <is>
          <t>Tiktok</t>
        </is>
      </c>
      <c r="C776" s="195" t="inlineStr">
        <is>
          <t xml:space="preserve">Adjustments
</t>
        </is>
      </c>
      <c r="D776" s="195" t="inlineStr">
        <is>
          <t>Logistics reimbursement</t>
        </is>
      </c>
      <c r="E776" s="198" t="n">
        <v>0</v>
      </c>
      <c r="F776" s="201" t="n">
        <v>0</v>
      </c>
      <c r="H776" s="198" t="n">
        <v>0</v>
      </c>
      <c r="J776" s="200" t="inlineStr">
        <is>
          <t>Aug</t>
        </is>
      </c>
      <c r="K776" s="199" t="n">
        <v>2025</v>
      </c>
      <c r="L776" s="199" t="n">
        <v>2025</v>
      </c>
    </row>
    <row r="777" ht="15" customHeight="1" s="104">
      <c r="A777" s="194" t="n">
        <v>45900</v>
      </c>
      <c r="B777" s="195" t="inlineStr">
        <is>
          <t>Tiktok</t>
        </is>
      </c>
      <c r="C777" s="195" t="inlineStr">
        <is>
          <t xml:space="preserve">Adjustments
</t>
        </is>
      </c>
      <c r="D777" s="195" t="inlineStr">
        <is>
          <t>Logistics deduction</t>
        </is>
      </c>
      <c r="E777" s="198" t="n">
        <v>0</v>
      </c>
      <c r="F777" s="201" t="n">
        <v>0</v>
      </c>
      <c r="H777" s="198" t="n">
        <v>0</v>
      </c>
      <c r="J777" s="200" t="inlineStr">
        <is>
          <t>Aug</t>
        </is>
      </c>
      <c r="K777" s="199" t="n">
        <v>2025</v>
      </c>
      <c r="L777" s="199" t="n">
        <v>2025</v>
      </c>
    </row>
    <row r="778" ht="15" customHeight="1" s="104">
      <c r="A778" s="194" t="n">
        <v>45900</v>
      </c>
      <c r="B778" s="195" t="inlineStr">
        <is>
          <t>Tiktok</t>
        </is>
      </c>
      <c r="C778" s="195" t="inlineStr">
        <is>
          <t xml:space="preserve">Adjustments
</t>
        </is>
      </c>
      <c r="D778" s="195" t="inlineStr">
        <is>
          <t>TikTok Shop reimbursement</t>
        </is>
      </c>
      <c r="E778" s="198" t="n">
        <v>0</v>
      </c>
      <c r="F778" s="201" t="n">
        <v>0</v>
      </c>
      <c r="H778" s="198" t="n">
        <v>0</v>
      </c>
      <c r="J778" s="200" t="inlineStr">
        <is>
          <t>Aug</t>
        </is>
      </c>
      <c r="K778" s="199" t="n">
        <v>2025</v>
      </c>
      <c r="L778" s="199" t="n">
        <v>2025</v>
      </c>
    </row>
    <row r="779" ht="15" customHeight="1" s="104">
      <c r="A779" s="194" t="n">
        <v>45900</v>
      </c>
      <c r="B779" s="195" t="inlineStr">
        <is>
          <t>Tiktok</t>
        </is>
      </c>
      <c r="C779" s="195" t="inlineStr">
        <is>
          <t xml:space="preserve">Adjustments
</t>
        </is>
      </c>
      <c r="D779" s="195" t="inlineStr">
        <is>
          <t>Policy violation deduction</t>
        </is>
      </c>
      <c r="E779" s="198" t="n">
        <v>0</v>
      </c>
      <c r="F779" s="201" t="n">
        <v>0</v>
      </c>
      <c r="H779" s="198" t="n">
        <v>0</v>
      </c>
      <c r="J779" s="200" t="inlineStr">
        <is>
          <t>Aug</t>
        </is>
      </c>
      <c r="K779" s="199" t="n">
        <v>2025</v>
      </c>
      <c r="L779" s="199" t="n">
        <v>2025</v>
      </c>
    </row>
    <row r="780" ht="15" customHeight="1" s="104">
      <c r="A780" s="194" t="n">
        <v>45900</v>
      </c>
      <c r="B780" s="195" t="inlineStr">
        <is>
          <t>Tiktok</t>
        </is>
      </c>
      <c r="C780" s="195" t="inlineStr">
        <is>
          <t xml:space="preserve">Adjustments
</t>
        </is>
      </c>
      <c r="D780" s="195" t="inlineStr">
        <is>
          <t>TikTok fees adjustment</t>
        </is>
      </c>
      <c r="E780" s="198" t="n">
        <v>0</v>
      </c>
      <c r="F780" s="201" t="n">
        <v>0</v>
      </c>
      <c r="H780" s="198" t="n">
        <v>0</v>
      </c>
      <c r="J780" s="200" t="inlineStr">
        <is>
          <t>Aug</t>
        </is>
      </c>
      <c r="K780" s="199" t="n">
        <v>2025</v>
      </c>
      <c r="L780" s="199" t="n">
        <v>2025</v>
      </c>
    </row>
    <row r="781" ht="15" customHeight="1" s="104">
      <c r="A781" s="194" t="n">
        <v>45900</v>
      </c>
      <c r="B781" s="195" t="inlineStr">
        <is>
          <t>Tiktok</t>
        </is>
      </c>
      <c r="C781" s="195" t="inlineStr">
        <is>
          <t xml:space="preserve">Adjustments
</t>
        </is>
      </c>
      <c r="D781" s="195" t="inlineStr">
        <is>
          <t>Promotion adjustment</t>
        </is>
      </c>
      <c r="E781" s="198" t="n">
        <v>0</v>
      </c>
      <c r="F781" s="201" t="n">
        <v>0</v>
      </c>
      <c r="H781" s="198" t="n">
        <v>0</v>
      </c>
      <c r="J781" s="200" t="inlineStr">
        <is>
          <t>Aug</t>
        </is>
      </c>
      <c r="K781" s="199" t="n">
        <v>2025</v>
      </c>
      <c r="L781" s="199" t="n">
        <v>2025</v>
      </c>
    </row>
    <row r="782" ht="15" customHeight="1" s="104">
      <c r="A782" s="194" t="n">
        <v>45900</v>
      </c>
      <c r="B782" s="195" t="inlineStr">
        <is>
          <t>Tiktok</t>
        </is>
      </c>
      <c r="C782" s="195" t="inlineStr">
        <is>
          <t xml:space="preserve">Adjustments
</t>
        </is>
      </c>
      <c r="D782" s="195" t="inlineStr">
        <is>
          <t>Adjustment from settlement account</t>
        </is>
      </c>
      <c r="E782" s="198" t="n">
        <v>0</v>
      </c>
      <c r="F782" s="201" t="n">
        <v>0</v>
      </c>
      <c r="H782" s="198" t="n">
        <v>0</v>
      </c>
      <c r="J782" s="200" t="inlineStr">
        <is>
          <t>Aug</t>
        </is>
      </c>
      <c r="K782" s="199" t="n">
        <v>2025</v>
      </c>
      <c r="L782" s="199" t="n">
        <v>2025</v>
      </c>
    </row>
    <row r="783" ht="15" customHeight="1" s="104">
      <c r="A783" s="194" t="n">
        <v>45900</v>
      </c>
      <c r="B783" s="195" t="inlineStr">
        <is>
          <t>Tiktok</t>
        </is>
      </c>
      <c r="C783" s="195" t="inlineStr">
        <is>
          <t xml:space="preserve">Adjustments
</t>
        </is>
      </c>
      <c r="D783" s="195" t="inlineStr">
        <is>
          <t>Chargeback</t>
        </is>
      </c>
      <c r="E783" s="198" t="n">
        <v>0</v>
      </c>
      <c r="F783" s="201" t="n">
        <v>0</v>
      </c>
      <c r="H783" s="198" t="n">
        <v>0</v>
      </c>
      <c r="J783" s="200" t="inlineStr">
        <is>
          <t>Aug</t>
        </is>
      </c>
      <c r="K783" s="199" t="n">
        <v>2025</v>
      </c>
      <c r="L783" s="199" t="n">
        <v>2025</v>
      </c>
    </row>
    <row r="784" ht="15" customHeight="1" s="104">
      <c r="A784" s="194" t="n">
        <v>45900</v>
      </c>
      <c r="B784" s="195" t="inlineStr">
        <is>
          <t>Tiktok</t>
        </is>
      </c>
      <c r="C784" s="195" t="inlineStr">
        <is>
          <t xml:space="preserve">Adjustments
</t>
        </is>
      </c>
      <c r="D784" s="195" t="inlineStr">
        <is>
          <t>Other adjustment</t>
        </is>
      </c>
      <c r="E784" s="198" t="n">
        <v>0</v>
      </c>
      <c r="F784" s="201" t="n">
        <v>0</v>
      </c>
      <c r="H784" s="198" t="n">
        <v>0</v>
      </c>
      <c r="J784" s="200" t="inlineStr">
        <is>
          <t>Aug</t>
        </is>
      </c>
      <c r="K784" s="199" t="n">
        <v>2025</v>
      </c>
      <c r="L784" s="199" t="n">
        <v>2025</v>
      </c>
    </row>
    <row r="785" ht="15" customHeight="1" s="104">
      <c r="A785" s="194" t="n">
        <v>45900</v>
      </c>
      <c r="B785" s="195" t="inlineStr">
        <is>
          <t>Tiktok</t>
        </is>
      </c>
      <c r="C785" s="195" t="inlineStr">
        <is>
          <t xml:space="preserve">Adjustments
</t>
        </is>
      </c>
      <c r="D785" s="195" t="inlineStr">
        <is>
          <t>Top up ads balance using GMV payments</t>
        </is>
      </c>
      <c r="E785" s="198" t="n">
        <v>0</v>
      </c>
      <c r="F785" s="201" t="n">
        <v>0</v>
      </c>
      <c r="H785" s="198" t="n">
        <v>0</v>
      </c>
      <c r="J785" s="200" t="inlineStr">
        <is>
          <t>Aug</t>
        </is>
      </c>
      <c r="K785" s="199" t="n">
        <v>2025</v>
      </c>
      <c r="L785" s="199" t="n">
        <v>2025</v>
      </c>
    </row>
    <row r="786" ht="15" customHeight="1" s="104">
      <c r="A786" s="194" t="n">
        <v>45900</v>
      </c>
      <c r="B786" s="195" t="inlineStr">
        <is>
          <t>Tiktok</t>
        </is>
      </c>
      <c r="C786" s="195" t="inlineStr">
        <is>
          <t xml:space="preserve">Adjustments
</t>
        </is>
      </c>
      <c r="D786" s="195" t="inlineStr">
        <is>
          <t>FBT warehouse service fee</t>
        </is>
      </c>
      <c r="E786" s="196" t="n">
        <v>-2.79</v>
      </c>
      <c r="F786" s="204" t="n">
        <v>-0.0007022153763</v>
      </c>
      <c r="H786" s="196" t="n">
        <v>-2.79</v>
      </c>
      <c r="J786" s="200" t="inlineStr">
        <is>
          <t>Aug</t>
        </is>
      </c>
      <c r="K786" s="199" t="n">
        <v>2025</v>
      </c>
      <c r="L786" s="199" t="n">
        <v>2025</v>
      </c>
    </row>
    <row r="787" ht="15" customHeight="1" s="104">
      <c r="A787" s="194" t="n">
        <v>45900</v>
      </c>
      <c r="B787" s="195" t="inlineStr">
        <is>
          <t>Tiktok</t>
        </is>
      </c>
      <c r="C787" s="195" t="inlineStr">
        <is>
          <t xml:space="preserve">Adjustments
</t>
        </is>
      </c>
      <c r="D787" s="195" t="inlineStr">
        <is>
          <t>Co-funded creator activity</t>
        </is>
      </c>
      <c r="E787" s="198" t="n">
        <v>0</v>
      </c>
      <c r="F787" s="201" t="n">
        <v>0</v>
      </c>
      <c r="H787" s="198" t="n">
        <v>0</v>
      </c>
      <c r="J787" s="200" t="inlineStr">
        <is>
          <t>Aug</t>
        </is>
      </c>
      <c r="K787" s="199" t="n">
        <v>2025</v>
      </c>
      <c r="L787" s="199" t="n">
        <v>2025</v>
      </c>
    </row>
    <row r="788" ht="15" customHeight="1" s="104">
      <c r="A788" s="194" t="n">
        <v>45900</v>
      </c>
      <c r="B788" s="195" t="inlineStr">
        <is>
          <t>Tiktok</t>
        </is>
      </c>
      <c r="C788" s="195" t="inlineStr">
        <is>
          <t xml:space="preserve">Adjustments
</t>
        </is>
      </c>
      <c r="D788" s="195" t="inlineStr">
        <is>
          <t>Rebate</t>
        </is>
      </c>
      <c r="E788" s="198" t="n">
        <v>0</v>
      </c>
      <c r="F788" s="201" t="n">
        <v>0</v>
      </c>
      <c r="H788" s="198" t="n">
        <v>0</v>
      </c>
      <c r="J788" s="200" t="inlineStr">
        <is>
          <t>Aug</t>
        </is>
      </c>
      <c r="K788" s="199" t="n">
        <v>2025</v>
      </c>
      <c r="L788" s="199" t="n">
        <v>2025</v>
      </c>
    </row>
    <row r="789" ht="15" customHeight="1" s="104">
      <c r="A789" s="194" t="n">
        <v>45900</v>
      </c>
      <c r="B789" s="195" t="inlineStr">
        <is>
          <t>Tiktok</t>
        </is>
      </c>
      <c r="C789" s="195" t="inlineStr">
        <is>
          <t>Cost of goods</t>
        </is>
      </c>
      <c r="D789" s="195" t="inlineStr">
        <is>
          <t>Cost of goods sold</t>
        </is>
      </c>
      <c r="E789" s="196" t="n">
        <v>-1208.87</v>
      </c>
      <c r="F789" s="204" t="n">
        <v>-0.30426061</v>
      </c>
      <c r="H789" s="196" t="n">
        <v>-1208.87</v>
      </c>
      <c r="J789" s="200" t="inlineStr">
        <is>
          <t>Aug</t>
        </is>
      </c>
      <c r="K789" s="199" t="n">
        <v>2025</v>
      </c>
      <c r="L789" s="199" t="n">
        <v>2025</v>
      </c>
    </row>
    <row r="790" ht="15" customHeight="1" s="104">
      <c r="A790" s="194" t="n">
        <v>45900</v>
      </c>
      <c r="B790" s="195" t="inlineStr">
        <is>
          <t>Tiktok</t>
        </is>
      </c>
      <c r="C790" s="195" t="inlineStr">
        <is>
          <t>Advertising cost</t>
        </is>
      </c>
      <c r="D790" s="195" t="inlineStr">
        <is>
          <t>Advertising Cost</t>
        </is>
      </c>
      <c r="E790" s="196" t="n">
        <v>-290.9</v>
      </c>
      <c r="F790" s="204" t="n">
        <v>-0.07321664980000001</v>
      </c>
      <c r="H790" s="196" t="n">
        <v>-290.9</v>
      </c>
      <c r="J790" s="200" t="inlineStr">
        <is>
          <t>Aug</t>
        </is>
      </c>
      <c r="K790" s="199" t="n">
        <v>2025</v>
      </c>
      <c r="L790" s="199" t="n">
        <v>2025</v>
      </c>
    </row>
    <row r="791" ht="15" customHeight="1" s="104">
      <c r="A791" s="194" t="n">
        <v>45900</v>
      </c>
      <c r="B791" s="195" t="inlineStr">
        <is>
          <t>Shopify</t>
        </is>
      </c>
      <c r="C791" s="195" t="inlineStr">
        <is>
          <t>Payment fees</t>
        </is>
      </c>
      <c r="D791" s="195" t="inlineStr">
        <is>
          <t>Shopify Payments fee</t>
        </is>
      </c>
      <c r="E791" s="196" t="n">
        <v>-320.62</v>
      </c>
      <c r="F791" s="204" t="n">
        <v>-0.03311016861</v>
      </c>
      <c r="H791" s="196" t="n">
        <v>-320.62</v>
      </c>
      <c r="J791" s="200" t="inlineStr">
        <is>
          <t>Aug</t>
        </is>
      </c>
      <c r="K791" s="199" t="n">
        <v>2025</v>
      </c>
      <c r="L791" s="199" t="n">
        <v>2025</v>
      </c>
    </row>
    <row r="792" ht="15" customHeight="1" s="104">
      <c r="A792" s="194" t="n">
        <v>45900</v>
      </c>
      <c r="B792" s="195" t="inlineStr">
        <is>
          <t>Shopify</t>
        </is>
      </c>
      <c r="C792" s="195" t="inlineStr">
        <is>
          <t>Cost of goods</t>
        </is>
      </c>
      <c r="D792" s="195" t="inlineStr">
        <is>
          <t>Cost of goods sold</t>
        </is>
      </c>
      <c r="E792" s="196" t="n">
        <v>-2949.1</v>
      </c>
      <c r="F792" s="204" t="n">
        <v>-0.3045511766</v>
      </c>
      <c r="H792" s="196" t="n">
        <v>-2949.1</v>
      </c>
      <c r="J792" s="200" t="inlineStr">
        <is>
          <t>Aug</t>
        </is>
      </c>
      <c r="K792" s="199" t="n">
        <v>2025</v>
      </c>
      <c r="L792" s="199" t="n">
        <v>2025</v>
      </c>
    </row>
    <row r="793" ht="15" customHeight="1" s="104">
      <c r="A793" s="194" t="n">
        <v>45900</v>
      </c>
      <c r="B793" s="195" t="inlineStr">
        <is>
          <t>Shopify</t>
        </is>
      </c>
      <c r="C793" s="195" t="inlineStr">
        <is>
          <t>Tax</t>
        </is>
      </c>
      <c r="D793" s="195" t="inlineStr">
        <is>
          <t>Texas State Tax</t>
        </is>
      </c>
      <c r="E793" s="196" t="n">
        <v>-32.04</v>
      </c>
      <c r="F793" s="204" t="n">
        <v>-0.003308744939</v>
      </c>
      <c r="H793" s="196" t="n">
        <v>-32.04</v>
      </c>
      <c r="J793" s="200" t="inlineStr">
        <is>
          <t>Aug</t>
        </is>
      </c>
      <c r="K793" s="199" t="n">
        <v>2025</v>
      </c>
      <c r="L793" s="199" t="n">
        <v>2025</v>
      </c>
    </row>
    <row r="794" ht="15" customHeight="1" s="104">
      <c r="A794" s="194" t="n">
        <v>45900</v>
      </c>
      <c r="B794" s="195" t="inlineStr">
        <is>
          <t>Shopify</t>
        </is>
      </c>
      <c r="C794" s="195" t="inlineStr">
        <is>
          <t>Tax</t>
        </is>
      </c>
      <c r="D794" s="195" t="inlineStr">
        <is>
          <t>Galveston City Tax</t>
        </is>
      </c>
      <c r="E794" s="196" t="n">
        <v>-10.28</v>
      </c>
      <c r="F794" s="204" t="n">
        <v>-0.001061607302</v>
      </c>
      <c r="H794" s="196" t="n">
        <v>-10.28</v>
      </c>
      <c r="J794" s="200" t="inlineStr">
        <is>
          <t>Aug</t>
        </is>
      </c>
      <c r="K794" s="199" t="n">
        <v>2025</v>
      </c>
      <c r="L794" s="199" t="n">
        <v>2025</v>
      </c>
    </row>
    <row r="795" ht="15" customHeight="1" s="104">
      <c r="A795" s="194" t="n">
        <v>45900</v>
      </c>
      <c r="B795" s="195" t="inlineStr">
        <is>
          <t>Shopify</t>
        </is>
      </c>
      <c r="C795" s="195" t="inlineStr">
        <is>
          <t>Tax</t>
        </is>
      </c>
      <c r="D795" s="195" t="inlineStr">
        <is>
          <t>Florida State Tax</t>
        </is>
      </c>
      <c r="E795" s="196" t="n">
        <v>-7.44</v>
      </c>
      <c r="F795" s="204" t="n">
        <v>-0.0007683227947</v>
      </c>
      <c r="H795" s="196" t="n">
        <v>-7.44</v>
      </c>
      <c r="J795" s="200" t="inlineStr">
        <is>
          <t>Aug</t>
        </is>
      </c>
      <c r="K795" s="199" t="n">
        <v>2025</v>
      </c>
      <c r="L795" s="199" t="n">
        <v>2025</v>
      </c>
    </row>
    <row r="796" ht="15" customHeight="1" s="104">
      <c r="A796" s="194" t="n">
        <v>45900</v>
      </c>
      <c r="B796" s="195" t="inlineStr">
        <is>
          <t>Shopify</t>
        </is>
      </c>
      <c r="C796" s="195" t="inlineStr">
        <is>
          <t>Tax</t>
        </is>
      </c>
      <c r="D796" s="195" t="inlineStr">
        <is>
          <t>New Jersey State Tax</t>
        </is>
      </c>
      <c r="E796" s="196" t="n">
        <v>-6.29</v>
      </c>
      <c r="F796" s="204" t="n">
        <v>-0.0006495632229</v>
      </c>
      <c r="H796" s="196" t="n">
        <v>-6.29</v>
      </c>
      <c r="J796" s="200" t="inlineStr">
        <is>
          <t>Aug</t>
        </is>
      </c>
      <c r="K796" s="199" t="n">
        <v>2025</v>
      </c>
      <c r="L796" s="199" t="n">
        <v>2025</v>
      </c>
    </row>
    <row r="797" ht="15" customHeight="1" s="104">
      <c r="A797" s="194" t="n">
        <v>45900</v>
      </c>
      <c r="B797" s="195" t="inlineStr">
        <is>
          <t>Shopify</t>
        </is>
      </c>
      <c r="C797" s="195" t="inlineStr">
        <is>
          <t>Tax</t>
        </is>
      </c>
      <c r="D797" s="195" t="inlineStr">
        <is>
          <t>Duval County Tax</t>
        </is>
      </c>
      <c r="E797" s="197" t="n">
        <v>-0.84</v>
      </c>
      <c r="F797" s="204" t="n">
        <v>-8.674612198000001e-05</v>
      </c>
      <c r="H797" s="197" t="n">
        <v>-0.84</v>
      </c>
      <c r="J797" s="200" t="inlineStr">
        <is>
          <t>Aug</t>
        </is>
      </c>
      <c r="K797" s="199" t="n">
        <v>2025</v>
      </c>
      <c r="L797" s="199" t="n">
        <v>2025</v>
      </c>
    </row>
    <row r="798" ht="15" customHeight="1" s="104">
      <c r="A798" s="194" t="n">
        <v>45900</v>
      </c>
      <c r="B798" s="195" t="inlineStr">
        <is>
          <t>Shopify</t>
        </is>
      </c>
      <c r="C798" s="195" t="inlineStr">
        <is>
          <t>Tax</t>
        </is>
      </c>
      <c r="D798" s="195" t="inlineStr">
        <is>
          <t>Miami Dade County Tax</t>
        </is>
      </c>
      <c r="E798" s="197" t="n">
        <v>-0.68</v>
      </c>
      <c r="F798" s="204" t="n">
        <v>-7.022305113e-05</v>
      </c>
      <c r="H798" s="197" t="n">
        <v>-0.68</v>
      </c>
      <c r="J798" s="200" t="inlineStr">
        <is>
          <t>Aug</t>
        </is>
      </c>
      <c r="K798" s="199" t="n">
        <v>2025</v>
      </c>
      <c r="L798" s="199" t="n">
        <v>2025</v>
      </c>
    </row>
    <row r="799" ht="15" customHeight="1" s="104">
      <c r="A799" s="194" t="n">
        <v>45900</v>
      </c>
      <c r="B799" s="195" t="inlineStr">
        <is>
          <t>Shopify</t>
        </is>
      </c>
      <c r="C799" s="195" t="inlineStr">
        <is>
          <t>MCF Shipping fees</t>
        </is>
      </c>
      <c r="D799" s="195" t="inlineStr">
        <is>
          <t>MCF Shipping fees</t>
        </is>
      </c>
      <c r="E799" s="196" t="n">
        <v>-2864.17</v>
      </c>
      <c r="F799" s="204" t="n">
        <v>-0.295780524</v>
      </c>
      <c r="H799" s="196" t="n">
        <v>-2864.17</v>
      </c>
      <c r="J799" s="200" t="inlineStr">
        <is>
          <t>Aug</t>
        </is>
      </c>
      <c r="K799" s="199" t="n">
        <v>2025</v>
      </c>
      <c r="L799" s="199" t="n">
        <v>2025</v>
      </c>
    </row>
    <row r="800" ht="15" customHeight="1" s="104">
      <c r="A800" s="194" t="n">
        <v>45900</v>
      </c>
      <c r="B800" s="195" t="inlineStr">
        <is>
          <t>Shopify</t>
        </is>
      </c>
      <c r="C800" s="195" t="inlineStr">
        <is>
          <t>Shipping Cost</t>
        </is>
      </c>
      <c r="D800" s="195" t="inlineStr">
        <is>
          <t>Shipping Cost</t>
        </is>
      </c>
      <c r="E800" s="198" t="n">
        <v>0</v>
      </c>
      <c r="F800" s="201" t="n">
        <v>0</v>
      </c>
      <c r="H800" s="198" t="n">
        <v>0</v>
      </c>
      <c r="J800" s="200" t="inlineStr">
        <is>
          <t>Aug</t>
        </is>
      </c>
      <c r="K800" s="199" t="n">
        <v>2025</v>
      </c>
      <c r="L800" s="199" t="n">
        <v>2025</v>
      </c>
    </row>
    <row r="801" ht="15" customHeight="1" s="104">
      <c r="A801" s="194" t="n">
        <v>45900</v>
      </c>
      <c r="B801" s="195" t="inlineStr">
        <is>
          <t>Shopify</t>
        </is>
      </c>
      <c r="C801" s="195" t="inlineStr">
        <is>
          <t>Advertising cost</t>
        </is>
      </c>
      <c r="D801" s="195" t="inlineStr">
        <is>
          <t>Advertising Cost</t>
        </is>
      </c>
      <c r="E801" s="196" t="n">
        <v>-4254.9</v>
      </c>
      <c r="F801" s="204" t="n">
        <v>-0.4394000886</v>
      </c>
      <c r="H801" s="196" t="n">
        <v>-4254.9</v>
      </c>
      <c r="J801" s="200" t="inlineStr">
        <is>
          <t>Aug</t>
        </is>
      </c>
      <c r="K801" s="199" t="n">
        <v>2025</v>
      </c>
      <c r="L801" s="199" t="n">
        <v>2025</v>
      </c>
    </row>
    <row r="802" ht="15" customHeight="1" s="104">
      <c r="A802" s="194" t="n">
        <v>45930</v>
      </c>
      <c r="B802" s="195" t="inlineStr">
        <is>
          <t>Amazon US</t>
        </is>
      </c>
      <c r="C802" s="195" t="inlineStr">
        <is>
          <t>Advertising cost</t>
        </is>
      </c>
      <c r="D802" s="195" t="inlineStr">
        <is>
          <t>Sponsored Products</t>
        </is>
      </c>
      <c r="E802" s="196" t="n">
        <v>-8029.51</v>
      </c>
      <c r="F802" s="204" t="n">
        <v>-0.07898956054</v>
      </c>
      <c r="H802" s="196" t="n">
        <v>-8029.51</v>
      </c>
      <c r="J802" s="200" t="inlineStr">
        <is>
          <t>Sep</t>
        </is>
      </c>
      <c r="K802" s="199" t="n">
        <v>2025</v>
      </c>
      <c r="L802" s="199" t="n">
        <v>2025</v>
      </c>
    </row>
    <row r="803" ht="15" customHeight="1" s="104">
      <c r="A803" s="194" t="n">
        <v>45930</v>
      </c>
      <c r="B803" s="195" t="inlineStr">
        <is>
          <t>Amazon US</t>
        </is>
      </c>
      <c r="C803" s="195" t="inlineStr">
        <is>
          <t>Advertising cost</t>
        </is>
      </c>
      <c r="D803" s="195" t="inlineStr">
        <is>
          <t>Sponsored Brands Video</t>
        </is>
      </c>
      <c r="E803" s="198" t="n">
        <v>0</v>
      </c>
      <c r="F803" s="201" t="n">
        <v>0</v>
      </c>
      <c r="H803" s="198" t="n">
        <v>0</v>
      </c>
      <c r="J803" s="200" t="inlineStr">
        <is>
          <t>Sep</t>
        </is>
      </c>
      <c r="K803" s="199" t="n">
        <v>2025</v>
      </c>
      <c r="L803" s="199" t="n">
        <v>2025</v>
      </c>
    </row>
    <row r="804" ht="15" customHeight="1" s="104">
      <c r="A804" s="194" t="n">
        <v>45930</v>
      </c>
      <c r="B804" s="195" t="inlineStr">
        <is>
          <t>Amazon US</t>
        </is>
      </c>
      <c r="C804" s="195" t="inlineStr">
        <is>
          <t>Advertising cost</t>
        </is>
      </c>
      <c r="D804" s="195" t="inlineStr">
        <is>
          <t>Sponsored Display</t>
        </is>
      </c>
      <c r="E804" s="198" t="n">
        <v>0</v>
      </c>
      <c r="F804" s="201" t="n">
        <v>0</v>
      </c>
      <c r="H804" s="198" t="n">
        <v>0</v>
      </c>
      <c r="J804" s="200" t="inlineStr">
        <is>
          <t>Sep</t>
        </is>
      </c>
      <c r="K804" s="199" t="n">
        <v>2025</v>
      </c>
      <c r="L804" s="199" t="n">
        <v>2025</v>
      </c>
    </row>
    <row r="805" ht="15" customHeight="1" s="104">
      <c r="A805" s="194" t="n">
        <v>45930</v>
      </c>
      <c r="B805" s="195" t="inlineStr">
        <is>
          <t>Amazon US</t>
        </is>
      </c>
      <c r="C805" s="195" t="inlineStr">
        <is>
          <t>Advertising cost</t>
        </is>
      </c>
      <c r="D805" s="195" t="inlineStr">
        <is>
          <t>Sponsored Brands</t>
        </is>
      </c>
      <c r="E805" s="198" t="n">
        <v>0</v>
      </c>
      <c r="F805" s="201" t="n">
        <v>0</v>
      </c>
      <c r="H805" s="198" t="n">
        <v>0</v>
      </c>
      <c r="J805" s="200" t="inlineStr">
        <is>
          <t>Sep</t>
        </is>
      </c>
      <c r="K805" s="199" t="n">
        <v>2025</v>
      </c>
      <c r="L805" s="199" t="n">
        <v>2025</v>
      </c>
    </row>
    <row r="806" ht="15" customHeight="1" s="104">
      <c r="A806" s="194" t="n">
        <v>45930</v>
      </c>
      <c r="B806" s="195" t="inlineStr">
        <is>
          <t>Amazon US</t>
        </is>
      </c>
      <c r="C806" s="195" t="inlineStr">
        <is>
          <t>Refund cost</t>
        </is>
      </c>
      <c r="D806" s="195" t="inlineStr">
        <is>
          <t>Refunded amount</t>
        </is>
      </c>
      <c r="E806" s="196" t="n">
        <v>-11736.28</v>
      </c>
      <c r="F806" s="204" t="n">
        <v>-0.1154545669</v>
      </c>
      <c r="H806" s="196" t="n">
        <v>-11736.28</v>
      </c>
      <c r="J806" s="200" t="inlineStr">
        <is>
          <t>Sep</t>
        </is>
      </c>
      <c r="K806" s="199" t="n">
        <v>2025</v>
      </c>
      <c r="L806" s="199" t="n">
        <v>2025</v>
      </c>
    </row>
    <row r="807" ht="15" customHeight="1" s="104">
      <c r="A807" s="194" t="n">
        <v>45930</v>
      </c>
      <c r="B807" s="195" t="inlineStr">
        <is>
          <t>Amazon US</t>
        </is>
      </c>
      <c r="C807" s="195" t="inlineStr">
        <is>
          <t>Refund cost</t>
        </is>
      </c>
      <c r="D807" s="195" t="inlineStr">
        <is>
          <t>Refund commission</t>
        </is>
      </c>
      <c r="E807" s="196" t="n">
        <v>-340.71</v>
      </c>
      <c r="F807" s="204" t="n">
        <v>-0.003351703052</v>
      </c>
      <c r="H807" s="196" t="n">
        <v>-340.71</v>
      </c>
      <c r="J807" s="200" t="inlineStr">
        <is>
          <t>Sep</t>
        </is>
      </c>
      <c r="K807" s="199" t="n">
        <v>2025</v>
      </c>
      <c r="L807" s="199" t="n">
        <v>2025</v>
      </c>
    </row>
    <row r="808" ht="15" customHeight="1" s="104">
      <c r="A808" s="194" t="n">
        <v>45930</v>
      </c>
      <c r="B808" s="195" t="inlineStr">
        <is>
          <t>Amazon US</t>
        </is>
      </c>
      <c r="C808" s="195" t="inlineStr">
        <is>
          <t>Refund cost</t>
        </is>
      </c>
      <c r="D808" s="195" t="inlineStr">
        <is>
          <t>Promotion</t>
        </is>
      </c>
      <c r="E808" s="196" t="n">
        <v>106.09</v>
      </c>
      <c r="F808" s="204" t="n">
        <v>0.001043650544</v>
      </c>
      <c r="H808" s="196" t="n">
        <v>106.09</v>
      </c>
      <c r="J808" s="200" t="inlineStr">
        <is>
          <t>Sep</t>
        </is>
      </c>
      <c r="K808" s="199" t="n">
        <v>2025</v>
      </c>
      <c r="L808" s="199" t="n">
        <v>2025</v>
      </c>
    </row>
    <row r="809" ht="15" customHeight="1" s="104">
      <c r="A809" s="194" t="n">
        <v>45930</v>
      </c>
      <c r="B809" s="195" t="inlineStr">
        <is>
          <t>Amazon US</t>
        </is>
      </c>
      <c r="C809" s="195" t="inlineStr">
        <is>
          <t>Refund cost</t>
        </is>
      </c>
      <c r="D809" s="195" t="inlineStr">
        <is>
          <t>Refunded referral fee</t>
        </is>
      </c>
      <c r="E809" s="196" t="n">
        <v>1744.86</v>
      </c>
      <c r="F809" s="204" t="n">
        <v>0.01716489856</v>
      </c>
      <c r="H809" s="196" t="n">
        <v>1744.86</v>
      </c>
      <c r="J809" s="200" t="inlineStr">
        <is>
          <t>Sep</t>
        </is>
      </c>
      <c r="K809" s="199" t="n">
        <v>2025</v>
      </c>
      <c r="L809" s="199" t="n">
        <v>2025</v>
      </c>
    </row>
    <row r="810" ht="15" customHeight="1" s="104">
      <c r="A810" s="194" t="n">
        <v>45930</v>
      </c>
      <c r="B810" s="195" t="inlineStr">
        <is>
          <t>Amazon US</t>
        </is>
      </c>
      <c r="C810" s="195" t="inlineStr">
        <is>
          <t>Refund cost</t>
        </is>
      </c>
      <c r="D810" s="195" t="inlineStr">
        <is>
          <t>Value of returned items</t>
        </is>
      </c>
      <c r="E810" s="196" t="n">
        <v>1474.21</v>
      </c>
      <c r="F810" s="204" t="n">
        <v>0.01450240426</v>
      </c>
      <c r="H810" s="196" t="n">
        <v>1474.21</v>
      </c>
      <c r="J810" s="200" t="inlineStr">
        <is>
          <t>Sep</t>
        </is>
      </c>
      <c r="K810" s="199" t="n">
        <v>2025</v>
      </c>
      <c r="L810" s="199" t="n">
        <v>2025</v>
      </c>
    </row>
    <row r="811" ht="15" customHeight="1" s="104">
      <c r="A811" s="194" t="n">
        <v>45930</v>
      </c>
      <c r="B811" s="195" t="inlineStr">
        <is>
          <t>Amazon US</t>
        </is>
      </c>
      <c r="C811" s="195" t="inlineStr">
        <is>
          <t>Amazon fees</t>
        </is>
      </c>
      <c r="D811" s="195" t="inlineStr">
        <is>
          <t>FBA per unit fulfilment fee</t>
        </is>
      </c>
      <c r="E811" s="196" t="n">
        <v>-17193.88</v>
      </c>
      <c r="F811" s="204" t="n">
        <v>-0.1691432012</v>
      </c>
      <c r="H811" s="196" t="n">
        <v>-17193.88</v>
      </c>
      <c r="J811" s="200" t="inlineStr">
        <is>
          <t>Sep</t>
        </is>
      </c>
      <c r="K811" s="199" t="n">
        <v>2025</v>
      </c>
      <c r="L811" s="199" t="n">
        <v>2025</v>
      </c>
    </row>
    <row r="812" ht="15" customHeight="1" s="104">
      <c r="A812" s="194" t="n">
        <v>45930</v>
      </c>
      <c r="B812" s="195" t="inlineStr">
        <is>
          <t>Amazon US</t>
        </is>
      </c>
      <c r="C812" s="195" t="inlineStr">
        <is>
          <t>Amazon fees</t>
        </is>
      </c>
      <c r="D812" s="195" t="inlineStr">
        <is>
          <t>Referral fee</t>
        </is>
      </c>
      <c r="E812" s="196" t="n">
        <v>-15183.82</v>
      </c>
      <c r="F812" s="204" t="n">
        <v>-0.1493694222</v>
      </c>
      <c r="H812" s="196" t="n">
        <v>-15183.82</v>
      </c>
      <c r="J812" s="200" t="inlineStr">
        <is>
          <t>Sep</t>
        </is>
      </c>
      <c r="K812" s="199" t="n">
        <v>2025</v>
      </c>
      <c r="L812" s="199" t="n">
        <v>2025</v>
      </c>
    </row>
    <row r="813" ht="15" customHeight="1" s="104">
      <c r="A813" s="194" t="n">
        <v>45930</v>
      </c>
      <c r="B813" s="195" t="inlineStr">
        <is>
          <t>Amazon US</t>
        </is>
      </c>
      <c r="C813" s="195" t="inlineStr">
        <is>
          <t>Amazon fees</t>
        </is>
      </c>
      <c r="D813" s="195" t="inlineStr">
        <is>
          <t>FBA storage fee</t>
        </is>
      </c>
      <c r="E813" s="196" t="n">
        <v>-1874.6</v>
      </c>
      <c r="F813" s="204" t="n">
        <v>-0.01844120378</v>
      </c>
      <c r="H813" s="196" t="n">
        <v>-1874.6</v>
      </c>
      <c r="J813" s="200" t="inlineStr">
        <is>
          <t>Sep</t>
        </is>
      </c>
      <c r="K813" s="199" t="n">
        <v>2025</v>
      </c>
      <c r="L813" s="199" t="n">
        <v>2025</v>
      </c>
    </row>
    <row r="814" ht="15" customHeight="1" s="104">
      <c r="A814" s="194" t="n">
        <v>45930</v>
      </c>
      <c r="B814" s="195" t="inlineStr">
        <is>
          <t>Amazon US</t>
        </is>
      </c>
      <c r="C814" s="195" t="inlineStr">
        <is>
          <t>Amazon fees</t>
        </is>
      </c>
      <c r="D814" s="195" t="inlineStr">
        <is>
          <t>FBA disposal fee</t>
        </is>
      </c>
      <c r="E814" s="196" t="n">
        <v>-749.9299999999999</v>
      </c>
      <c r="F814" s="204" t="n">
        <v>-0.00737736688</v>
      </c>
      <c r="H814" s="196" t="n">
        <v>-749.9299999999999</v>
      </c>
      <c r="J814" s="200" t="inlineStr">
        <is>
          <t>Sep</t>
        </is>
      </c>
      <c r="K814" s="199" t="n">
        <v>2025</v>
      </c>
      <c r="L814" s="199" t="n">
        <v>2025</v>
      </c>
    </row>
    <row r="815" ht="15" customHeight="1" s="104">
      <c r="A815" s="194" t="n">
        <v>45930</v>
      </c>
      <c r="B815" s="195" t="inlineStr">
        <is>
          <t>Amazon US</t>
        </is>
      </c>
      <c r="C815" s="195" t="inlineStr">
        <is>
          <t>Amazon fees</t>
        </is>
      </c>
      <c r="D815" s="195" t="inlineStr">
        <is>
          <t>FBA inbound convenience fee</t>
        </is>
      </c>
      <c r="F815" s="201" t="n">
        <v>0</v>
      </c>
      <c r="J815" s="200" t="inlineStr">
        <is>
          <t>Sep</t>
        </is>
      </c>
      <c r="K815" s="199" t="n">
        <v>2025</v>
      </c>
      <c r="L815" s="199" t="n">
        <v>2025</v>
      </c>
    </row>
    <row r="816" ht="15" customHeight="1" s="104">
      <c r="A816" s="194" t="n">
        <v>45930</v>
      </c>
      <c r="B816" s="195" t="inlineStr">
        <is>
          <t>Amazon US</t>
        </is>
      </c>
      <c r="C816" s="195" t="inlineStr">
        <is>
          <t>Amazon fees</t>
        </is>
      </c>
      <c r="D816" s="195" t="inlineStr">
        <is>
          <t>AWD processing fee</t>
        </is>
      </c>
      <c r="E816" s="196" t="n">
        <v>-459</v>
      </c>
      <c r="F816" s="204" t="n">
        <v>-0.004515369965</v>
      </c>
      <c r="H816" s="196" t="n">
        <v>-459</v>
      </c>
      <c r="J816" s="200" t="inlineStr">
        <is>
          <t>Sep</t>
        </is>
      </c>
      <c r="K816" s="199" t="n">
        <v>2025</v>
      </c>
      <c r="L816" s="199" t="n">
        <v>2025</v>
      </c>
    </row>
    <row r="817" ht="15" customHeight="1" s="104">
      <c r="A817" s="194" t="n">
        <v>45930</v>
      </c>
      <c r="B817" s="195" t="inlineStr">
        <is>
          <t>Amazon US</t>
        </is>
      </c>
      <c r="C817" s="195" t="inlineStr">
        <is>
          <t>Amazon fees</t>
        </is>
      </c>
      <c r="D817" s="195" t="inlineStr">
        <is>
          <t>Liquidations brokerage fee</t>
        </is>
      </c>
      <c r="F817" s="201" t="n">
        <v>0</v>
      </c>
      <c r="J817" s="200" t="inlineStr">
        <is>
          <t>Sep</t>
        </is>
      </c>
      <c r="K817" s="199" t="n">
        <v>2025</v>
      </c>
      <c r="L817" s="199" t="n">
        <v>2025</v>
      </c>
    </row>
    <row r="818" ht="15" customHeight="1" s="104">
      <c r="A818" s="194" t="n">
        <v>45930</v>
      </c>
      <c r="B818" s="195" t="inlineStr">
        <is>
          <t>Amazon US</t>
        </is>
      </c>
      <c r="C818" s="195" t="inlineStr">
        <is>
          <t>Amazon fees</t>
        </is>
      </c>
      <c r="D818" s="195" t="inlineStr">
        <is>
          <t>Customer Return HRR Unit Fee</t>
        </is>
      </c>
      <c r="E818" s="196" t="n">
        <v>-110.75</v>
      </c>
      <c r="F818" s="204" t="n">
        <v>-0.001089492862</v>
      </c>
      <c r="H818" s="196" t="n">
        <v>-110.75</v>
      </c>
      <c r="J818" s="200" t="inlineStr">
        <is>
          <t>Sep</t>
        </is>
      </c>
      <c r="K818" s="199" t="n">
        <v>2025</v>
      </c>
      <c r="L818" s="199" t="n">
        <v>2025</v>
      </c>
    </row>
    <row r="819" ht="15" customHeight="1" s="104">
      <c r="A819" s="194" t="n">
        <v>45930</v>
      </c>
      <c r="B819" s="195" t="inlineStr">
        <is>
          <t>Amazon US</t>
        </is>
      </c>
      <c r="C819" s="195" t="inlineStr">
        <is>
          <t>Amazon fees</t>
        </is>
      </c>
      <c r="D819" s="195" t="inlineStr">
        <is>
          <t>Get paid faster fee</t>
        </is>
      </c>
      <c r="E819" s="196" t="n">
        <v>-47.47</v>
      </c>
      <c r="F819" s="204" t="n">
        <v>-0.000466981726</v>
      </c>
      <c r="H819" s="196" t="n">
        <v>-47.47</v>
      </c>
      <c r="J819" s="200" t="inlineStr">
        <is>
          <t>Sep</t>
        </is>
      </c>
      <c r="K819" s="199" t="n">
        <v>2025</v>
      </c>
      <c r="L819" s="199" t="n">
        <v>2025</v>
      </c>
    </row>
    <row r="820" ht="15" customHeight="1" s="104">
      <c r="A820" s="194" t="n">
        <v>45930</v>
      </c>
      <c r="B820" s="195" t="inlineStr">
        <is>
          <t>Amazon US</t>
        </is>
      </c>
      <c r="C820" s="195" t="inlineStr">
        <is>
          <t>Amazon fees</t>
        </is>
      </c>
      <c r="D820" s="195" t="inlineStr">
        <is>
          <t>Compensated clawback</t>
        </is>
      </c>
      <c r="F820" s="201" t="n">
        <v>0</v>
      </c>
      <c r="J820" s="200" t="inlineStr">
        <is>
          <t>Sep</t>
        </is>
      </c>
      <c r="K820" s="199" t="n">
        <v>2025</v>
      </c>
      <c r="L820" s="199" t="n">
        <v>2025</v>
      </c>
    </row>
    <row r="821" ht="15" customHeight="1" s="104">
      <c r="A821" s="194" t="n">
        <v>45930</v>
      </c>
      <c r="B821" s="195" t="inlineStr">
        <is>
          <t>Amazon US</t>
        </is>
      </c>
      <c r="C821" s="195" t="inlineStr">
        <is>
          <t>Amazon fees</t>
        </is>
      </c>
      <c r="D821" s="195" t="inlineStr">
        <is>
          <t>Free replacement refund items</t>
        </is>
      </c>
      <c r="E821" s="196" t="n">
        <v>270.3</v>
      </c>
      <c r="F821" s="204" t="n">
        <v>0.002659051202</v>
      </c>
      <c r="H821" s="196" t="n">
        <v>270.3</v>
      </c>
      <c r="J821" s="200" t="inlineStr">
        <is>
          <t>Sep</t>
        </is>
      </c>
      <c r="K821" s="199" t="n">
        <v>2025</v>
      </c>
      <c r="L821" s="199" t="n">
        <v>2025</v>
      </c>
    </row>
    <row r="822" ht="15" customHeight="1" s="104">
      <c r="A822" s="194" t="n">
        <v>45930</v>
      </c>
      <c r="B822" s="195" t="inlineStr">
        <is>
          <t>Amazon US</t>
        </is>
      </c>
      <c r="C822" s="195" t="inlineStr">
        <is>
          <t>Amazon fees</t>
        </is>
      </c>
      <c r="D822" s="195" t="inlineStr">
        <is>
          <t>Warehouse lost</t>
        </is>
      </c>
      <c r="E822" s="196" t="n">
        <v>17.94</v>
      </c>
      <c r="F822" s="204" t="n">
        <v>0.0001764830875</v>
      </c>
      <c r="H822" s="196" t="n">
        <v>17.94</v>
      </c>
      <c r="J822" s="200" t="inlineStr">
        <is>
          <t>Sep</t>
        </is>
      </c>
      <c r="K822" s="199" t="n">
        <v>2025</v>
      </c>
      <c r="L822" s="199" t="n">
        <v>2025</v>
      </c>
    </row>
    <row r="823" ht="15" customHeight="1" s="104">
      <c r="A823" s="194" t="n">
        <v>45930</v>
      </c>
      <c r="B823" s="195" t="inlineStr">
        <is>
          <t>Amazon US</t>
        </is>
      </c>
      <c r="C823" s="195" t="inlineStr">
        <is>
          <t>Amazon fees</t>
        </is>
      </c>
      <c r="D823" s="195" t="inlineStr">
        <is>
          <t>Missing from inbound</t>
        </is>
      </c>
      <c r="E823" s="196" t="n">
        <v>299.43</v>
      </c>
      <c r="F823" s="204" t="n">
        <v>0.002945614877</v>
      </c>
      <c r="H823" s="196" t="n">
        <v>299.43</v>
      </c>
      <c r="J823" s="200" t="inlineStr">
        <is>
          <t>Sep</t>
        </is>
      </c>
      <c r="K823" s="199" t="n">
        <v>2025</v>
      </c>
      <c r="L823" s="199" t="n">
        <v>2025</v>
      </c>
    </row>
    <row r="824" ht="15" customHeight="1" s="104">
      <c r="A824" s="194" t="n">
        <v>45930</v>
      </c>
      <c r="B824" s="195" t="inlineStr">
        <is>
          <t>Amazon US</t>
        </is>
      </c>
      <c r="C824" s="195" t="inlineStr">
        <is>
          <t>Amazon fees</t>
        </is>
      </c>
      <c r="D824" s="195" t="inlineStr">
        <is>
          <t>Warehouse damage</t>
        </is>
      </c>
      <c r="E824" s="196" t="n">
        <v>96.83</v>
      </c>
      <c r="F824" s="204" t="n">
        <v>0.0009525561519</v>
      </c>
      <c r="H824" s="196" t="n">
        <v>96.83</v>
      </c>
      <c r="J824" s="200" t="inlineStr">
        <is>
          <t>Sep</t>
        </is>
      </c>
      <c r="K824" s="199" t="n">
        <v>2025</v>
      </c>
      <c r="L824" s="199" t="n">
        <v>2025</v>
      </c>
    </row>
    <row r="825" ht="15" customHeight="1" s="104">
      <c r="A825" s="194" t="n">
        <v>45930</v>
      </c>
      <c r="B825" s="195" t="inlineStr">
        <is>
          <t>Amazon US</t>
        </is>
      </c>
      <c r="C825" s="195" t="inlineStr">
        <is>
          <t>Amazon fees</t>
        </is>
      </c>
      <c r="D825" s="195" t="inlineStr">
        <is>
          <t>Liquidations revenue</t>
        </is>
      </c>
      <c r="F825" s="201" t="n">
        <v>0</v>
      </c>
      <c r="J825" s="200" t="inlineStr">
        <is>
          <t>Sep</t>
        </is>
      </c>
      <c r="K825" s="199" t="n">
        <v>2025</v>
      </c>
      <c r="L825" s="199" t="n">
        <v>2025</v>
      </c>
    </row>
    <row r="826" ht="15" customHeight="1" s="104">
      <c r="A826" s="194" t="n">
        <v>45930</v>
      </c>
      <c r="B826" s="195" t="inlineStr">
        <is>
          <t>Amazon US</t>
        </is>
      </c>
      <c r="C826" s="195" t="inlineStr">
        <is>
          <t>Amazon fees</t>
        </is>
      </c>
      <c r="D826" s="195" t="inlineStr">
        <is>
          <t>Reversal reimbursement</t>
        </is>
      </c>
      <c r="E826" s="196" t="n">
        <v>885.77</v>
      </c>
      <c r="F826" s="204" t="n">
        <v>0.008713680292</v>
      </c>
      <c r="H826" s="196" t="n">
        <v>885.77</v>
      </c>
      <c r="J826" s="200" t="inlineStr">
        <is>
          <t>Sep</t>
        </is>
      </c>
      <c r="K826" s="199" t="n">
        <v>2025</v>
      </c>
      <c r="L826" s="199" t="n">
        <v>2025</v>
      </c>
    </row>
    <row r="827" ht="15" customHeight="1" s="104">
      <c r="A827" s="194" t="n">
        <v>45930</v>
      </c>
      <c r="B827" s="195" t="inlineStr">
        <is>
          <t>Amazon US</t>
        </is>
      </c>
      <c r="C827" s="195" t="inlineStr">
        <is>
          <t>Amazon fees</t>
        </is>
      </c>
      <c r="D827" s="195" t="inlineStr">
        <is>
          <t>Vine Fee</t>
        </is>
      </c>
      <c r="F827" s="201" t="n">
        <v>0</v>
      </c>
      <c r="J827" s="200" t="inlineStr">
        <is>
          <t>Sep</t>
        </is>
      </c>
      <c r="K827" s="199" t="n">
        <v>2025</v>
      </c>
      <c r="L827" s="199" t="n">
        <v>2025</v>
      </c>
    </row>
    <row r="828" ht="15" customHeight="1" s="104">
      <c r="A828" s="194" t="n">
        <v>45930</v>
      </c>
      <c r="B828" s="195" t="inlineStr">
        <is>
          <t>Amazon US</t>
        </is>
      </c>
      <c r="C828" s="195" t="inlineStr">
        <is>
          <t>Amazon fees</t>
        </is>
      </c>
      <c r="D828" s="195" t="inlineStr">
        <is>
          <t>Missing from inbound clawback</t>
        </is>
      </c>
      <c r="E828" s="196" t="n">
        <v>-30.15</v>
      </c>
      <c r="F828" s="204" t="n">
        <v>-0.000296597831</v>
      </c>
      <c r="H828" s="196" t="n">
        <v>-30.15</v>
      </c>
      <c r="J828" s="200" t="inlineStr">
        <is>
          <t>Sep</t>
        </is>
      </c>
      <c r="K828" s="199" t="n">
        <v>2025</v>
      </c>
      <c r="L828" s="199" t="n">
        <v>2025</v>
      </c>
    </row>
    <row r="829" ht="15" customHeight="1" s="104">
      <c r="A829" s="194" t="n">
        <v>45930</v>
      </c>
      <c r="B829" s="195" t="inlineStr">
        <is>
          <t>Amazon US</t>
        </is>
      </c>
      <c r="C829" s="195" t="inlineStr">
        <is>
          <t>Amazon fees</t>
        </is>
      </c>
      <c r="D829" s="195" t="inlineStr">
        <is>
          <t>Subscription</t>
        </is>
      </c>
      <c r="E829" s="196" t="n">
        <v>-39.99</v>
      </c>
      <c r="F829" s="204" t="n">
        <v>-0.0003933979192</v>
      </c>
      <c r="H829" s="196" t="n">
        <v>-39.99</v>
      </c>
      <c r="J829" s="200" t="inlineStr">
        <is>
          <t>Sep</t>
        </is>
      </c>
      <c r="K829" s="199" t="n">
        <v>2025</v>
      </c>
      <c r="L829" s="199" t="n">
        <v>2025</v>
      </c>
    </row>
    <row r="830" ht="15" customHeight="1" s="104">
      <c r="A830" s="194" t="n">
        <v>45930</v>
      </c>
      <c r="B830" s="195" t="inlineStr">
        <is>
          <t>Amazon US</t>
        </is>
      </c>
      <c r="C830" s="195" t="inlineStr">
        <is>
          <t>Amazon fees</t>
        </is>
      </c>
      <c r="D830" s="195" t="inlineStr">
        <is>
          <t>Long term storage fee</t>
        </is>
      </c>
      <c r="F830" s="201" t="n">
        <v>0</v>
      </c>
      <c r="J830" s="200" t="inlineStr">
        <is>
          <t>Sep</t>
        </is>
      </c>
      <c r="K830" s="199" t="n">
        <v>2025</v>
      </c>
      <c r="L830" s="199" t="n">
        <v>2025</v>
      </c>
    </row>
    <row r="831" ht="15" customHeight="1" s="104">
      <c r="A831" s="194" t="n">
        <v>45930</v>
      </c>
      <c r="B831" s="195" t="inlineStr">
        <is>
          <t>Amazon US</t>
        </is>
      </c>
      <c r="C831" s="195" t="inlineStr">
        <is>
          <t>Amazon fees</t>
        </is>
      </c>
      <c r="D831" s="195" t="inlineStr">
        <is>
          <t>AWD transportation fee</t>
        </is>
      </c>
      <c r="E831" s="196" t="n">
        <v>-1228.4</v>
      </c>
      <c r="F831" s="204" t="n">
        <v>-0.01208427117</v>
      </c>
      <c r="H831" s="196" t="n">
        <v>-1228.4</v>
      </c>
      <c r="J831" s="200" t="inlineStr">
        <is>
          <t>Sep</t>
        </is>
      </c>
      <c r="K831" s="199" t="n">
        <v>2025</v>
      </c>
      <c r="L831" s="199" t="n">
        <v>2025</v>
      </c>
    </row>
    <row r="832" ht="15" customHeight="1" s="104">
      <c r="A832" s="194" t="n">
        <v>45930</v>
      </c>
      <c r="B832" s="195" t="inlineStr">
        <is>
          <t>Amazon US</t>
        </is>
      </c>
      <c r="C832" s="195" t="inlineStr">
        <is>
          <t>Amazon fees</t>
        </is>
      </c>
      <c r="D832" s="195" t="inlineStr">
        <is>
          <t>Star storage fee</t>
        </is>
      </c>
      <c r="E832" s="196" t="n">
        <v>-222.25</v>
      </c>
      <c r="F832" s="204" t="n">
        <v>-0.002186363779</v>
      </c>
      <c r="H832" s="196" t="n">
        <v>-222.25</v>
      </c>
      <c r="J832" s="200" t="inlineStr">
        <is>
          <t>Sep</t>
        </is>
      </c>
      <c r="K832" s="199" t="n">
        <v>2025</v>
      </c>
      <c r="L832" s="199" t="n">
        <v>2025</v>
      </c>
    </row>
    <row r="833" ht="15" customHeight="1" s="104">
      <c r="A833" s="194" t="n">
        <v>45930</v>
      </c>
      <c r="B833" s="195" t="inlineStr">
        <is>
          <t>Amazon US</t>
        </is>
      </c>
      <c r="C833" s="195" t="inlineStr">
        <is>
          <t>Amazon fees</t>
        </is>
      </c>
      <c r="D833" s="195" t="inlineStr">
        <is>
          <t>FBA removal fee</t>
        </is>
      </c>
      <c r="E833" s="196" t="n">
        <v>-7.13</v>
      </c>
      <c r="F833" s="204" t="n">
        <v>-7.014071427e-05</v>
      </c>
      <c r="H833" s="196" t="n">
        <v>-7.13</v>
      </c>
      <c r="J833" s="200" t="inlineStr">
        <is>
          <t>Sep</t>
        </is>
      </c>
      <c r="K833" s="199" t="n">
        <v>2025</v>
      </c>
      <c r="L833" s="199" t="n">
        <v>2025</v>
      </c>
    </row>
    <row r="834" ht="15" customHeight="1" s="104">
      <c r="A834" s="194" t="n">
        <v>45930</v>
      </c>
      <c r="B834" s="195" t="inlineStr">
        <is>
          <t>Amazon US</t>
        </is>
      </c>
      <c r="C834" s="195" t="inlineStr">
        <is>
          <t>Cost of goods</t>
        </is>
      </c>
      <c r="D834" s="195" t="inlineStr">
        <is>
          <t>Lost/damaged by Amazon</t>
        </is>
      </c>
      <c r="E834" s="196" t="n">
        <v>-389.4</v>
      </c>
      <c r="F834" s="204" t="n">
        <v>-0.003830686415</v>
      </c>
      <c r="H834" s="196" t="n">
        <v>-389.4</v>
      </c>
      <c r="J834" s="200" t="inlineStr">
        <is>
          <t>Sep</t>
        </is>
      </c>
      <c r="K834" s="199" t="n">
        <v>2025</v>
      </c>
      <c r="L834" s="199" t="n">
        <v>2025</v>
      </c>
    </row>
    <row r="835" ht="15" customHeight="1" s="104">
      <c r="A835" s="194" t="n">
        <v>45930</v>
      </c>
      <c r="B835" s="195" t="inlineStr">
        <is>
          <t>Amazon US</t>
        </is>
      </c>
      <c r="C835" s="195" t="inlineStr">
        <is>
          <t>Cost of goods</t>
        </is>
      </c>
      <c r="D835" s="195" t="inlineStr">
        <is>
          <t>Cost of goods sold</t>
        </is>
      </c>
      <c r="E835" s="196" t="n">
        <v>-27458.83</v>
      </c>
      <c r="F835" s="204" t="n">
        <v>-0.2701236956</v>
      </c>
      <c r="H835" s="196" t="n">
        <v>-27458.83</v>
      </c>
      <c r="J835" s="200" t="inlineStr">
        <is>
          <t>Sep</t>
        </is>
      </c>
      <c r="K835" s="199" t="n">
        <v>2025</v>
      </c>
      <c r="L835" s="199" t="n">
        <v>2025</v>
      </c>
    </row>
    <row r="836" ht="15" customHeight="1" s="104">
      <c r="A836" s="194" t="n">
        <v>45930</v>
      </c>
      <c r="B836" s="195" t="inlineStr">
        <is>
          <t>Amazon CA</t>
        </is>
      </c>
      <c r="C836" s="195" t="inlineStr">
        <is>
          <t>Advertising cost</t>
        </is>
      </c>
      <c r="D836" s="195" t="inlineStr">
        <is>
          <t>Sponsored Products</t>
        </is>
      </c>
      <c r="E836" s="196" t="n">
        <v>-552.86</v>
      </c>
      <c r="F836" s="204" t="n">
        <v>-0.056254935</v>
      </c>
      <c r="H836" s="196" t="n">
        <v>-552.86</v>
      </c>
      <c r="J836" s="200" t="inlineStr">
        <is>
          <t>Sep</t>
        </is>
      </c>
      <c r="K836" s="199" t="n">
        <v>2025</v>
      </c>
      <c r="L836" s="199" t="n">
        <v>2025</v>
      </c>
    </row>
    <row r="837" ht="15" customHeight="1" s="104">
      <c r="A837" s="194" t="n">
        <v>45930</v>
      </c>
      <c r="B837" s="195" t="inlineStr">
        <is>
          <t>Amazon CA</t>
        </is>
      </c>
      <c r="C837" s="195" t="inlineStr">
        <is>
          <t>Advertising cost</t>
        </is>
      </c>
      <c r="D837" s="195" t="inlineStr">
        <is>
          <t>Sponsored Brands Video</t>
        </is>
      </c>
      <c r="E837" s="198" t="n">
        <v>0</v>
      </c>
      <c r="F837" s="201" t="n">
        <v>0</v>
      </c>
      <c r="H837" s="198" t="n">
        <v>0</v>
      </c>
      <c r="J837" s="200" t="inlineStr">
        <is>
          <t>Sep</t>
        </is>
      </c>
      <c r="K837" s="199" t="n">
        <v>2025</v>
      </c>
      <c r="L837" s="199" t="n">
        <v>2025</v>
      </c>
    </row>
    <row r="838" ht="15" customHeight="1" s="104">
      <c r="A838" s="194" t="n">
        <v>45930</v>
      </c>
      <c r="B838" s="195" t="inlineStr">
        <is>
          <t>Amazon CA</t>
        </is>
      </c>
      <c r="C838" s="195" t="inlineStr">
        <is>
          <t>Advertising cost</t>
        </is>
      </c>
      <c r="D838" s="195" t="inlineStr">
        <is>
          <t>Sponsored Display</t>
        </is>
      </c>
      <c r="E838" s="198" t="n">
        <v>0</v>
      </c>
      <c r="F838" s="201" t="n">
        <v>0</v>
      </c>
      <c r="H838" s="198" t="n">
        <v>0</v>
      </c>
      <c r="J838" s="200" t="inlineStr">
        <is>
          <t>Sep</t>
        </is>
      </c>
      <c r="K838" s="199" t="n">
        <v>2025</v>
      </c>
      <c r="L838" s="199" t="n">
        <v>2025</v>
      </c>
    </row>
    <row r="839" ht="15" customHeight="1" s="104">
      <c r="A839" s="194" t="n">
        <v>45930</v>
      </c>
      <c r="B839" s="195" t="inlineStr">
        <is>
          <t>Amazon CA</t>
        </is>
      </c>
      <c r="C839" s="195" t="inlineStr">
        <is>
          <t>Advertising cost</t>
        </is>
      </c>
      <c r="D839" s="195" t="inlineStr">
        <is>
          <t>Sponsored Brands</t>
        </is>
      </c>
      <c r="E839" s="198" t="n">
        <v>0</v>
      </c>
      <c r="F839" s="201" t="n">
        <v>0</v>
      </c>
      <c r="H839" s="198" t="n">
        <v>0</v>
      </c>
      <c r="J839" s="200" t="inlineStr">
        <is>
          <t>Sep</t>
        </is>
      </c>
      <c r="K839" s="199" t="n">
        <v>2025</v>
      </c>
      <c r="L839" s="199" t="n">
        <v>2025</v>
      </c>
    </row>
    <row r="840" ht="15" customHeight="1" s="104">
      <c r="A840" s="194" t="n">
        <v>45930</v>
      </c>
      <c r="B840" s="195" t="inlineStr">
        <is>
          <t>Amazon CA</t>
        </is>
      </c>
      <c r="C840" s="195" t="inlineStr">
        <is>
          <t>Refund cost</t>
        </is>
      </c>
      <c r="D840" s="195" t="inlineStr">
        <is>
          <t>Refunded amount</t>
        </is>
      </c>
      <c r="E840" s="196" t="n">
        <v>-1637.24</v>
      </c>
      <c r="F840" s="204" t="n">
        <v>-0.1665934048</v>
      </c>
      <c r="H840" s="196" t="n">
        <v>-1637.24</v>
      </c>
      <c r="J840" s="200" t="inlineStr">
        <is>
          <t>Sep</t>
        </is>
      </c>
      <c r="K840" s="199" t="n">
        <v>2025</v>
      </c>
      <c r="L840" s="199" t="n">
        <v>2025</v>
      </c>
    </row>
    <row r="841" ht="15" customHeight="1" s="104">
      <c r="A841" s="194" t="n">
        <v>45930</v>
      </c>
      <c r="B841" s="195" t="inlineStr">
        <is>
          <t>Amazon CA</t>
        </is>
      </c>
      <c r="C841" s="195" t="inlineStr">
        <is>
          <t>Refund cost</t>
        </is>
      </c>
      <c r="D841" s="195" t="inlineStr">
        <is>
          <t>Refund commission</t>
        </is>
      </c>
      <c r="E841" s="196" t="n">
        <v>-49.12</v>
      </c>
      <c r="F841" s="204" t="n">
        <v>-0.004998087051</v>
      </c>
      <c r="H841" s="196" t="n">
        <v>-49.12</v>
      </c>
      <c r="J841" s="200" t="inlineStr">
        <is>
          <t>Sep</t>
        </is>
      </c>
      <c r="K841" s="199" t="n">
        <v>2025</v>
      </c>
      <c r="L841" s="199" t="n">
        <v>2025</v>
      </c>
    </row>
    <row r="842" ht="15" customHeight="1" s="104">
      <c r="A842" s="194" t="n">
        <v>45930</v>
      </c>
      <c r="B842" s="195" t="inlineStr">
        <is>
          <t>Amazon CA</t>
        </is>
      </c>
      <c r="C842" s="195" t="inlineStr">
        <is>
          <t>Refund cost</t>
        </is>
      </c>
      <c r="D842" s="195" t="inlineStr">
        <is>
          <t>Refunded referral fee</t>
        </is>
      </c>
      <c r="E842" s="196" t="n">
        <v>245.6</v>
      </c>
      <c r="F842" s="204" t="n">
        <v>0.02499043526</v>
      </c>
      <c r="H842" s="196" t="n">
        <v>245.6</v>
      </c>
      <c r="J842" s="200" t="inlineStr">
        <is>
          <t>Sep</t>
        </is>
      </c>
      <c r="K842" s="199" t="n">
        <v>2025</v>
      </c>
      <c r="L842" s="199" t="n">
        <v>2025</v>
      </c>
    </row>
    <row r="843" ht="15" customHeight="1" s="104">
      <c r="A843" s="194" t="n">
        <v>45930</v>
      </c>
      <c r="B843" s="195" t="inlineStr">
        <is>
          <t>Amazon CA</t>
        </is>
      </c>
      <c r="C843" s="195" t="inlineStr">
        <is>
          <t>Refund cost</t>
        </is>
      </c>
      <c r="D843" s="195" t="inlineStr">
        <is>
          <t>Value of returned items</t>
        </is>
      </c>
      <c r="E843" s="196" t="n">
        <v>157.64</v>
      </c>
      <c r="F843" s="204" t="n">
        <v>0.01604027774</v>
      </c>
      <c r="H843" s="196" t="n">
        <v>157.64</v>
      </c>
      <c r="J843" s="200" t="inlineStr">
        <is>
          <t>Sep</t>
        </is>
      </c>
      <c r="K843" s="199" t="n">
        <v>2025</v>
      </c>
      <c r="L843" s="199" t="n">
        <v>2025</v>
      </c>
    </row>
    <row r="844" ht="15" customHeight="1" s="104">
      <c r="A844" s="194" t="n">
        <v>45930</v>
      </c>
      <c r="B844" s="195" t="inlineStr">
        <is>
          <t>Amazon CA</t>
        </is>
      </c>
      <c r="C844" s="195" t="inlineStr">
        <is>
          <t>Amazon fees</t>
        </is>
      </c>
      <c r="D844" s="195" t="inlineStr">
        <is>
          <t>FBA per unit fulfilment fee</t>
        </is>
      </c>
      <c r="E844" s="196" t="n">
        <v>-1822.07</v>
      </c>
      <c r="F844" s="204" t="n">
        <v>-0.1854003354</v>
      </c>
      <c r="H844" s="196" t="n">
        <v>-1822.07</v>
      </c>
      <c r="J844" s="200" t="inlineStr">
        <is>
          <t>Sep</t>
        </is>
      </c>
      <c r="K844" s="199" t="n">
        <v>2025</v>
      </c>
      <c r="L844" s="199" t="n">
        <v>2025</v>
      </c>
    </row>
    <row r="845" ht="15" customHeight="1" s="104">
      <c r="A845" s="194" t="n">
        <v>45930</v>
      </c>
      <c r="B845" s="195" t="inlineStr">
        <is>
          <t>Amazon CA</t>
        </is>
      </c>
      <c r="C845" s="195" t="inlineStr">
        <is>
          <t>Amazon fees</t>
        </is>
      </c>
      <c r="D845" s="195" t="inlineStr">
        <is>
          <t>Referral fee</t>
        </is>
      </c>
      <c r="E845" s="196" t="n">
        <v>-1471</v>
      </c>
      <c r="F845" s="204" t="n">
        <v>-0.1496780548</v>
      </c>
      <c r="H845" s="196" t="n">
        <v>-1471</v>
      </c>
      <c r="J845" s="200" t="inlineStr">
        <is>
          <t>Sep</t>
        </is>
      </c>
      <c r="K845" s="199" t="n">
        <v>2025</v>
      </c>
      <c r="L845" s="199" t="n">
        <v>2025</v>
      </c>
    </row>
    <row r="846" ht="15" customHeight="1" s="104">
      <c r="A846" s="194" t="n">
        <v>45930</v>
      </c>
      <c r="B846" s="195" t="inlineStr">
        <is>
          <t>Amazon CA</t>
        </is>
      </c>
      <c r="C846" s="195" t="inlineStr">
        <is>
          <t>Amazon fees</t>
        </is>
      </c>
      <c r="D846" s="195" t="inlineStr">
        <is>
          <t>FBA storage fee</t>
        </is>
      </c>
      <c r="E846" s="196" t="n">
        <v>-262.28</v>
      </c>
      <c r="F846" s="204" t="n">
        <v>-0.0266876684</v>
      </c>
      <c r="H846" s="196" t="n">
        <v>-262.28</v>
      </c>
      <c r="J846" s="200" t="inlineStr">
        <is>
          <t>Sep</t>
        </is>
      </c>
      <c r="K846" s="199" t="n">
        <v>2025</v>
      </c>
      <c r="L846" s="199" t="n">
        <v>2025</v>
      </c>
    </row>
    <row r="847" ht="15" customHeight="1" s="104">
      <c r="A847" s="194" t="n">
        <v>45930</v>
      </c>
      <c r="B847" s="195" t="inlineStr">
        <is>
          <t>Amazon CA</t>
        </is>
      </c>
      <c r="C847" s="195" t="inlineStr">
        <is>
          <t>Amazon fees</t>
        </is>
      </c>
      <c r="D847" s="195" t="inlineStr">
        <is>
          <t>Digital services fee</t>
        </is>
      </c>
      <c r="F847" s="201" t="n">
        <v>0</v>
      </c>
      <c r="J847" s="200" t="inlineStr">
        <is>
          <t>Sep</t>
        </is>
      </c>
      <c r="K847" s="199" t="n">
        <v>2025</v>
      </c>
      <c r="L847" s="199" t="n">
        <v>2025</v>
      </c>
    </row>
    <row r="848" ht="15" customHeight="1" s="104">
      <c r="A848" s="194" t="n">
        <v>45930</v>
      </c>
      <c r="B848" s="195" t="inlineStr">
        <is>
          <t>Amazon CA</t>
        </is>
      </c>
      <c r="C848" s="195" t="inlineStr">
        <is>
          <t>Amazon fees</t>
        </is>
      </c>
      <c r="D848" s="195" t="inlineStr">
        <is>
          <t>Long term storage fee</t>
        </is>
      </c>
      <c r="E848" s="196" t="n">
        <v>-107.98</v>
      </c>
      <c r="F848" s="204" t="n">
        <v>-0.0109872443</v>
      </c>
      <c r="H848" s="196" t="n">
        <v>-107.98</v>
      </c>
      <c r="J848" s="200" t="inlineStr">
        <is>
          <t>Sep</t>
        </is>
      </c>
      <c r="K848" s="199" t="n">
        <v>2025</v>
      </c>
      <c r="L848" s="199" t="n">
        <v>2025</v>
      </c>
    </row>
    <row r="849" ht="15" customHeight="1" s="104">
      <c r="A849" s="194" t="n">
        <v>45930</v>
      </c>
      <c r="B849" s="195" t="inlineStr">
        <is>
          <t>Amazon CA</t>
        </is>
      </c>
      <c r="C849" s="195" t="inlineStr">
        <is>
          <t>Amazon fees</t>
        </is>
      </c>
      <c r="D849" s="195" t="inlineStr">
        <is>
          <t>Reversal reimbursement</t>
        </is>
      </c>
      <c r="E849" s="196" t="n">
        <v>57.18</v>
      </c>
      <c r="F849" s="204" t="n">
        <v>0.005818212899</v>
      </c>
      <c r="H849" s="196" t="n">
        <v>57.18</v>
      </c>
      <c r="J849" s="200" t="inlineStr">
        <is>
          <t>Sep</t>
        </is>
      </c>
      <c r="K849" s="199" t="n">
        <v>2025</v>
      </c>
      <c r="L849" s="199" t="n">
        <v>2025</v>
      </c>
    </row>
    <row r="850" ht="15" customHeight="1" s="104">
      <c r="A850" s="194" t="n">
        <v>45930</v>
      </c>
      <c r="B850" s="195" t="inlineStr">
        <is>
          <t>Amazon CA</t>
        </is>
      </c>
      <c r="C850" s="195" t="inlineStr">
        <is>
          <t>Cost of goods</t>
        </is>
      </c>
      <c r="D850" s="195" t="inlineStr">
        <is>
          <t>Cost of goods sold</t>
        </is>
      </c>
      <c r="E850" s="196" t="n">
        <v>-2605.71</v>
      </c>
      <c r="F850" s="204" t="n">
        <v>-0.2651377323</v>
      </c>
      <c r="H850" s="196" t="n">
        <v>-2605.71</v>
      </c>
      <c r="J850" s="200" t="inlineStr">
        <is>
          <t>Sep</t>
        </is>
      </c>
      <c r="K850" s="199" t="n">
        <v>2025</v>
      </c>
      <c r="L850" s="199" t="n">
        <v>2025</v>
      </c>
    </row>
    <row r="851" ht="15" customHeight="1" s="104">
      <c r="A851" s="194" t="n">
        <v>45930</v>
      </c>
      <c r="B851" s="195" t="inlineStr">
        <is>
          <t>Walmart</t>
        </is>
      </c>
      <c r="C851" s="195" t="inlineStr">
        <is>
          <t>Advertising cost</t>
        </is>
      </c>
      <c r="D851" s="195" t="inlineStr">
        <is>
          <t>Advertising Cost</t>
        </is>
      </c>
      <c r="E851" s="196" t="n">
        <v>-51.04</v>
      </c>
      <c r="F851" s="204" t="n">
        <v>-0.02404190376</v>
      </c>
      <c r="H851" s="196" t="n">
        <v>-51.04</v>
      </c>
      <c r="J851" s="200" t="inlineStr">
        <is>
          <t>Sep</t>
        </is>
      </c>
      <c r="K851" s="199" t="n">
        <v>2025</v>
      </c>
      <c r="L851" s="199" t="n">
        <v>2025</v>
      </c>
    </row>
    <row r="852" ht="15" customHeight="1" s="104">
      <c r="A852" s="194" t="n">
        <v>45930</v>
      </c>
      <c r="B852" s="195" t="inlineStr">
        <is>
          <t>Walmart</t>
        </is>
      </c>
      <c r="C852" s="195" t="inlineStr">
        <is>
          <t>Shipping Cost</t>
        </is>
      </c>
      <c r="D852" s="195" t="inlineStr">
        <is>
          <t>WFS Fulfillment fee</t>
        </is>
      </c>
      <c r="E852" s="196" t="n">
        <v>-225.8</v>
      </c>
      <c r="F852" s="204" t="n">
        <v>-0.10636093</v>
      </c>
      <c r="H852" s="196" t="n">
        <v>-225.8</v>
      </c>
      <c r="J852" s="200" t="inlineStr">
        <is>
          <t>Sep</t>
        </is>
      </c>
      <c r="K852" s="199" t="n">
        <v>2025</v>
      </c>
      <c r="L852" s="199" t="n">
        <v>2025</v>
      </c>
    </row>
    <row r="853" ht="15" customHeight="1" s="104">
      <c r="A853" s="194" t="n">
        <v>45930</v>
      </c>
      <c r="B853" s="195" t="inlineStr">
        <is>
          <t>Walmart</t>
        </is>
      </c>
      <c r="C853" s="195" t="inlineStr">
        <is>
          <t>Shipping Cost</t>
        </is>
      </c>
      <c r="D853" s="195" t="inlineStr">
        <is>
          <t>WFS Shipping Reversal fee</t>
        </is>
      </c>
      <c r="E853" s="196" t="n">
        <v>-13.98</v>
      </c>
      <c r="F853" s="204" t="n">
        <v>-0.006585145269</v>
      </c>
      <c r="H853" s="196" t="n">
        <v>-13.98</v>
      </c>
      <c r="J853" s="200" t="inlineStr">
        <is>
          <t>Sep</t>
        </is>
      </c>
      <c r="K853" s="199" t="n">
        <v>2025</v>
      </c>
      <c r="L853" s="199" t="n">
        <v>2025</v>
      </c>
    </row>
    <row r="854" ht="15" customHeight="1" s="104">
      <c r="A854" s="194" t="n">
        <v>45930</v>
      </c>
      <c r="B854" s="195" t="inlineStr">
        <is>
          <t>Walmart</t>
        </is>
      </c>
      <c r="C854" s="195" t="inlineStr">
        <is>
          <t>Fees</t>
        </is>
      </c>
      <c r="D854" s="195" t="inlineStr">
        <is>
          <t>Commission on product</t>
        </is>
      </c>
      <c r="E854" s="196" t="n">
        <v>-338.58</v>
      </c>
      <c r="F854" s="204" t="n">
        <v>-0.1594848702</v>
      </c>
      <c r="H854" s="196" t="n">
        <v>-338.58</v>
      </c>
      <c r="J854" s="200" t="inlineStr">
        <is>
          <t>Sep</t>
        </is>
      </c>
      <c r="K854" s="199" t="n">
        <v>2025</v>
      </c>
      <c r="L854" s="199" t="n">
        <v>2025</v>
      </c>
    </row>
    <row r="855" ht="15" customHeight="1" s="104">
      <c r="A855" s="194" t="n">
        <v>45930</v>
      </c>
      <c r="B855" s="195" t="inlineStr">
        <is>
          <t>Walmart</t>
        </is>
      </c>
      <c r="C855" s="195" t="inlineStr">
        <is>
          <t>Fees</t>
        </is>
      </c>
      <c r="D855" s="195" t="inlineStr">
        <is>
          <t>Storage fee</t>
        </is>
      </c>
      <c r="E855" s="196" t="n">
        <v>-63.02</v>
      </c>
      <c r="F855" s="204" t="n">
        <v>-0.02968496816</v>
      </c>
      <c r="H855" s="196" t="n">
        <v>-63.02</v>
      </c>
      <c r="J855" s="200" t="inlineStr">
        <is>
          <t>Sep</t>
        </is>
      </c>
      <c r="K855" s="199" t="n">
        <v>2025</v>
      </c>
      <c r="L855" s="199" t="n">
        <v>2025</v>
      </c>
    </row>
    <row r="856" ht="15" customHeight="1" s="104">
      <c r="A856" s="194" t="n">
        <v>45930</v>
      </c>
      <c r="B856" s="195" t="inlineStr">
        <is>
          <t>Walmart</t>
        </is>
      </c>
      <c r="C856" s="195" t="inlineStr">
        <is>
          <t>Fees</t>
        </is>
      </c>
      <c r="D856" s="195" t="inlineStr">
        <is>
          <t>Refund product tax</t>
        </is>
      </c>
      <c r="E856" s="196" t="n">
        <v>-1.8</v>
      </c>
      <c r="F856" s="204" t="n">
        <v>-0.0008478727814</v>
      </c>
      <c r="H856" s="196" t="n">
        <v>-1.8</v>
      </c>
      <c r="J856" s="200" t="inlineStr">
        <is>
          <t>Sep</t>
        </is>
      </c>
      <c r="K856" s="199" t="n">
        <v>2025</v>
      </c>
      <c r="L856" s="199" t="n">
        <v>2025</v>
      </c>
    </row>
    <row r="857" ht="15" customHeight="1" s="104">
      <c r="A857" s="194" t="n">
        <v>45930</v>
      </c>
      <c r="B857" s="195" t="inlineStr">
        <is>
          <t>Walmart</t>
        </is>
      </c>
      <c r="C857" s="195" t="inlineStr">
        <is>
          <t>Fees</t>
        </is>
      </c>
      <c r="D857" s="195" t="inlineStr">
        <is>
          <t>Refund commission on product</t>
        </is>
      </c>
      <c r="E857" s="196" t="n">
        <v>3</v>
      </c>
      <c r="F857" s="204" t="n">
        <v>0.001413121302</v>
      </c>
      <c r="H857" s="196" t="n">
        <v>3</v>
      </c>
      <c r="J857" s="200" t="inlineStr">
        <is>
          <t>Sep</t>
        </is>
      </c>
      <c r="K857" s="199" t="n">
        <v>2025</v>
      </c>
      <c r="L857" s="199" t="n">
        <v>2025</v>
      </c>
    </row>
    <row r="858" ht="15" customHeight="1" s="104">
      <c r="A858" s="194" t="n">
        <v>45930</v>
      </c>
      <c r="B858" s="195" t="inlineStr">
        <is>
          <t>Walmart</t>
        </is>
      </c>
      <c r="C858" s="195" t="inlineStr">
        <is>
          <t>Fees</t>
        </is>
      </c>
      <c r="D858" s="195" t="inlineStr">
        <is>
          <t>Total Walmart funded savings</t>
        </is>
      </c>
      <c r="E858" s="196" t="n">
        <v>5</v>
      </c>
      <c r="F858" s="204" t="n">
        <v>0.002355202171</v>
      </c>
      <c r="H858" s="196" t="n">
        <v>5</v>
      </c>
      <c r="J858" s="200" t="inlineStr">
        <is>
          <t>Sep</t>
        </is>
      </c>
      <c r="K858" s="199" t="n">
        <v>2025</v>
      </c>
      <c r="L858" s="199" t="n">
        <v>2025</v>
      </c>
    </row>
    <row r="859" ht="15" customHeight="1" s="104">
      <c r="A859" s="194" t="n">
        <v>45930</v>
      </c>
      <c r="B859" s="195" t="inlineStr">
        <is>
          <t>Walmart</t>
        </is>
      </c>
      <c r="C859" s="195" t="inlineStr">
        <is>
          <t>Fees</t>
        </is>
      </c>
      <c r="D859" s="195" t="inlineStr">
        <is>
          <t>Lost inventory</t>
        </is>
      </c>
      <c r="E859" s="196" t="n">
        <v>55.28</v>
      </c>
      <c r="F859" s="204" t="n">
        <v>0.0260391152</v>
      </c>
      <c r="H859" s="196" t="n">
        <v>55.28</v>
      </c>
      <c r="J859" s="200" t="inlineStr">
        <is>
          <t>Sep</t>
        </is>
      </c>
      <c r="K859" s="199" t="n">
        <v>2025</v>
      </c>
      <c r="L859" s="199" t="n">
        <v>2025</v>
      </c>
    </row>
    <row r="860" ht="15" customHeight="1" s="104">
      <c r="A860" s="194" t="n">
        <v>45930</v>
      </c>
      <c r="B860" s="195" t="inlineStr">
        <is>
          <t>Walmart</t>
        </is>
      </c>
      <c r="C860" s="195" t="inlineStr">
        <is>
          <t>Fees</t>
        </is>
      </c>
      <c r="D860" s="195" t="inlineStr">
        <is>
          <t>RC inventory disposal fee</t>
        </is>
      </c>
      <c r="E860" s="198" t="n">
        <v>0</v>
      </c>
      <c r="F860" s="201" t="n">
        <v>0</v>
      </c>
      <c r="H860" s="198" t="n">
        <v>0</v>
      </c>
      <c r="J860" s="200" t="inlineStr">
        <is>
          <t>Sep</t>
        </is>
      </c>
      <c r="K860" s="199" t="n">
        <v>2025</v>
      </c>
      <c r="L860" s="199" t="n">
        <v>2025</v>
      </c>
    </row>
    <row r="861" ht="15" customHeight="1" s="104">
      <c r="A861" s="194" t="n">
        <v>45930</v>
      </c>
      <c r="B861" s="195" t="inlineStr">
        <is>
          <t>Walmart</t>
        </is>
      </c>
      <c r="C861" s="195" t="inlineStr">
        <is>
          <t>Cost of goods</t>
        </is>
      </c>
      <c r="D861" s="195" t="inlineStr">
        <is>
          <t>Cost of goods sold</t>
        </is>
      </c>
      <c r="E861" s="196" t="n">
        <v>-669.5</v>
      </c>
      <c r="F861" s="204" t="n">
        <v>-0.3153615706</v>
      </c>
      <c r="H861" s="196" t="n">
        <v>-669.5</v>
      </c>
      <c r="J861" s="200" t="inlineStr">
        <is>
          <t>Sep</t>
        </is>
      </c>
      <c r="K861" s="199" t="n">
        <v>2025</v>
      </c>
      <c r="L861" s="199" t="n">
        <v>2025</v>
      </c>
    </row>
    <row r="862" ht="15" customHeight="1" s="104">
      <c r="A862" s="194" t="n">
        <v>45930</v>
      </c>
      <c r="B862" s="195" t="inlineStr">
        <is>
          <t>Walmart</t>
        </is>
      </c>
      <c r="C862" s="195" t="inlineStr">
        <is>
          <t>Cost of goods</t>
        </is>
      </c>
      <c r="D862" s="195" t="inlineStr">
        <is>
          <t>Value of returned items</t>
        </is>
      </c>
      <c r="E862" s="196" t="n">
        <v>31.5</v>
      </c>
      <c r="F862" s="204" t="n">
        <v>0.01483777367</v>
      </c>
      <c r="H862" s="196" t="n">
        <v>31.5</v>
      </c>
      <c r="J862" s="200" t="inlineStr">
        <is>
          <t>Sep</t>
        </is>
      </c>
      <c r="K862" s="199" t="n">
        <v>2025</v>
      </c>
      <c r="L862" s="199" t="n">
        <v>2025</v>
      </c>
    </row>
    <row r="863" ht="15" customHeight="1" s="104">
      <c r="A863" s="194" t="n">
        <v>45930</v>
      </c>
      <c r="B863" s="195" t="inlineStr">
        <is>
          <t>Tiktok</t>
        </is>
      </c>
      <c r="C863" s="195" t="inlineStr">
        <is>
          <t>Tiktok Shipping</t>
        </is>
      </c>
      <c r="D863" s="195" t="inlineStr">
        <is>
          <t>TikTok Shop shipping fee</t>
        </is>
      </c>
      <c r="E863" s="198" t="n">
        <v>0</v>
      </c>
      <c r="F863" s="201" t="n">
        <v>0</v>
      </c>
      <c r="H863" s="198" t="n">
        <v>0</v>
      </c>
      <c r="J863" s="200" t="inlineStr">
        <is>
          <t>Sep</t>
        </is>
      </c>
      <c r="K863" s="199" t="n">
        <v>2025</v>
      </c>
      <c r="L863" s="199" t="n">
        <v>2025</v>
      </c>
    </row>
    <row r="864" ht="15" customHeight="1" s="104">
      <c r="A864" s="194" t="n">
        <v>45930</v>
      </c>
      <c r="B864" s="195" t="inlineStr">
        <is>
          <t>Tiktok</t>
        </is>
      </c>
      <c r="C864" s="195" t="inlineStr">
        <is>
          <t>Tiktok Shipping</t>
        </is>
      </c>
      <c r="D864" s="195" t="inlineStr">
        <is>
          <t>Fulfilled by TikTok Shop (FBT) shipping fee</t>
        </is>
      </c>
      <c r="E864" s="198" t="n">
        <v>0</v>
      </c>
      <c r="F864" s="201" t="n">
        <v>0</v>
      </c>
      <c r="H864" s="198" t="n">
        <v>0</v>
      </c>
      <c r="J864" s="200" t="inlineStr">
        <is>
          <t>Sep</t>
        </is>
      </c>
      <c r="K864" s="199" t="n">
        <v>2025</v>
      </c>
      <c r="L864" s="199" t="n">
        <v>2025</v>
      </c>
    </row>
    <row r="865" ht="15" customHeight="1" s="104">
      <c r="A865" s="194" t="n">
        <v>45930</v>
      </c>
      <c r="B865" s="195" t="inlineStr">
        <is>
          <t>Tiktok</t>
        </is>
      </c>
      <c r="C865" s="195" t="inlineStr">
        <is>
          <t>Tiktok Shipping</t>
        </is>
      </c>
      <c r="D865" s="195" t="inlineStr">
        <is>
          <t>Signature confirmation service fee</t>
        </is>
      </c>
      <c r="E865" s="198" t="n">
        <v>0</v>
      </c>
      <c r="F865" s="201" t="n">
        <v>0</v>
      </c>
      <c r="H865" s="198" t="n">
        <v>0</v>
      </c>
      <c r="J865" s="200" t="inlineStr">
        <is>
          <t>Sep</t>
        </is>
      </c>
      <c r="K865" s="199" t="n">
        <v>2025</v>
      </c>
      <c r="L865" s="199" t="n">
        <v>2025</v>
      </c>
    </row>
    <row r="866" ht="15" customHeight="1" s="104">
      <c r="A866" s="194" t="n">
        <v>45930</v>
      </c>
      <c r="B866" s="195" t="inlineStr">
        <is>
          <t>Tiktok</t>
        </is>
      </c>
      <c r="C866" s="195" t="inlineStr">
        <is>
          <t>Tiktok Shipping</t>
        </is>
      </c>
      <c r="D866" s="195" t="inlineStr">
        <is>
          <t>Shipping insurance fee</t>
        </is>
      </c>
      <c r="E866" s="198" t="n">
        <v>0</v>
      </c>
      <c r="F866" s="201" t="n">
        <v>0</v>
      </c>
      <c r="H866" s="198" t="n">
        <v>0</v>
      </c>
      <c r="J866" s="200" t="inlineStr">
        <is>
          <t>Sep</t>
        </is>
      </c>
      <c r="K866" s="199" t="n">
        <v>2025</v>
      </c>
      <c r="L866" s="199" t="n">
        <v>2025</v>
      </c>
    </row>
    <row r="867" ht="15" customHeight="1" s="104">
      <c r="A867" s="194" t="n">
        <v>45930</v>
      </c>
      <c r="B867" s="195" t="inlineStr">
        <is>
          <t>Tiktok</t>
        </is>
      </c>
      <c r="C867" s="195" t="inlineStr">
        <is>
          <t>Tiktok Shipping</t>
        </is>
      </c>
      <c r="D867" s="195" t="inlineStr">
        <is>
          <t>Customer-paid shipping fee</t>
        </is>
      </c>
      <c r="E867" s="198" t="n">
        <v>0</v>
      </c>
      <c r="F867" s="201" t="n">
        <v>0</v>
      </c>
      <c r="H867" s="198" t="n">
        <v>0</v>
      </c>
      <c r="J867" s="200" t="inlineStr">
        <is>
          <t>Sep</t>
        </is>
      </c>
      <c r="K867" s="199" t="n">
        <v>2025</v>
      </c>
      <c r="L867" s="199" t="n">
        <v>2025</v>
      </c>
    </row>
    <row r="868" ht="15" customHeight="1" s="104">
      <c r="A868" s="194" t="n">
        <v>45930</v>
      </c>
      <c r="B868" s="195" t="inlineStr">
        <is>
          <t>Tiktok</t>
        </is>
      </c>
      <c r="C868" s="195" t="inlineStr">
        <is>
          <t>Tiktok Shipping</t>
        </is>
      </c>
      <c r="D868" s="195" t="inlineStr">
        <is>
          <t>Customer-paid shipping fee refund</t>
        </is>
      </c>
      <c r="E868" s="198" t="n">
        <v>0</v>
      </c>
      <c r="F868" s="201" t="n">
        <v>0</v>
      </c>
      <c r="H868" s="198" t="n">
        <v>0</v>
      </c>
      <c r="J868" s="200" t="inlineStr">
        <is>
          <t>Sep</t>
        </is>
      </c>
      <c r="K868" s="199" t="n">
        <v>2025</v>
      </c>
      <c r="L868" s="199" t="n">
        <v>2025</v>
      </c>
    </row>
    <row r="869" ht="15" customHeight="1" s="104">
      <c r="A869" s="194" t="n">
        <v>45930</v>
      </c>
      <c r="B869" s="195" t="inlineStr">
        <is>
          <t>Tiktok</t>
        </is>
      </c>
      <c r="C869" s="195" t="inlineStr">
        <is>
          <t>Tiktok Shipping</t>
        </is>
      </c>
      <c r="D869" s="195" t="inlineStr">
        <is>
          <t>TikTok Shop shipping incentive</t>
        </is>
      </c>
      <c r="E869" s="198" t="n">
        <v>0</v>
      </c>
      <c r="F869" s="201" t="n">
        <v>0</v>
      </c>
      <c r="H869" s="198" t="n">
        <v>0</v>
      </c>
      <c r="J869" s="200" t="inlineStr">
        <is>
          <t>Sep</t>
        </is>
      </c>
      <c r="K869" s="199" t="n">
        <v>2025</v>
      </c>
      <c r="L869" s="199" t="n">
        <v>2025</v>
      </c>
    </row>
    <row r="870" ht="15" customHeight="1" s="104">
      <c r="A870" s="194" t="n">
        <v>45930</v>
      </c>
      <c r="B870" s="195" t="inlineStr">
        <is>
          <t>Tiktok</t>
        </is>
      </c>
      <c r="C870" s="195" t="inlineStr">
        <is>
          <t>Tiktok Shipping</t>
        </is>
      </c>
      <c r="D870" s="195" t="inlineStr">
        <is>
          <t>TikTok Shop shipping incentive refund</t>
        </is>
      </c>
      <c r="E870" s="198" t="n">
        <v>0</v>
      </c>
      <c r="F870" s="201" t="n">
        <v>0</v>
      </c>
      <c r="H870" s="198" t="n">
        <v>0</v>
      </c>
      <c r="J870" s="200" t="inlineStr">
        <is>
          <t>Sep</t>
        </is>
      </c>
      <c r="K870" s="199" t="n">
        <v>2025</v>
      </c>
      <c r="L870" s="199" t="n">
        <v>2025</v>
      </c>
    </row>
    <row r="871" ht="15" customHeight="1" s="104">
      <c r="A871" s="194" t="n">
        <v>45930</v>
      </c>
      <c r="B871" s="195" t="inlineStr">
        <is>
          <t>Tiktok</t>
        </is>
      </c>
      <c r="C871" s="195" t="inlineStr">
        <is>
          <t>Tiktok Shipping</t>
        </is>
      </c>
      <c r="D871" s="195" t="inlineStr">
        <is>
          <t>Shipping fee subsidy</t>
        </is>
      </c>
      <c r="E871" s="198" t="n">
        <v>0</v>
      </c>
      <c r="F871" s="201" t="n">
        <v>0</v>
      </c>
      <c r="H871" s="198" t="n">
        <v>0</v>
      </c>
      <c r="J871" s="200" t="inlineStr">
        <is>
          <t>Sep</t>
        </is>
      </c>
      <c r="K871" s="199" t="n">
        <v>2025</v>
      </c>
      <c r="L871" s="199" t="n">
        <v>2025</v>
      </c>
    </row>
    <row r="872" ht="15" customHeight="1" s="104">
      <c r="A872" s="194" t="n">
        <v>45930</v>
      </c>
      <c r="B872" s="195" t="inlineStr">
        <is>
          <t>Tiktok</t>
        </is>
      </c>
      <c r="C872" s="195" t="inlineStr">
        <is>
          <t>Tiktok Shipping</t>
        </is>
      </c>
      <c r="D872" s="195" t="inlineStr">
        <is>
          <t>Return shipping fee</t>
        </is>
      </c>
      <c r="E872" s="196" t="n">
        <v>-14.88</v>
      </c>
      <c r="F872" s="204" t="n">
        <v>-0.005418199031</v>
      </c>
      <c r="H872" s="196" t="n">
        <v>-14.88</v>
      </c>
      <c r="J872" s="200" t="inlineStr">
        <is>
          <t>Sep</t>
        </is>
      </c>
      <c r="K872" s="199" t="n">
        <v>2025</v>
      </c>
      <c r="L872" s="199" t="n">
        <v>2025</v>
      </c>
    </row>
    <row r="873" ht="15" customHeight="1" s="104">
      <c r="A873" s="194" t="n">
        <v>45930</v>
      </c>
      <c r="B873" s="195" t="inlineStr">
        <is>
          <t>Tiktok</t>
        </is>
      </c>
      <c r="C873" s="195" t="inlineStr">
        <is>
          <t>Tiktok Shipping</t>
        </is>
      </c>
      <c r="D873" s="195" t="inlineStr">
        <is>
          <t>FBT fulfillment fee</t>
        </is>
      </c>
      <c r="E873" s="198" t="n">
        <v>0</v>
      </c>
      <c r="F873" s="201" t="n">
        <v>0</v>
      </c>
      <c r="H873" s="198" t="n">
        <v>0</v>
      </c>
      <c r="J873" s="200" t="inlineStr">
        <is>
          <t>Sep</t>
        </is>
      </c>
      <c r="K873" s="199" t="n">
        <v>2025</v>
      </c>
      <c r="L873" s="199" t="n">
        <v>2025</v>
      </c>
    </row>
    <row r="874" ht="15" customHeight="1" s="104">
      <c r="A874" s="194" t="n">
        <v>45930</v>
      </c>
      <c r="B874" s="195" t="inlineStr">
        <is>
          <t>Tiktok</t>
        </is>
      </c>
      <c r="C874" s="195" t="inlineStr">
        <is>
          <t>Tiktok Shipping</t>
        </is>
      </c>
      <c r="D874" s="195" t="inlineStr">
        <is>
          <t>Customer shipping fee offset</t>
        </is>
      </c>
      <c r="E874" s="198" t="n">
        <v>0</v>
      </c>
      <c r="F874" s="201" t="n">
        <v>0</v>
      </c>
      <c r="H874" s="198" t="n">
        <v>0</v>
      </c>
      <c r="J874" s="200" t="inlineStr">
        <is>
          <t>Sep</t>
        </is>
      </c>
      <c r="K874" s="199" t="n">
        <v>2025</v>
      </c>
      <c r="L874" s="199" t="n">
        <v>2025</v>
      </c>
    </row>
    <row r="875" ht="15" customHeight="1" s="104">
      <c r="A875" s="194" t="n">
        <v>45930</v>
      </c>
      <c r="B875" s="195" t="inlineStr">
        <is>
          <t>Tiktok</t>
        </is>
      </c>
      <c r="C875" s="195" t="inlineStr">
        <is>
          <t>Tiktok Shipping</t>
        </is>
      </c>
      <c r="D875" s="195" t="inlineStr">
        <is>
          <t>Co-funded free shipping reimbursement</t>
        </is>
      </c>
      <c r="E875" s="198" t="n">
        <v>0</v>
      </c>
      <c r="F875" s="201" t="n">
        <v>0</v>
      </c>
      <c r="H875" s="198" t="n">
        <v>0</v>
      </c>
      <c r="J875" s="200" t="inlineStr">
        <is>
          <t>Sep</t>
        </is>
      </c>
      <c r="K875" s="199" t="n">
        <v>2025</v>
      </c>
      <c r="L875" s="199" t="n">
        <v>2025</v>
      </c>
    </row>
    <row r="876" ht="15" customHeight="1" s="104">
      <c r="A876" s="194" t="n">
        <v>45930</v>
      </c>
      <c r="B876" s="195" t="inlineStr">
        <is>
          <t>Tiktok</t>
        </is>
      </c>
      <c r="C876" s="195" t="inlineStr">
        <is>
          <t>Tiktok Shipping</t>
        </is>
      </c>
      <c r="D876" s="195" t="inlineStr">
        <is>
          <t>Return shipping fee reimbursement</t>
        </is>
      </c>
      <c r="E876" s="196" t="n">
        <v>5.15</v>
      </c>
      <c r="F876" s="204" t="n">
        <v>0.001875250337</v>
      </c>
      <c r="H876" s="196" t="n">
        <v>5.15</v>
      </c>
      <c r="J876" s="200" t="inlineStr">
        <is>
          <t>Sep</t>
        </is>
      </c>
      <c r="K876" s="199" t="n">
        <v>2025</v>
      </c>
      <c r="L876" s="199" t="n">
        <v>2025</v>
      </c>
    </row>
    <row r="877" ht="15" customHeight="1" s="104">
      <c r="A877" s="194" t="n">
        <v>45930</v>
      </c>
      <c r="B877" s="195" t="inlineStr">
        <is>
          <t>Tiktok</t>
        </is>
      </c>
      <c r="C877" s="195" t="inlineStr">
        <is>
          <t>MCF Shipping fees</t>
        </is>
      </c>
      <c r="D877" s="195" t="inlineStr">
        <is>
          <t>MCF Shipping fees</t>
        </is>
      </c>
      <c r="E877" s="196" t="n">
        <v>-967.29</v>
      </c>
      <c r="F877" s="204" t="n">
        <v>-0.3522157084</v>
      </c>
      <c r="H877" s="196" t="n">
        <v>-967.29</v>
      </c>
      <c r="J877" s="200" t="inlineStr">
        <is>
          <t>Sep</t>
        </is>
      </c>
      <c r="K877" s="199" t="n">
        <v>2025</v>
      </c>
      <c r="L877" s="199" t="n">
        <v>2025</v>
      </c>
    </row>
    <row r="878" ht="15" customHeight="1" s="104">
      <c r="A878" s="194" t="n">
        <v>45930</v>
      </c>
      <c r="B878" s="195" t="inlineStr">
        <is>
          <t>Tiktok</t>
        </is>
      </c>
      <c r="C878" s="195" t="inlineStr">
        <is>
          <t>Fees</t>
        </is>
      </c>
      <c r="D878" s="195" t="inlineStr">
        <is>
          <t>Transaction fee</t>
        </is>
      </c>
      <c r="E878" s="198" t="n">
        <v>0</v>
      </c>
      <c r="F878" s="201" t="n">
        <v>0</v>
      </c>
      <c r="H878" s="198" t="n">
        <v>0</v>
      </c>
      <c r="J878" s="200" t="inlineStr">
        <is>
          <t>Sep</t>
        </is>
      </c>
      <c r="K878" s="199" t="n">
        <v>2025</v>
      </c>
      <c r="L878" s="199" t="n">
        <v>2025</v>
      </c>
    </row>
    <row r="879" ht="15" customHeight="1" s="104">
      <c r="A879" s="194" t="n">
        <v>45930</v>
      </c>
      <c r="B879" s="195" t="inlineStr">
        <is>
          <t>Tiktok</t>
        </is>
      </c>
      <c r="C879" s="195" t="inlineStr">
        <is>
          <t>Fees</t>
        </is>
      </c>
      <c r="D879" s="195" t="inlineStr">
        <is>
          <t>Referral fee</t>
        </is>
      </c>
      <c r="E879" s="196" t="n">
        <v>-164.82</v>
      </c>
      <c r="F879" s="204" t="n">
        <v>-0.0600152933</v>
      </c>
      <c r="H879" s="196" t="n">
        <v>-164.82</v>
      </c>
      <c r="J879" s="200" t="inlineStr">
        <is>
          <t>Sep</t>
        </is>
      </c>
      <c r="K879" s="199" t="n">
        <v>2025</v>
      </c>
      <c r="L879" s="199" t="n">
        <v>2025</v>
      </c>
    </row>
    <row r="880" ht="15" customHeight="1" s="104">
      <c r="A880" s="194" t="n">
        <v>45930</v>
      </c>
      <c r="B880" s="195" t="inlineStr">
        <is>
          <t>Tiktok</t>
        </is>
      </c>
      <c r="C880" s="195" t="inlineStr">
        <is>
          <t>Fees</t>
        </is>
      </c>
      <c r="D880" s="195" t="inlineStr">
        <is>
          <t>Refund administration fee</t>
        </is>
      </c>
      <c r="E880" s="196" t="n">
        <v>-2.6</v>
      </c>
      <c r="F880" s="204" t="n">
        <v>-0.0009467283254</v>
      </c>
      <c r="H880" s="196" t="n">
        <v>-2.6</v>
      </c>
      <c r="J880" s="200" t="inlineStr">
        <is>
          <t>Sep</t>
        </is>
      </c>
      <c r="K880" s="199" t="n">
        <v>2025</v>
      </c>
      <c r="L880" s="199" t="n">
        <v>2025</v>
      </c>
    </row>
    <row r="881" ht="15" customHeight="1" s="104">
      <c r="A881" s="194" t="n">
        <v>45930</v>
      </c>
      <c r="B881" s="195" t="inlineStr">
        <is>
          <t>Tiktok</t>
        </is>
      </c>
      <c r="C881" s="195" t="inlineStr">
        <is>
          <t>Fees</t>
        </is>
      </c>
      <c r="D881" s="195" t="inlineStr">
        <is>
          <t>Affiliate commission</t>
        </is>
      </c>
      <c r="E881" s="196" t="n">
        <v>-184.1</v>
      </c>
      <c r="F881" s="204" t="n">
        <v>-0.06703564796</v>
      </c>
      <c r="H881" s="196" t="n">
        <v>-184.1</v>
      </c>
      <c r="J881" s="200" t="inlineStr">
        <is>
          <t>Sep</t>
        </is>
      </c>
      <c r="K881" s="199" t="n">
        <v>2025</v>
      </c>
      <c r="L881" s="199" t="n">
        <v>2025</v>
      </c>
    </row>
    <row r="882" ht="15" customHeight="1" s="104">
      <c r="A882" s="194" t="n">
        <v>45930</v>
      </c>
      <c r="B882" s="195" t="inlineStr">
        <is>
          <t>Tiktok</t>
        </is>
      </c>
      <c r="C882" s="195" t="inlineStr">
        <is>
          <t>Fees</t>
        </is>
      </c>
      <c r="D882" s="195" t="inlineStr">
        <is>
          <t>Affiliate partner commission</t>
        </is>
      </c>
      <c r="E882" s="198" t="n">
        <v>0</v>
      </c>
      <c r="F882" s="201" t="n">
        <v>0</v>
      </c>
      <c r="H882" s="198" t="n">
        <v>0</v>
      </c>
      <c r="J882" s="200" t="inlineStr">
        <is>
          <t>Sep</t>
        </is>
      </c>
      <c r="K882" s="199" t="n">
        <v>2025</v>
      </c>
      <c r="L882" s="199" t="n">
        <v>2025</v>
      </c>
    </row>
    <row r="883" ht="15" customHeight="1" s="104">
      <c r="A883" s="194" t="n">
        <v>45930</v>
      </c>
      <c r="B883" s="195" t="inlineStr">
        <is>
          <t>Tiktok</t>
        </is>
      </c>
      <c r="C883" s="195" t="inlineStr">
        <is>
          <t>Fees</t>
        </is>
      </c>
      <c r="D883" s="195" t="inlineStr">
        <is>
          <t>Affiliate Shop Ads commission</t>
        </is>
      </c>
      <c r="E883" s="196" t="n">
        <v>-3.5</v>
      </c>
      <c r="F883" s="204" t="n">
        <v>-0.001274441976</v>
      </c>
      <c r="H883" s="196" t="n">
        <v>-3.5</v>
      </c>
      <c r="J883" s="200" t="inlineStr">
        <is>
          <t>Sep</t>
        </is>
      </c>
      <c r="K883" s="199" t="n">
        <v>2025</v>
      </c>
      <c r="L883" s="199" t="n">
        <v>2025</v>
      </c>
    </row>
    <row r="884" ht="15" customHeight="1" s="104">
      <c r="A884" s="194" t="n">
        <v>45930</v>
      </c>
      <c r="B884" s="195" t="inlineStr">
        <is>
          <t>Tiktok</t>
        </is>
      </c>
      <c r="C884" s="195" t="inlineStr">
        <is>
          <t>Fees</t>
        </is>
      </c>
      <c r="D884" s="195" t="inlineStr">
        <is>
          <t>Co-funded promotion service fee</t>
        </is>
      </c>
      <c r="E884" s="198" t="n">
        <v>0</v>
      </c>
      <c r="F884" s="201" t="n">
        <v>0</v>
      </c>
      <c r="H884" s="198" t="n">
        <v>0</v>
      </c>
      <c r="J884" s="200" t="inlineStr">
        <is>
          <t>Sep</t>
        </is>
      </c>
      <c r="K884" s="199" t="n">
        <v>2025</v>
      </c>
      <c r="L884" s="199" t="n">
        <v>2025</v>
      </c>
    </row>
    <row r="885" ht="15" customHeight="1" s="104">
      <c r="A885" s="194" t="n">
        <v>45930</v>
      </c>
      <c r="B885" s="195" t="inlineStr">
        <is>
          <t>Tiktok</t>
        </is>
      </c>
      <c r="C885" s="195" t="inlineStr">
        <is>
          <t xml:space="preserve">Adjustments
</t>
        </is>
      </c>
      <c r="D885" s="195" t="inlineStr">
        <is>
          <t>Logistics adjustment</t>
        </is>
      </c>
      <c r="E885" s="198" t="n">
        <v>0</v>
      </c>
      <c r="F885" s="201" t="n">
        <v>0</v>
      </c>
      <c r="H885" s="198" t="n">
        <v>0</v>
      </c>
      <c r="J885" s="200" t="inlineStr">
        <is>
          <t>Sep</t>
        </is>
      </c>
      <c r="K885" s="199" t="n">
        <v>2025</v>
      </c>
      <c r="L885" s="199" t="n">
        <v>2025</v>
      </c>
    </row>
    <row r="886" ht="15" customHeight="1" s="104">
      <c r="A886" s="194" t="n">
        <v>45930</v>
      </c>
      <c r="B886" s="195" t="inlineStr">
        <is>
          <t>Tiktok</t>
        </is>
      </c>
      <c r="C886" s="195" t="inlineStr">
        <is>
          <t xml:space="preserve">Adjustments
</t>
        </is>
      </c>
      <c r="D886" s="195" t="inlineStr">
        <is>
          <t>Logistics reimbursement</t>
        </is>
      </c>
      <c r="E886" s="198" t="n">
        <v>0</v>
      </c>
      <c r="F886" s="201" t="n">
        <v>0</v>
      </c>
      <c r="H886" s="198" t="n">
        <v>0</v>
      </c>
      <c r="J886" s="200" t="inlineStr">
        <is>
          <t>Sep</t>
        </is>
      </c>
      <c r="K886" s="199" t="n">
        <v>2025</v>
      </c>
      <c r="L886" s="199" t="n">
        <v>2025</v>
      </c>
    </row>
    <row r="887" ht="15" customHeight="1" s="104">
      <c r="A887" s="194" t="n">
        <v>45930</v>
      </c>
      <c r="B887" s="195" t="inlineStr">
        <is>
          <t>Tiktok</t>
        </is>
      </c>
      <c r="C887" s="195" t="inlineStr">
        <is>
          <t xml:space="preserve">Adjustments
</t>
        </is>
      </c>
      <c r="D887" s="195" t="inlineStr">
        <is>
          <t>Logistics deduction</t>
        </is>
      </c>
      <c r="E887" s="198" t="n">
        <v>0</v>
      </c>
      <c r="F887" s="201" t="n">
        <v>0</v>
      </c>
      <c r="H887" s="198" t="n">
        <v>0</v>
      </c>
      <c r="J887" s="200" t="inlineStr">
        <is>
          <t>Sep</t>
        </is>
      </c>
      <c r="K887" s="199" t="n">
        <v>2025</v>
      </c>
      <c r="L887" s="199" t="n">
        <v>2025</v>
      </c>
    </row>
    <row r="888" ht="15" customHeight="1" s="104">
      <c r="A888" s="194" t="n">
        <v>45930</v>
      </c>
      <c r="B888" s="195" t="inlineStr">
        <is>
          <t>Tiktok</t>
        </is>
      </c>
      <c r="C888" s="195" t="inlineStr">
        <is>
          <t xml:space="preserve">Adjustments
</t>
        </is>
      </c>
      <c r="D888" s="195" t="inlineStr">
        <is>
          <t>TikTok Shop reimbursement</t>
        </is>
      </c>
      <c r="E888" s="198" t="n">
        <v>0</v>
      </c>
      <c r="F888" s="201" t="n">
        <v>0</v>
      </c>
      <c r="H888" s="198" t="n">
        <v>0</v>
      </c>
      <c r="J888" s="200" t="inlineStr">
        <is>
          <t>Sep</t>
        </is>
      </c>
      <c r="K888" s="199" t="n">
        <v>2025</v>
      </c>
      <c r="L888" s="199" t="n">
        <v>2025</v>
      </c>
    </row>
    <row r="889" ht="15" customHeight="1" s="104">
      <c r="A889" s="194" t="n">
        <v>45930</v>
      </c>
      <c r="B889" s="195" t="inlineStr">
        <is>
          <t>Tiktok</t>
        </is>
      </c>
      <c r="C889" s="195" t="inlineStr">
        <is>
          <t xml:space="preserve">Adjustments
</t>
        </is>
      </c>
      <c r="D889" s="195" t="inlineStr">
        <is>
          <t>Policy violation deduction</t>
        </is>
      </c>
      <c r="E889" s="198" t="n">
        <v>0</v>
      </c>
      <c r="F889" s="201" t="n">
        <v>0</v>
      </c>
      <c r="H889" s="198" t="n">
        <v>0</v>
      </c>
      <c r="J889" s="200" t="inlineStr">
        <is>
          <t>Sep</t>
        </is>
      </c>
      <c r="K889" s="199" t="n">
        <v>2025</v>
      </c>
      <c r="L889" s="199" t="n">
        <v>2025</v>
      </c>
    </row>
    <row r="890" ht="15" customHeight="1" s="104">
      <c r="A890" s="194" t="n">
        <v>45930</v>
      </c>
      <c r="B890" s="195" t="inlineStr">
        <is>
          <t>Tiktok</t>
        </is>
      </c>
      <c r="C890" s="195" t="inlineStr">
        <is>
          <t xml:space="preserve">Adjustments
</t>
        </is>
      </c>
      <c r="D890" s="195" t="inlineStr">
        <is>
          <t>TikTok fees adjustment</t>
        </is>
      </c>
      <c r="E890" s="198" t="n">
        <v>0</v>
      </c>
      <c r="F890" s="201" t="n">
        <v>0</v>
      </c>
      <c r="H890" s="198" t="n">
        <v>0</v>
      </c>
      <c r="J890" s="200" t="inlineStr">
        <is>
          <t>Sep</t>
        </is>
      </c>
      <c r="K890" s="199" t="n">
        <v>2025</v>
      </c>
      <c r="L890" s="199" t="n">
        <v>2025</v>
      </c>
    </row>
    <row r="891" ht="15" customHeight="1" s="104">
      <c r="A891" s="194" t="n">
        <v>45930</v>
      </c>
      <c r="B891" s="195" t="inlineStr">
        <is>
          <t>Tiktok</t>
        </is>
      </c>
      <c r="C891" s="195" t="inlineStr">
        <is>
          <t xml:space="preserve">Adjustments
</t>
        </is>
      </c>
      <c r="D891" s="195" t="inlineStr">
        <is>
          <t>Promotion adjustment</t>
        </is>
      </c>
      <c r="E891" s="198" t="n">
        <v>0</v>
      </c>
      <c r="F891" s="201" t="n">
        <v>0</v>
      </c>
      <c r="H891" s="198" t="n">
        <v>0</v>
      </c>
      <c r="J891" s="200" t="inlineStr">
        <is>
          <t>Sep</t>
        </is>
      </c>
      <c r="K891" s="199" t="n">
        <v>2025</v>
      </c>
      <c r="L891" s="199" t="n">
        <v>2025</v>
      </c>
    </row>
    <row r="892" ht="15" customHeight="1" s="104">
      <c r="A892" s="194" t="n">
        <v>45930</v>
      </c>
      <c r="B892" s="195" t="inlineStr">
        <is>
          <t>Tiktok</t>
        </is>
      </c>
      <c r="C892" s="195" t="inlineStr">
        <is>
          <t xml:space="preserve">Adjustments
</t>
        </is>
      </c>
      <c r="D892" s="195" t="inlineStr">
        <is>
          <t>Adjustment from settlement account</t>
        </is>
      </c>
      <c r="E892" s="198" t="n">
        <v>0</v>
      </c>
      <c r="F892" s="201" t="n">
        <v>0</v>
      </c>
      <c r="H892" s="198" t="n">
        <v>0</v>
      </c>
      <c r="J892" s="200" t="inlineStr">
        <is>
          <t>Sep</t>
        </is>
      </c>
      <c r="K892" s="199" t="n">
        <v>2025</v>
      </c>
      <c r="L892" s="199" t="n">
        <v>2025</v>
      </c>
    </row>
    <row r="893" ht="15" customHeight="1" s="104">
      <c r="A893" s="194" t="n">
        <v>45930</v>
      </c>
      <c r="B893" s="195" t="inlineStr">
        <is>
          <t>Tiktok</t>
        </is>
      </c>
      <c r="C893" s="195" t="inlineStr">
        <is>
          <t xml:space="preserve">Adjustments
</t>
        </is>
      </c>
      <c r="D893" s="195" t="inlineStr">
        <is>
          <t>Chargeback</t>
        </is>
      </c>
      <c r="E893" s="198" t="n">
        <v>0</v>
      </c>
      <c r="F893" s="201" t="n">
        <v>0</v>
      </c>
      <c r="H893" s="198" t="n">
        <v>0</v>
      </c>
      <c r="J893" s="200" t="inlineStr">
        <is>
          <t>Sep</t>
        </is>
      </c>
      <c r="K893" s="199" t="n">
        <v>2025</v>
      </c>
      <c r="L893" s="199" t="n">
        <v>2025</v>
      </c>
    </row>
    <row r="894" ht="15" customHeight="1" s="104">
      <c r="A894" s="194" t="n">
        <v>45930</v>
      </c>
      <c r="B894" s="195" t="inlineStr">
        <is>
          <t>Tiktok</t>
        </is>
      </c>
      <c r="C894" s="195" t="inlineStr">
        <is>
          <t xml:space="preserve">Adjustments
</t>
        </is>
      </c>
      <c r="D894" s="195" t="inlineStr">
        <is>
          <t>Other adjustment</t>
        </is>
      </c>
      <c r="E894" s="198" t="n">
        <v>0</v>
      </c>
      <c r="F894" s="201" t="n">
        <v>0</v>
      </c>
      <c r="H894" s="198" t="n">
        <v>0</v>
      </c>
      <c r="J894" s="200" t="inlineStr">
        <is>
          <t>Sep</t>
        </is>
      </c>
      <c r="K894" s="199" t="n">
        <v>2025</v>
      </c>
      <c r="L894" s="199" t="n">
        <v>2025</v>
      </c>
    </row>
    <row r="895" ht="15" customHeight="1" s="104">
      <c r="A895" s="194" t="n">
        <v>45930</v>
      </c>
      <c r="B895" s="195" t="inlineStr">
        <is>
          <t>Tiktok</t>
        </is>
      </c>
      <c r="C895" s="195" t="inlineStr">
        <is>
          <t xml:space="preserve">Adjustments
</t>
        </is>
      </c>
      <c r="D895" s="195" t="inlineStr">
        <is>
          <t>Top up ads balance using GMV payments</t>
        </is>
      </c>
      <c r="E895" s="198" t="n">
        <v>0</v>
      </c>
      <c r="F895" s="201" t="n">
        <v>0</v>
      </c>
      <c r="H895" s="198" t="n">
        <v>0</v>
      </c>
      <c r="J895" s="200" t="inlineStr">
        <is>
          <t>Sep</t>
        </is>
      </c>
      <c r="K895" s="199" t="n">
        <v>2025</v>
      </c>
      <c r="L895" s="199" t="n">
        <v>2025</v>
      </c>
    </row>
    <row r="896" ht="15" customHeight="1" s="104">
      <c r="A896" s="194" t="n">
        <v>45930</v>
      </c>
      <c r="B896" s="195" t="inlineStr">
        <is>
          <t>Tiktok</t>
        </is>
      </c>
      <c r="C896" s="195" t="inlineStr">
        <is>
          <t xml:space="preserve">Adjustments
</t>
        </is>
      </c>
      <c r="D896" s="195" t="inlineStr">
        <is>
          <t>FBT warehouse service fee</t>
        </is>
      </c>
      <c r="E896" s="196" t="n">
        <v>-2.62</v>
      </c>
      <c r="F896" s="204" t="n">
        <v>-0.000954010851</v>
      </c>
      <c r="H896" s="196" t="n">
        <v>-2.62</v>
      </c>
      <c r="J896" s="200" t="inlineStr">
        <is>
          <t>Sep</t>
        </is>
      </c>
      <c r="K896" s="199" t="n">
        <v>2025</v>
      </c>
      <c r="L896" s="199" t="n">
        <v>2025</v>
      </c>
    </row>
    <row r="897" ht="15" customHeight="1" s="104">
      <c r="A897" s="194" t="n">
        <v>45930</v>
      </c>
      <c r="B897" s="195" t="inlineStr">
        <is>
          <t>Tiktok</t>
        </is>
      </c>
      <c r="C897" s="195" t="inlineStr">
        <is>
          <t xml:space="preserve">Adjustments
</t>
        </is>
      </c>
      <c r="D897" s="195" t="inlineStr">
        <is>
          <t>Co-funded creator activity</t>
        </is>
      </c>
      <c r="E897" s="198" t="n">
        <v>0</v>
      </c>
      <c r="F897" s="201" t="n">
        <v>0</v>
      </c>
      <c r="H897" s="198" t="n">
        <v>0</v>
      </c>
      <c r="J897" s="200" t="inlineStr">
        <is>
          <t>Sep</t>
        </is>
      </c>
      <c r="K897" s="199" t="n">
        <v>2025</v>
      </c>
      <c r="L897" s="199" t="n">
        <v>2025</v>
      </c>
    </row>
    <row r="898" ht="15" customHeight="1" s="104">
      <c r="A898" s="194" t="n">
        <v>45930</v>
      </c>
      <c r="B898" s="195" t="inlineStr">
        <is>
          <t>Tiktok</t>
        </is>
      </c>
      <c r="C898" s="195" t="inlineStr">
        <is>
          <t xml:space="preserve">Adjustments
</t>
        </is>
      </c>
      <c r="D898" s="195" t="inlineStr">
        <is>
          <t>Rebate</t>
        </is>
      </c>
      <c r="E898" s="198" t="n">
        <v>0</v>
      </c>
      <c r="F898" s="201" t="n">
        <v>0</v>
      </c>
      <c r="H898" s="198" t="n">
        <v>0</v>
      </c>
      <c r="J898" s="200" t="inlineStr">
        <is>
          <t>Sep</t>
        </is>
      </c>
      <c r="K898" s="199" t="n">
        <v>2025</v>
      </c>
      <c r="L898" s="199" t="n">
        <v>2025</v>
      </c>
    </row>
    <row r="899" ht="15" customHeight="1" s="104">
      <c r="A899" s="194" t="n">
        <v>45930</v>
      </c>
      <c r="B899" s="195" t="inlineStr">
        <is>
          <t>Tiktok</t>
        </is>
      </c>
      <c r="C899" s="195" t="inlineStr">
        <is>
          <t>Cost of goods</t>
        </is>
      </c>
      <c r="D899" s="195" t="inlineStr">
        <is>
          <t>Cost of goods sold</t>
        </is>
      </c>
      <c r="E899" s="196" t="n">
        <v>-925.14</v>
      </c>
      <c r="F899" s="204" t="n">
        <v>-0.3368677857</v>
      </c>
      <c r="H899" s="196" t="n">
        <v>-925.14</v>
      </c>
      <c r="J899" s="200" t="inlineStr">
        <is>
          <t>Sep</t>
        </is>
      </c>
      <c r="K899" s="199" t="n">
        <v>2025</v>
      </c>
      <c r="L899" s="199" t="n">
        <v>2025</v>
      </c>
    </row>
    <row r="900" ht="15" customHeight="1" s="104">
      <c r="A900" s="194" t="n">
        <v>45930</v>
      </c>
      <c r="B900" s="195" t="inlineStr">
        <is>
          <t>Tiktok</t>
        </is>
      </c>
      <c r="C900" s="195" t="inlineStr">
        <is>
          <t>Advertising cost</t>
        </is>
      </c>
      <c r="D900" s="195" t="inlineStr">
        <is>
          <t>Advertising Cost</t>
        </is>
      </c>
      <c r="E900" s="196" t="n">
        <v>-360.57</v>
      </c>
      <c r="F900" s="204" t="n">
        <v>-0.1312930124</v>
      </c>
      <c r="H900" s="196" t="n">
        <v>-360.57</v>
      </c>
      <c r="J900" s="200" t="inlineStr">
        <is>
          <t>Sep</t>
        </is>
      </c>
      <c r="K900" s="199" t="n">
        <v>2025</v>
      </c>
      <c r="L900" s="199" t="n">
        <v>2025</v>
      </c>
    </row>
    <row r="901" ht="15" customHeight="1" s="104">
      <c r="A901" s="194" t="n">
        <v>45930</v>
      </c>
      <c r="B901" s="195" t="inlineStr">
        <is>
          <t>Shopify</t>
        </is>
      </c>
      <c r="C901" s="195" t="inlineStr">
        <is>
          <t>Payment fees</t>
        </is>
      </c>
      <c r="D901" s="195" t="inlineStr">
        <is>
          <t>Shopify Payments fee</t>
        </is>
      </c>
      <c r="E901" s="196" t="n">
        <v>-374.76</v>
      </c>
      <c r="F901" s="204" t="n">
        <v>-0.03221317288</v>
      </c>
      <c r="H901" s="196" t="n">
        <v>-374.76</v>
      </c>
      <c r="J901" s="200" t="inlineStr">
        <is>
          <t>Sep</t>
        </is>
      </c>
      <c r="K901" s="199" t="n">
        <v>2025</v>
      </c>
      <c r="L901" s="199" t="n">
        <v>2025</v>
      </c>
    </row>
    <row r="902" ht="15" customHeight="1" s="104">
      <c r="A902" s="194" t="n">
        <v>45930</v>
      </c>
      <c r="B902" s="195" t="inlineStr">
        <is>
          <t>Shopify</t>
        </is>
      </c>
      <c r="C902" s="195" t="inlineStr">
        <is>
          <t>Cost of goods</t>
        </is>
      </c>
      <c r="D902" s="195" t="inlineStr">
        <is>
          <t>Cost of goods sold</t>
        </is>
      </c>
      <c r="E902" s="196" t="n">
        <v>-3375.91</v>
      </c>
      <c r="F902" s="204" t="n">
        <v>-0.2901824433</v>
      </c>
      <c r="H902" s="196" t="n">
        <v>-3375.91</v>
      </c>
      <c r="J902" s="200" t="inlineStr">
        <is>
          <t>Sep</t>
        </is>
      </c>
      <c r="K902" s="199" t="n">
        <v>2025</v>
      </c>
      <c r="L902" s="199" t="n">
        <v>2025</v>
      </c>
    </row>
    <row r="903" ht="15" customHeight="1" s="104">
      <c r="A903" s="194" t="n">
        <v>45930</v>
      </c>
      <c r="B903" s="195" t="inlineStr">
        <is>
          <t>Shopify</t>
        </is>
      </c>
      <c r="C903" s="195" t="inlineStr">
        <is>
          <t>Tax</t>
        </is>
      </c>
      <c r="D903" s="195" t="inlineStr">
        <is>
          <t>Texas State Tax</t>
        </is>
      </c>
      <c r="E903" s="196" t="n">
        <v>-71.95</v>
      </c>
      <c r="F903" s="204" t="n">
        <v>-0.006184592242</v>
      </c>
      <c r="H903" s="196" t="n">
        <v>-71.95</v>
      </c>
      <c r="J903" s="200" t="inlineStr">
        <is>
          <t>Sep</t>
        </is>
      </c>
      <c r="K903" s="199" t="n">
        <v>2025</v>
      </c>
      <c r="L903" s="199" t="n">
        <v>2025</v>
      </c>
    </row>
    <row r="904" ht="15" customHeight="1" s="104">
      <c r="A904" s="194" t="n">
        <v>45930</v>
      </c>
      <c r="B904" s="195" t="inlineStr">
        <is>
          <t>Shopify</t>
        </is>
      </c>
      <c r="C904" s="195" t="inlineStr">
        <is>
          <t>Tax</t>
        </is>
      </c>
      <c r="D904" s="195" t="inlineStr">
        <is>
          <t>Georgia State Tax</t>
        </is>
      </c>
      <c r="E904" s="196" t="n">
        <v>-2.64</v>
      </c>
      <c r="F904" s="204" t="n">
        <v>-0.0002269259697</v>
      </c>
      <c r="H904" s="196" t="n">
        <v>-2.64</v>
      </c>
      <c r="J904" s="200" t="inlineStr">
        <is>
          <t>Sep</t>
        </is>
      </c>
      <c r="K904" s="199" t="n">
        <v>2025</v>
      </c>
      <c r="L904" s="199" t="n">
        <v>2025</v>
      </c>
    </row>
    <row r="905" ht="15" customHeight="1" s="104">
      <c r="A905" s="194" t="n">
        <v>45930</v>
      </c>
      <c r="B905" s="195" t="inlineStr">
        <is>
          <t>Shopify</t>
        </is>
      </c>
      <c r="C905" s="195" t="inlineStr">
        <is>
          <t>Tax</t>
        </is>
      </c>
      <c r="D905" s="195" t="inlineStr">
        <is>
          <t>Florida State Tax</t>
        </is>
      </c>
      <c r="E905" s="196" t="n">
        <v>-2.4</v>
      </c>
      <c r="F905" s="204" t="n">
        <v>-0.0002062963361</v>
      </c>
      <c r="H905" s="196" t="n">
        <v>-2.4</v>
      </c>
      <c r="J905" s="200" t="inlineStr">
        <is>
          <t>Sep</t>
        </is>
      </c>
      <c r="K905" s="199" t="n">
        <v>2025</v>
      </c>
      <c r="L905" s="199" t="n">
        <v>2025</v>
      </c>
    </row>
    <row r="906" ht="15" customHeight="1" s="104">
      <c r="A906" s="194" t="n">
        <v>45930</v>
      </c>
      <c r="B906" s="195" t="inlineStr">
        <is>
          <t>Shopify</t>
        </is>
      </c>
      <c r="C906" s="195" t="inlineStr">
        <is>
          <t>Tax</t>
        </is>
      </c>
      <c r="D906" s="195" t="inlineStr">
        <is>
          <t>Dekalb County Tax</t>
        </is>
      </c>
      <c r="E906" s="196" t="n">
        <v>-1.98</v>
      </c>
      <c r="F906" s="204" t="n">
        <v>-0.0001701944773</v>
      </c>
      <c r="H906" s="196" t="n">
        <v>-1.98</v>
      </c>
      <c r="J906" s="200" t="inlineStr">
        <is>
          <t>Sep</t>
        </is>
      </c>
      <c r="K906" s="199" t="n">
        <v>2025</v>
      </c>
      <c r="L906" s="199" t="n">
        <v>2025</v>
      </c>
    </row>
    <row r="907" ht="15" customHeight="1" s="104">
      <c r="A907" s="194" t="n">
        <v>45930</v>
      </c>
      <c r="B907" s="195" t="inlineStr">
        <is>
          <t>Shopify</t>
        </is>
      </c>
      <c r="C907" s="195" t="inlineStr">
        <is>
          <t>Tax</t>
        </is>
      </c>
      <c r="D907" s="195" t="inlineStr">
        <is>
          <t>Dekalb Co Tsplost Sp</t>
        </is>
      </c>
      <c r="E907" s="197" t="n">
        <v>-0.66</v>
      </c>
      <c r="F907" s="204" t="n">
        <v>-5.673149243e-05</v>
      </c>
      <c r="H907" s="197" t="n">
        <v>-0.66</v>
      </c>
      <c r="J907" s="200" t="inlineStr">
        <is>
          <t>Sep</t>
        </is>
      </c>
      <c r="K907" s="199" t="n">
        <v>2025</v>
      </c>
      <c r="L907" s="199" t="n">
        <v>2025</v>
      </c>
    </row>
    <row r="908" ht="15" customHeight="1" s="104">
      <c r="A908" s="194" t="n">
        <v>45930</v>
      </c>
      <c r="B908" s="195" t="inlineStr">
        <is>
          <t>Shopify</t>
        </is>
      </c>
      <c r="C908" s="195" t="inlineStr">
        <is>
          <t>Tax</t>
        </is>
      </c>
      <c r="D908" s="195" t="inlineStr">
        <is>
          <t>Miami Dade County Tax</t>
        </is>
      </c>
      <c r="E908" s="197" t="n">
        <v>-0.4</v>
      </c>
      <c r="F908" s="204" t="n">
        <v>-3.438272268e-05</v>
      </c>
      <c r="H908" s="197" t="n">
        <v>-0.4</v>
      </c>
      <c r="J908" s="200" t="inlineStr">
        <is>
          <t>Sep</t>
        </is>
      </c>
      <c r="K908" s="199" t="n">
        <v>2025</v>
      </c>
      <c r="L908" s="199" t="n">
        <v>2025</v>
      </c>
    </row>
    <row r="909" ht="15" customHeight="1" s="104">
      <c r="A909" s="194" t="n">
        <v>45930</v>
      </c>
      <c r="B909" s="195" t="inlineStr">
        <is>
          <t>Shopify</t>
        </is>
      </c>
      <c r="C909" s="195" t="inlineStr">
        <is>
          <t>Tax</t>
        </is>
      </c>
      <c r="D909" s="195" t="inlineStr">
        <is>
          <t>Galveston City Tax</t>
        </is>
      </c>
      <c r="E909" s="196" t="n">
        <v>-31.78</v>
      </c>
      <c r="F909" s="204" t="n">
        <v>-0.002731707317</v>
      </c>
      <c r="H909" s="196" t="n">
        <v>-31.78</v>
      </c>
      <c r="J909" s="200" t="inlineStr">
        <is>
          <t>Sep</t>
        </is>
      </c>
      <c r="K909" s="199" t="n">
        <v>2025</v>
      </c>
      <c r="L909" s="199" t="n">
        <v>2025</v>
      </c>
    </row>
    <row r="910" ht="15" customHeight="1" s="104">
      <c r="A910" s="194" t="n">
        <v>45930</v>
      </c>
      <c r="B910" s="195" t="inlineStr">
        <is>
          <t>Shopify</t>
        </is>
      </c>
      <c r="C910" s="195" t="inlineStr">
        <is>
          <t>MCF Shipping fees</t>
        </is>
      </c>
      <c r="D910" s="195" t="inlineStr">
        <is>
          <t>MCF Shipping fees</t>
        </is>
      </c>
      <c r="E910" s="196" t="n">
        <v>-3370</v>
      </c>
      <c r="F910" s="204" t="n">
        <v>-0.2896744386</v>
      </c>
      <c r="H910" s="196" t="n">
        <v>-3370</v>
      </c>
      <c r="J910" s="200" t="inlineStr">
        <is>
          <t>Sep</t>
        </is>
      </c>
      <c r="K910" s="199" t="n">
        <v>2025</v>
      </c>
      <c r="L910" s="199" t="n">
        <v>2025</v>
      </c>
    </row>
    <row r="911" ht="15" customHeight="1" s="104">
      <c r="A911" s="194" t="n">
        <v>45930</v>
      </c>
      <c r="B911" s="195" t="inlineStr">
        <is>
          <t>Shopify</t>
        </is>
      </c>
      <c r="C911" s="195" t="inlineStr">
        <is>
          <t>Shipping Cost</t>
        </is>
      </c>
      <c r="D911" s="195" t="inlineStr">
        <is>
          <t>Shipping Cost</t>
        </is>
      </c>
      <c r="E911" s="198" t="n">
        <v>0</v>
      </c>
      <c r="F911" s="201" t="n">
        <v>0</v>
      </c>
      <c r="H911" s="198" t="n">
        <v>0</v>
      </c>
      <c r="J911" s="200" t="inlineStr">
        <is>
          <t>Sep</t>
        </is>
      </c>
      <c r="K911" s="199" t="n">
        <v>2025</v>
      </c>
      <c r="L911" s="199" t="n">
        <v>2025</v>
      </c>
    </row>
    <row r="912" ht="15" customHeight="1" s="104">
      <c r="A912" s="194" t="n">
        <v>45930</v>
      </c>
      <c r="B912" s="195" t="inlineStr">
        <is>
          <t>Shopify</t>
        </is>
      </c>
      <c r="C912" s="195" t="inlineStr">
        <is>
          <t>Advertising cost</t>
        </is>
      </c>
      <c r="D912" s="195" t="inlineStr">
        <is>
          <t>Advertising Cost</t>
        </is>
      </c>
      <c r="E912" s="196" t="n">
        <v>-6894.29</v>
      </c>
      <c r="F912" s="204" t="n">
        <v>-0.5926111529</v>
      </c>
      <c r="H912" s="196" t="n">
        <v>-6894.29</v>
      </c>
      <c r="J912" s="200" t="inlineStr">
        <is>
          <t>Sep</t>
        </is>
      </c>
      <c r="K912" s="199" t="n">
        <v>2025</v>
      </c>
      <c r="L912" s="199" t="n">
        <v>2025</v>
      </c>
    </row>
    <row r="913" ht="15" customHeight="1" s="104">
      <c r="A913" s="194" t="n">
        <v>45961</v>
      </c>
      <c r="B913" s="195" t="inlineStr">
        <is>
          <t>Amazon US</t>
        </is>
      </c>
      <c r="C913" s="195" t="inlineStr">
        <is>
          <t>Advertising cost</t>
        </is>
      </c>
      <c r="D913" s="195" t="inlineStr">
        <is>
          <t>Sponsored Products</t>
        </is>
      </c>
      <c r="E913" s="196" t="n">
        <v>-8074.58</v>
      </c>
      <c r="F913" s="204" t="n">
        <v>-0.0842236822</v>
      </c>
      <c r="H913" s="196" t="n">
        <v>-8074.58</v>
      </c>
      <c r="J913" s="200" t="inlineStr">
        <is>
          <t>Oct</t>
        </is>
      </c>
      <c r="K913" s="199" t="n">
        <v>2025</v>
      </c>
      <c r="L913" s="199" t="n">
        <v>2025</v>
      </c>
    </row>
    <row r="914" ht="15" customHeight="1" s="104">
      <c r="A914" s="194" t="n">
        <v>45961</v>
      </c>
      <c r="B914" s="195" t="inlineStr">
        <is>
          <t>Amazon US</t>
        </is>
      </c>
      <c r="C914" s="195" t="inlineStr">
        <is>
          <t>Advertising cost</t>
        </is>
      </c>
      <c r="D914" s="195" t="inlineStr">
        <is>
          <t>Sponsored Brands Video</t>
        </is>
      </c>
      <c r="E914" s="198" t="n">
        <v>0</v>
      </c>
      <c r="F914" s="201" t="n">
        <v>0</v>
      </c>
      <c r="H914" s="198" t="n">
        <v>0</v>
      </c>
      <c r="J914" s="200" t="inlineStr">
        <is>
          <t>Oct</t>
        </is>
      </c>
      <c r="K914" s="199" t="n">
        <v>2025</v>
      </c>
      <c r="L914" s="199" t="n">
        <v>2025</v>
      </c>
    </row>
    <row r="915" ht="15" customHeight="1" s="104">
      <c r="A915" s="194" t="n">
        <v>45961</v>
      </c>
      <c r="B915" s="195" t="inlineStr">
        <is>
          <t>Amazon US</t>
        </is>
      </c>
      <c r="C915" s="195" t="inlineStr">
        <is>
          <t>Advertising cost</t>
        </is>
      </c>
      <c r="D915" s="195" t="inlineStr">
        <is>
          <t>Sponsored Display</t>
        </is>
      </c>
      <c r="E915" s="198" t="n">
        <v>0</v>
      </c>
      <c r="F915" s="201" t="n">
        <v>0</v>
      </c>
      <c r="H915" s="198" t="n">
        <v>0</v>
      </c>
      <c r="J915" s="200" t="inlineStr">
        <is>
          <t>Oct</t>
        </is>
      </c>
      <c r="K915" s="199" t="n">
        <v>2025</v>
      </c>
      <c r="L915" s="199" t="n">
        <v>2025</v>
      </c>
    </row>
    <row r="916" ht="15" customHeight="1" s="104">
      <c r="A916" s="194" t="n">
        <v>45961</v>
      </c>
      <c r="B916" s="195" t="inlineStr">
        <is>
          <t>Amazon US</t>
        </is>
      </c>
      <c r="C916" s="195" t="inlineStr">
        <is>
          <t>Advertising cost</t>
        </is>
      </c>
      <c r="D916" s="195" t="inlineStr">
        <is>
          <t>Sponsored Brands</t>
        </is>
      </c>
      <c r="E916" s="198" t="n">
        <v>0</v>
      </c>
      <c r="F916" s="201" t="n">
        <v>0</v>
      </c>
      <c r="H916" s="198" t="n">
        <v>0</v>
      </c>
      <c r="J916" s="200" t="inlineStr">
        <is>
          <t>Oct</t>
        </is>
      </c>
      <c r="K916" s="199" t="n">
        <v>2025</v>
      </c>
      <c r="L916" s="199" t="n">
        <v>2025</v>
      </c>
    </row>
    <row r="917" ht="15" customHeight="1" s="104">
      <c r="A917" s="194" t="n">
        <v>45961</v>
      </c>
      <c r="B917" s="195" t="inlineStr">
        <is>
          <t>Amazon US</t>
        </is>
      </c>
      <c r="C917" s="195" t="inlineStr">
        <is>
          <t>Refund cost</t>
        </is>
      </c>
      <c r="D917" s="195" t="inlineStr">
        <is>
          <t>Refunded amount</t>
        </is>
      </c>
      <c r="E917" s="196" t="n">
        <v>-12284.53</v>
      </c>
      <c r="F917" s="204" t="n">
        <v>-0.1281364914</v>
      </c>
      <c r="H917" s="196" t="n">
        <v>-12284.53</v>
      </c>
      <c r="J917" s="200" t="inlineStr">
        <is>
          <t>Oct</t>
        </is>
      </c>
      <c r="K917" s="199" t="n">
        <v>2025</v>
      </c>
      <c r="L917" s="199" t="n">
        <v>2025</v>
      </c>
    </row>
    <row r="918" ht="15" customHeight="1" s="104">
      <c r="A918" s="194" t="n">
        <v>45961</v>
      </c>
      <c r="B918" s="195" t="inlineStr">
        <is>
          <t>Amazon US</t>
        </is>
      </c>
      <c r="C918" s="195" t="inlineStr">
        <is>
          <t>Refund cost</t>
        </is>
      </c>
      <c r="D918" s="195" t="inlineStr">
        <is>
          <t>Refund commission</t>
        </is>
      </c>
      <c r="E918" s="196" t="n">
        <v>-364.46</v>
      </c>
      <c r="F918" s="204" t="n">
        <v>-0.003801580171</v>
      </c>
      <c r="H918" s="196" t="n">
        <v>-364.46</v>
      </c>
      <c r="J918" s="200" t="inlineStr">
        <is>
          <t>Oct</t>
        </is>
      </c>
      <c r="K918" s="199" t="n">
        <v>2025</v>
      </c>
      <c r="L918" s="199" t="n">
        <v>2025</v>
      </c>
    </row>
    <row r="919" ht="15" customHeight="1" s="104">
      <c r="A919" s="194" t="n">
        <v>45961</v>
      </c>
      <c r="B919" s="195" t="inlineStr">
        <is>
          <t>Amazon US</t>
        </is>
      </c>
      <c r="C919" s="195" t="inlineStr">
        <is>
          <t>Refund cost</t>
        </is>
      </c>
      <c r="D919" s="195" t="inlineStr">
        <is>
          <t>Promotion</t>
        </is>
      </c>
      <c r="E919" s="196" t="n">
        <v>50.25</v>
      </c>
      <c r="F919" s="204" t="n">
        <v>0.0005241436744</v>
      </c>
      <c r="H919" s="196" t="n">
        <v>50.25</v>
      </c>
      <c r="J919" s="200" t="inlineStr">
        <is>
          <t>Oct</t>
        </is>
      </c>
      <c r="K919" s="199" t="n">
        <v>2025</v>
      </c>
      <c r="L919" s="199" t="n">
        <v>2025</v>
      </c>
    </row>
    <row r="920" ht="15" customHeight="1" s="104">
      <c r="A920" s="194" t="n">
        <v>45961</v>
      </c>
      <c r="B920" s="195" t="inlineStr">
        <is>
          <t>Amazon US</t>
        </is>
      </c>
      <c r="C920" s="195" t="inlineStr">
        <is>
          <t>Refund cost</t>
        </is>
      </c>
      <c r="D920" s="195" t="inlineStr">
        <is>
          <t>Refunded referral fee</t>
        </is>
      </c>
      <c r="E920" s="196" t="n">
        <v>1835.44</v>
      </c>
      <c r="F920" s="204" t="n">
        <v>0.01914496051</v>
      </c>
      <c r="H920" s="196" t="n">
        <v>1835.44</v>
      </c>
      <c r="J920" s="200" t="inlineStr">
        <is>
          <t>Oct</t>
        </is>
      </c>
      <c r="K920" s="199" t="n">
        <v>2025</v>
      </c>
      <c r="L920" s="199" t="n">
        <v>2025</v>
      </c>
    </row>
    <row r="921" ht="15" customHeight="1" s="104">
      <c r="A921" s="194" t="n">
        <v>45961</v>
      </c>
      <c r="B921" s="195" t="inlineStr">
        <is>
          <t>Amazon US</t>
        </is>
      </c>
      <c r="C921" s="195" t="inlineStr">
        <is>
          <t>Refund cost</t>
        </is>
      </c>
      <c r="D921" s="195" t="inlineStr">
        <is>
          <t>Value of returned items</t>
        </is>
      </c>
      <c r="E921" s="196" t="n">
        <v>1579.19</v>
      </c>
      <c r="F921" s="204" t="n">
        <v>0.01647208854</v>
      </c>
      <c r="H921" s="196" t="n">
        <v>1579.19</v>
      </c>
      <c r="J921" s="200" t="inlineStr">
        <is>
          <t>Oct</t>
        </is>
      </c>
      <c r="K921" s="199" t="n">
        <v>2025</v>
      </c>
      <c r="L921" s="199" t="n">
        <v>2025</v>
      </c>
    </row>
    <row r="922" ht="15" customHeight="1" s="104">
      <c r="A922" s="194" t="n">
        <v>45961</v>
      </c>
      <c r="B922" s="195" t="inlineStr">
        <is>
          <t>Amazon US</t>
        </is>
      </c>
      <c r="C922" s="195" t="inlineStr">
        <is>
          <t>Amazon fees</t>
        </is>
      </c>
      <c r="D922" s="195" t="inlineStr">
        <is>
          <t>FBA per unit fulfilment fee</t>
        </is>
      </c>
      <c r="E922" s="196" t="n">
        <v>-17169.59</v>
      </c>
      <c r="F922" s="204" t="n">
        <v>-0.1790911839</v>
      </c>
      <c r="H922" s="196" t="n">
        <v>-17169.59</v>
      </c>
      <c r="J922" s="200" t="inlineStr">
        <is>
          <t>Oct</t>
        </is>
      </c>
      <c r="K922" s="199" t="n">
        <v>2025</v>
      </c>
      <c r="L922" s="199" t="n">
        <v>2025</v>
      </c>
    </row>
    <row r="923" ht="15" customHeight="1" s="104">
      <c r="A923" s="194" t="n">
        <v>45961</v>
      </c>
      <c r="B923" s="195" t="inlineStr">
        <is>
          <t>Amazon US</t>
        </is>
      </c>
      <c r="C923" s="195" t="inlineStr">
        <is>
          <t>Amazon fees</t>
        </is>
      </c>
      <c r="D923" s="195" t="inlineStr">
        <is>
          <t>Referral fee</t>
        </is>
      </c>
      <c r="E923" s="196" t="n">
        <v>-14262.78</v>
      </c>
      <c r="F923" s="204" t="n">
        <v>-0.148771063</v>
      </c>
      <c r="H923" s="196" t="n">
        <v>-14262.78</v>
      </c>
      <c r="J923" s="200" t="inlineStr">
        <is>
          <t>Oct</t>
        </is>
      </c>
      <c r="K923" s="199" t="n">
        <v>2025</v>
      </c>
      <c r="L923" s="199" t="n">
        <v>2025</v>
      </c>
    </row>
    <row r="924" ht="15" customHeight="1" s="104">
      <c r="A924" s="194" t="n">
        <v>45961</v>
      </c>
      <c r="B924" s="195" t="inlineStr">
        <is>
          <t>Amazon US</t>
        </is>
      </c>
      <c r="C924" s="195" t="inlineStr">
        <is>
          <t>Amazon fees</t>
        </is>
      </c>
      <c r="D924" s="195" t="inlineStr">
        <is>
          <t>FBA storage fee</t>
        </is>
      </c>
      <c r="E924" s="196" t="n">
        <v>-2021.64</v>
      </c>
      <c r="F924" s="204" t="n">
        <v>-0.02108716056</v>
      </c>
      <c r="H924" s="196" t="n">
        <v>-2021.64</v>
      </c>
      <c r="J924" s="200" t="inlineStr">
        <is>
          <t>Oct</t>
        </is>
      </c>
      <c r="K924" s="199" t="n">
        <v>2025</v>
      </c>
      <c r="L924" s="199" t="n">
        <v>2025</v>
      </c>
    </row>
    <row r="925" ht="15" customHeight="1" s="104">
      <c r="A925" s="194" t="n">
        <v>45961</v>
      </c>
      <c r="B925" s="195" t="inlineStr">
        <is>
          <t>Amazon US</t>
        </is>
      </c>
      <c r="C925" s="195" t="inlineStr">
        <is>
          <t>Amazon fees</t>
        </is>
      </c>
      <c r="D925" s="195" t="inlineStr">
        <is>
          <t>FBA disposal fee</t>
        </is>
      </c>
      <c r="E925" s="196" t="n">
        <v>-816.41</v>
      </c>
      <c r="F925" s="204" t="n">
        <v>-0.008515744024</v>
      </c>
      <c r="H925" s="196" t="n">
        <v>-816.41</v>
      </c>
      <c r="J925" s="200" t="inlineStr">
        <is>
          <t>Oct</t>
        </is>
      </c>
      <c r="K925" s="199" t="n">
        <v>2025</v>
      </c>
      <c r="L925" s="199" t="n">
        <v>2025</v>
      </c>
    </row>
    <row r="926" ht="15" customHeight="1" s="104">
      <c r="A926" s="194" t="n">
        <v>45961</v>
      </c>
      <c r="B926" s="195" t="inlineStr">
        <is>
          <t>Amazon US</t>
        </is>
      </c>
      <c r="C926" s="195" t="inlineStr">
        <is>
          <t>Amazon fees</t>
        </is>
      </c>
      <c r="D926" s="195" t="inlineStr">
        <is>
          <t xml:space="preserve">Adjustment FBA per unit fulfillment fee
</t>
        </is>
      </c>
      <c r="E926" s="196" t="n">
        <v>10.4</v>
      </c>
      <c r="F926" s="204" t="n">
        <v>0.0001084794868</v>
      </c>
      <c r="H926" s="196" t="n">
        <v>10.4</v>
      </c>
      <c r="J926" s="200" t="inlineStr">
        <is>
          <t>Oct</t>
        </is>
      </c>
      <c r="K926" s="199" t="n">
        <v>2025</v>
      </c>
      <c r="L926" s="199" t="n">
        <v>2025</v>
      </c>
    </row>
    <row r="927" ht="15" customHeight="1" s="104">
      <c r="A927" s="194" t="n">
        <v>45961</v>
      </c>
      <c r="B927" s="195" t="inlineStr">
        <is>
          <t>Amazon US</t>
        </is>
      </c>
      <c r="C927" s="195" t="inlineStr">
        <is>
          <t>Amazon fees</t>
        </is>
      </c>
      <c r="D927" s="195" t="inlineStr">
        <is>
          <t>FBA inbound convenience fee</t>
        </is>
      </c>
      <c r="F927" s="201" t="n">
        <v>0</v>
      </c>
      <c r="J927" s="200" t="inlineStr">
        <is>
          <t>Oct</t>
        </is>
      </c>
      <c r="K927" s="199" t="n">
        <v>2025</v>
      </c>
      <c r="L927" s="199" t="n">
        <v>2025</v>
      </c>
    </row>
    <row r="928" ht="15" customHeight="1" s="104">
      <c r="A928" s="194" t="n">
        <v>45961</v>
      </c>
      <c r="B928" s="195" t="inlineStr">
        <is>
          <t>Amazon US</t>
        </is>
      </c>
      <c r="C928" s="195" t="inlineStr">
        <is>
          <t>Amazon fees</t>
        </is>
      </c>
      <c r="D928" s="195" t="inlineStr">
        <is>
          <t>AWD processing fee</t>
        </is>
      </c>
      <c r="F928" s="201" t="n">
        <v>0</v>
      </c>
      <c r="J928" s="200" t="inlineStr">
        <is>
          <t>Oct</t>
        </is>
      </c>
      <c r="K928" s="199" t="n">
        <v>2025</v>
      </c>
      <c r="L928" s="199" t="n">
        <v>2025</v>
      </c>
    </row>
    <row r="929" ht="15" customHeight="1" s="104">
      <c r="A929" s="194" t="n">
        <v>45961</v>
      </c>
      <c r="B929" s="195" t="inlineStr">
        <is>
          <t>Amazon US</t>
        </is>
      </c>
      <c r="C929" s="195" t="inlineStr">
        <is>
          <t>Amazon fees</t>
        </is>
      </c>
      <c r="D929" s="195" t="inlineStr">
        <is>
          <t>Liquidations brokerage fee</t>
        </is>
      </c>
      <c r="E929" s="196" t="n">
        <v>-10.96</v>
      </c>
      <c r="F929" s="204" t="n">
        <v>-0.00011432069</v>
      </c>
      <c r="H929" s="196" t="n">
        <v>-10.96</v>
      </c>
      <c r="J929" s="200" t="inlineStr">
        <is>
          <t>Oct</t>
        </is>
      </c>
      <c r="K929" s="199" t="n">
        <v>2025</v>
      </c>
      <c r="L929" s="199" t="n">
        <v>2025</v>
      </c>
    </row>
    <row r="930" ht="15" customHeight="1" s="104">
      <c r="A930" s="194" t="n">
        <v>45961</v>
      </c>
      <c r="B930" s="195" t="inlineStr">
        <is>
          <t>Amazon US</t>
        </is>
      </c>
      <c r="C930" s="195" t="inlineStr">
        <is>
          <t>Amazon fees</t>
        </is>
      </c>
      <c r="D930" s="195" t="inlineStr">
        <is>
          <t>Customer Return HRR Unit Fee</t>
        </is>
      </c>
      <c r="E930" s="196" t="n">
        <v>-204.05</v>
      </c>
      <c r="F930" s="204" t="n">
        <v>-0.002128388393</v>
      </c>
      <c r="H930" s="196" t="n">
        <v>-204.05</v>
      </c>
      <c r="J930" s="200" t="inlineStr">
        <is>
          <t>Oct</t>
        </is>
      </c>
      <c r="K930" s="199" t="n">
        <v>2025</v>
      </c>
      <c r="L930" s="199" t="n">
        <v>2025</v>
      </c>
    </row>
    <row r="931" ht="15" customHeight="1" s="104">
      <c r="A931" s="194" t="n">
        <v>45961</v>
      </c>
      <c r="B931" s="195" t="inlineStr">
        <is>
          <t>Amazon US</t>
        </is>
      </c>
      <c r="C931" s="195" t="inlineStr">
        <is>
          <t>Amazon fees</t>
        </is>
      </c>
      <c r="D931" s="195" t="inlineStr">
        <is>
          <t>Get paid faster fee</t>
        </is>
      </c>
      <c r="E931" s="196" t="n">
        <v>-26.29</v>
      </c>
      <c r="F931" s="204" t="n">
        <v>-0.0002742236259</v>
      </c>
      <c r="H931" s="196" t="n">
        <v>-26.29</v>
      </c>
      <c r="J931" s="200" t="inlineStr">
        <is>
          <t>Oct</t>
        </is>
      </c>
      <c r="K931" s="199" t="n">
        <v>2025</v>
      </c>
      <c r="L931" s="199" t="n">
        <v>2025</v>
      </c>
    </row>
    <row r="932" ht="15" customHeight="1" s="104">
      <c r="A932" s="194" t="n">
        <v>45961</v>
      </c>
      <c r="B932" s="195" t="inlineStr">
        <is>
          <t>Amazon US</t>
        </is>
      </c>
      <c r="C932" s="195" t="inlineStr">
        <is>
          <t>Amazon fees</t>
        </is>
      </c>
      <c r="D932" s="195" t="inlineStr">
        <is>
          <t>Compensated clawback</t>
        </is>
      </c>
      <c r="E932" s="196" t="n">
        <v>-31.39</v>
      </c>
      <c r="F932" s="204" t="n">
        <v>-0.0003274202973</v>
      </c>
      <c r="H932" s="196" t="n">
        <v>-31.39</v>
      </c>
      <c r="J932" s="200" t="inlineStr">
        <is>
          <t>Oct</t>
        </is>
      </c>
      <c r="K932" s="199" t="n">
        <v>2025</v>
      </c>
      <c r="L932" s="199" t="n">
        <v>2025</v>
      </c>
    </row>
    <row r="933" ht="15" customHeight="1" s="104">
      <c r="A933" s="194" t="n">
        <v>45961</v>
      </c>
      <c r="B933" s="195" t="inlineStr">
        <is>
          <t>Amazon US</t>
        </is>
      </c>
      <c r="C933" s="195" t="inlineStr">
        <is>
          <t>Amazon fees</t>
        </is>
      </c>
      <c r="D933" s="195" t="inlineStr">
        <is>
          <t>Free replacement refund items</t>
        </is>
      </c>
      <c r="E933" s="196" t="n">
        <v>69.7</v>
      </c>
      <c r="F933" s="204" t="n">
        <v>0.0007270211762</v>
      </c>
      <c r="H933" s="196" t="n">
        <v>69.7</v>
      </c>
      <c r="J933" s="200" t="inlineStr">
        <is>
          <t>Oct</t>
        </is>
      </c>
      <c r="K933" s="199" t="n">
        <v>2025</v>
      </c>
      <c r="L933" s="199" t="n">
        <v>2025</v>
      </c>
    </row>
    <row r="934" ht="15" customHeight="1" s="104">
      <c r="A934" s="194" t="n">
        <v>45961</v>
      </c>
      <c r="B934" s="195" t="inlineStr">
        <is>
          <t>Amazon US</t>
        </is>
      </c>
      <c r="C934" s="195" t="inlineStr">
        <is>
          <t>Amazon fees</t>
        </is>
      </c>
      <c r="D934" s="195" t="inlineStr">
        <is>
          <t>Warehouse lost</t>
        </is>
      </c>
      <c r="E934" s="196" t="n">
        <v>31.28</v>
      </c>
      <c r="F934" s="204" t="n">
        <v>0.0003262729181</v>
      </c>
      <c r="H934" s="196" t="n">
        <v>31.28</v>
      </c>
      <c r="J934" s="200" t="inlineStr">
        <is>
          <t>Oct</t>
        </is>
      </c>
      <c r="K934" s="199" t="n">
        <v>2025</v>
      </c>
      <c r="L934" s="199" t="n">
        <v>2025</v>
      </c>
    </row>
    <row r="935" ht="15" customHeight="1" s="104">
      <c r="A935" s="194" t="n">
        <v>45961</v>
      </c>
      <c r="B935" s="195" t="inlineStr">
        <is>
          <t>Amazon US</t>
        </is>
      </c>
      <c r="C935" s="195" t="inlineStr">
        <is>
          <t>Amazon fees</t>
        </is>
      </c>
      <c r="D935" s="195" t="inlineStr">
        <is>
          <t>Missing from inbound</t>
        </is>
      </c>
      <c r="E935" s="196" t="n">
        <v>131.16</v>
      </c>
      <c r="F935" s="204" t="n">
        <v>0.001368093221</v>
      </c>
      <c r="H935" s="196" t="n">
        <v>131.16</v>
      </c>
      <c r="J935" s="200" t="inlineStr">
        <is>
          <t>Oct</t>
        </is>
      </c>
      <c r="K935" s="199" t="n">
        <v>2025</v>
      </c>
      <c r="L935" s="199" t="n">
        <v>2025</v>
      </c>
    </row>
    <row r="936" ht="15" customHeight="1" s="104">
      <c r="A936" s="194" t="n">
        <v>45961</v>
      </c>
      <c r="B936" s="195" t="inlineStr">
        <is>
          <t>Amazon US</t>
        </is>
      </c>
      <c r="C936" s="195" t="inlineStr">
        <is>
          <t>Amazon fees</t>
        </is>
      </c>
      <c r="D936" s="195" t="inlineStr">
        <is>
          <t>Warehouse damage</t>
        </is>
      </c>
      <c r="E936" s="196" t="n">
        <v>154.84</v>
      </c>
      <c r="F936" s="204" t="n">
        <v>0.001615092668</v>
      </c>
      <c r="H936" s="196" t="n">
        <v>154.84</v>
      </c>
      <c r="J936" s="200" t="inlineStr">
        <is>
          <t>Oct</t>
        </is>
      </c>
      <c r="K936" s="199" t="n">
        <v>2025</v>
      </c>
      <c r="L936" s="199" t="n">
        <v>2025</v>
      </c>
    </row>
    <row r="937" ht="15" customHeight="1" s="104">
      <c r="A937" s="194" t="n">
        <v>45961</v>
      </c>
      <c r="B937" s="195" t="inlineStr">
        <is>
          <t>Amazon US</t>
        </is>
      </c>
      <c r="C937" s="195" t="inlineStr">
        <is>
          <t>Amazon fees</t>
        </is>
      </c>
      <c r="D937" s="195" t="inlineStr">
        <is>
          <t>Liquidations revenue</t>
        </is>
      </c>
      <c r="E937" s="196" t="n">
        <v>27.68</v>
      </c>
      <c r="F937" s="204" t="n">
        <v>0.0002887223265</v>
      </c>
      <c r="H937" s="196" t="n">
        <v>27.68</v>
      </c>
      <c r="J937" s="200" t="inlineStr">
        <is>
          <t>Oct</t>
        </is>
      </c>
      <c r="K937" s="199" t="n">
        <v>2025</v>
      </c>
      <c r="L937" s="199" t="n">
        <v>2025</v>
      </c>
    </row>
    <row r="938" ht="15" customHeight="1" s="104">
      <c r="A938" s="194" t="n">
        <v>45961</v>
      </c>
      <c r="B938" s="195" t="inlineStr">
        <is>
          <t>Amazon US</t>
        </is>
      </c>
      <c r="C938" s="195" t="inlineStr">
        <is>
          <t>Amazon fees</t>
        </is>
      </c>
      <c r="D938" s="195" t="inlineStr">
        <is>
          <t>Warehouse damage exception</t>
        </is>
      </c>
      <c r="E938" s="196" t="n">
        <v>23.92</v>
      </c>
      <c r="F938" s="204" t="n">
        <v>0.0002495028197</v>
      </c>
      <c r="H938" s="196" t="n">
        <v>23.92</v>
      </c>
      <c r="J938" s="200" t="inlineStr">
        <is>
          <t>Oct</t>
        </is>
      </c>
      <c r="K938" s="199" t="n">
        <v>2025</v>
      </c>
      <c r="L938" s="199" t="n">
        <v>2025</v>
      </c>
    </row>
    <row r="939" ht="15" customHeight="1" s="104">
      <c r="A939" s="194" t="n">
        <v>45961</v>
      </c>
      <c r="B939" s="195" t="inlineStr">
        <is>
          <t>Amazon US</t>
        </is>
      </c>
      <c r="C939" s="195" t="inlineStr">
        <is>
          <t>Amazon fees</t>
        </is>
      </c>
      <c r="D939" s="195" t="inlineStr">
        <is>
          <t>Reversal reimbursement</t>
        </is>
      </c>
      <c r="E939" s="196" t="n">
        <v>648.76</v>
      </c>
      <c r="F939" s="204" t="n">
        <v>0.006767033835</v>
      </c>
      <c r="H939" s="196" t="n">
        <v>648.76</v>
      </c>
      <c r="J939" s="200" t="inlineStr">
        <is>
          <t>Oct</t>
        </is>
      </c>
      <c r="K939" s="199" t="n">
        <v>2025</v>
      </c>
      <c r="L939" s="199" t="n">
        <v>2025</v>
      </c>
    </row>
    <row r="940" ht="15" customHeight="1" s="104">
      <c r="A940" s="194" t="n">
        <v>45961</v>
      </c>
      <c r="B940" s="195" t="inlineStr">
        <is>
          <t>Amazon US</t>
        </is>
      </c>
      <c r="C940" s="195" t="inlineStr">
        <is>
          <t>Amazon fees</t>
        </is>
      </c>
      <c r="D940" s="195" t="inlineStr">
        <is>
          <t>Vine Fee</t>
        </is>
      </c>
      <c r="F940" s="201" t="n">
        <v>0</v>
      </c>
      <c r="J940" s="200" t="inlineStr">
        <is>
          <t>Oct</t>
        </is>
      </c>
      <c r="K940" s="199" t="n">
        <v>2025</v>
      </c>
      <c r="L940" s="199" t="n">
        <v>2025</v>
      </c>
    </row>
    <row r="941" ht="15" customHeight="1" s="104">
      <c r="A941" s="194" t="n">
        <v>45961</v>
      </c>
      <c r="B941" s="195" t="inlineStr">
        <is>
          <t>Amazon US</t>
        </is>
      </c>
      <c r="C941" s="195" t="inlineStr">
        <is>
          <t>Amazon fees</t>
        </is>
      </c>
      <c r="D941" s="195" t="inlineStr">
        <is>
          <t>Missing from inbound clawback</t>
        </is>
      </c>
      <c r="F941" s="201" t="n">
        <v>0</v>
      </c>
      <c r="J941" s="200" t="inlineStr">
        <is>
          <t>Oct</t>
        </is>
      </c>
      <c r="K941" s="199" t="n">
        <v>2025</v>
      </c>
      <c r="L941" s="199" t="n">
        <v>2025</v>
      </c>
    </row>
    <row r="942" ht="15" customHeight="1" s="104">
      <c r="A942" s="194" t="n">
        <v>45961</v>
      </c>
      <c r="B942" s="195" t="inlineStr">
        <is>
          <t>Amazon US</t>
        </is>
      </c>
      <c r="C942" s="195" t="inlineStr">
        <is>
          <t>Amazon fees</t>
        </is>
      </c>
      <c r="D942" s="195" t="inlineStr">
        <is>
          <t>Subscription</t>
        </is>
      </c>
      <c r="E942" s="196" t="n">
        <v>-26.04</v>
      </c>
      <c r="F942" s="204" t="n">
        <v>-0.0002716159459</v>
      </c>
      <c r="H942" s="196" t="n">
        <v>-26.04</v>
      </c>
      <c r="J942" s="200" t="inlineStr">
        <is>
          <t>Oct</t>
        </is>
      </c>
      <c r="K942" s="199" t="n">
        <v>2025</v>
      </c>
      <c r="L942" s="199" t="n">
        <v>2025</v>
      </c>
    </row>
    <row r="943" ht="15" customHeight="1" s="104">
      <c r="A943" s="194" t="n">
        <v>45961</v>
      </c>
      <c r="B943" s="195" t="inlineStr">
        <is>
          <t>Amazon US</t>
        </is>
      </c>
      <c r="C943" s="195" t="inlineStr">
        <is>
          <t>Amazon fees</t>
        </is>
      </c>
      <c r="D943" s="195" t="inlineStr">
        <is>
          <t>Long term storage fee</t>
        </is>
      </c>
      <c r="F943" s="201" t="n">
        <v>0</v>
      </c>
      <c r="J943" s="200" t="inlineStr">
        <is>
          <t>Oct</t>
        </is>
      </c>
      <c r="K943" s="199" t="n">
        <v>2025</v>
      </c>
      <c r="L943" s="199" t="n">
        <v>2025</v>
      </c>
    </row>
    <row r="944" ht="15" customHeight="1" s="104">
      <c r="A944" s="194" t="n">
        <v>45961</v>
      </c>
      <c r="B944" s="195" t="inlineStr">
        <is>
          <t>Amazon US</t>
        </is>
      </c>
      <c r="C944" s="195" t="inlineStr">
        <is>
          <t>Amazon fees</t>
        </is>
      </c>
      <c r="D944" s="195" t="inlineStr">
        <is>
          <t>AWD transportation fee</t>
        </is>
      </c>
      <c r="F944" s="201" t="n">
        <v>0</v>
      </c>
      <c r="J944" s="200" t="inlineStr">
        <is>
          <t>Oct</t>
        </is>
      </c>
      <c r="K944" s="199" t="n">
        <v>2025</v>
      </c>
      <c r="L944" s="199" t="n">
        <v>2025</v>
      </c>
    </row>
    <row r="945" ht="15" customHeight="1" s="104">
      <c r="A945" s="194" t="n">
        <v>45961</v>
      </c>
      <c r="B945" s="195" t="inlineStr">
        <is>
          <t>Amazon US</t>
        </is>
      </c>
      <c r="C945" s="195" t="inlineStr">
        <is>
          <t>Amazon fees</t>
        </is>
      </c>
      <c r="D945" s="195" t="inlineStr">
        <is>
          <t>Star storage fee</t>
        </is>
      </c>
      <c r="E945" s="196" t="n">
        <v>-452.44</v>
      </c>
      <c r="F945" s="204" t="n">
        <v>-0.004719274906</v>
      </c>
      <c r="H945" s="196" t="n">
        <v>-452.44</v>
      </c>
      <c r="J945" s="200" t="inlineStr">
        <is>
          <t>Oct</t>
        </is>
      </c>
      <c r="K945" s="199" t="n">
        <v>2025</v>
      </c>
      <c r="L945" s="199" t="n">
        <v>2025</v>
      </c>
    </row>
    <row r="946" ht="15" customHeight="1" s="104">
      <c r="A946" s="194" t="n">
        <v>45961</v>
      </c>
      <c r="B946" s="195" t="inlineStr">
        <is>
          <t>Amazon US</t>
        </is>
      </c>
      <c r="C946" s="195" t="inlineStr">
        <is>
          <t>Amazon fees</t>
        </is>
      </c>
      <c r="D946" s="195" t="inlineStr">
        <is>
          <t>FBA removal fee</t>
        </is>
      </c>
      <c r="F946" s="201" t="n">
        <v>0</v>
      </c>
      <c r="J946" s="200" t="inlineStr">
        <is>
          <t>Oct</t>
        </is>
      </c>
      <c r="K946" s="199" t="n">
        <v>2025</v>
      </c>
      <c r="L946" s="199" t="n">
        <v>2025</v>
      </c>
    </row>
    <row r="947" ht="15" customHeight="1" s="104">
      <c r="A947" s="194" t="n">
        <v>45961</v>
      </c>
      <c r="B947" s="195" t="inlineStr">
        <is>
          <t>Amazon US</t>
        </is>
      </c>
      <c r="C947" s="195" t="inlineStr">
        <is>
          <t>Cost of goods</t>
        </is>
      </c>
      <c r="D947" s="195" t="inlineStr">
        <is>
          <t>Lost/damaged by Amazon</t>
        </is>
      </c>
      <c r="E947" s="196" t="n">
        <v>-355.91</v>
      </c>
      <c r="F947" s="204" t="n">
        <v>-0.003712397516</v>
      </c>
      <c r="H947" s="196" t="n">
        <v>-355.91</v>
      </c>
      <c r="J947" s="200" t="inlineStr">
        <is>
          <t>Oct</t>
        </is>
      </c>
      <c r="K947" s="199" t="n">
        <v>2025</v>
      </c>
      <c r="L947" s="199" t="n">
        <v>2025</v>
      </c>
    </row>
    <row r="948" ht="15" customHeight="1" s="104">
      <c r="A948" s="194" t="n">
        <v>45961</v>
      </c>
      <c r="B948" s="195" t="inlineStr">
        <is>
          <t>Amazon US</t>
        </is>
      </c>
      <c r="C948" s="195" t="inlineStr">
        <is>
          <t>Cost of goods</t>
        </is>
      </c>
      <c r="D948" s="195" t="inlineStr">
        <is>
          <t>Cost of goods sold</t>
        </is>
      </c>
      <c r="E948" s="196" t="n">
        <v>-26159.67</v>
      </c>
      <c r="F948" s="204" t="n">
        <v>-0.2728641901</v>
      </c>
      <c r="H948" s="196" t="n">
        <v>-26159.67</v>
      </c>
      <c r="J948" s="200" t="inlineStr">
        <is>
          <t>Oct</t>
        </is>
      </c>
      <c r="K948" s="199" t="n">
        <v>2025</v>
      </c>
      <c r="L948" s="199" t="n">
        <v>2025</v>
      </c>
    </row>
    <row r="949" ht="15" customHeight="1" s="104">
      <c r="A949" s="194" t="n">
        <v>45961</v>
      </c>
      <c r="B949" s="195" t="inlineStr">
        <is>
          <t>Amazon CA</t>
        </is>
      </c>
      <c r="C949" s="195" t="inlineStr">
        <is>
          <t>Advertising cost</t>
        </is>
      </c>
      <c r="D949" s="195" t="inlineStr">
        <is>
          <t>Sponsored Products</t>
        </is>
      </c>
      <c r="E949" s="196" t="n">
        <v>-687.97</v>
      </c>
      <c r="F949" s="204" t="n">
        <v>-0.09762289243</v>
      </c>
      <c r="H949" s="196" t="n">
        <v>-687.97</v>
      </c>
      <c r="J949" s="200" t="inlineStr">
        <is>
          <t>Oct</t>
        </is>
      </c>
      <c r="K949" s="199" t="n">
        <v>2025</v>
      </c>
      <c r="L949" s="199" t="n">
        <v>2025</v>
      </c>
    </row>
    <row r="950" ht="15" customHeight="1" s="104">
      <c r="A950" s="194" t="n">
        <v>45961</v>
      </c>
      <c r="B950" s="195" t="inlineStr">
        <is>
          <t>Amazon CA</t>
        </is>
      </c>
      <c r="C950" s="195" t="inlineStr">
        <is>
          <t>Advertising cost</t>
        </is>
      </c>
      <c r="D950" s="195" t="inlineStr">
        <is>
          <t>Sponsored Brands Video</t>
        </is>
      </c>
      <c r="E950" s="198" t="n">
        <v>0</v>
      </c>
      <c r="F950" s="201" t="n">
        <v>0</v>
      </c>
      <c r="H950" s="198" t="n">
        <v>0</v>
      </c>
      <c r="J950" s="200" t="inlineStr">
        <is>
          <t>Oct</t>
        </is>
      </c>
      <c r="K950" s="199" t="n">
        <v>2025</v>
      </c>
      <c r="L950" s="199" t="n">
        <v>2025</v>
      </c>
    </row>
    <row r="951" ht="15" customHeight="1" s="104">
      <c r="A951" s="194" t="n">
        <v>45961</v>
      </c>
      <c r="B951" s="195" t="inlineStr">
        <is>
          <t>Amazon CA</t>
        </is>
      </c>
      <c r="C951" s="195" t="inlineStr">
        <is>
          <t>Advertising cost</t>
        </is>
      </c>
      <c r="D951" s="195" t="inlineStr">
        <is>
          <t>Sponsored Display</t>
        </is>
      </c>
      <c r="E951" s="198" t="n">
        <v>0</v>
      </c>
      <c r="F951" s="201" t="n">
        <v>0</v>
      </c>
      <c r="H951" s="198" t="n">
        <v>0</v>
      </c>
      <c r="J951" s="200" t="inlineStr">
        <is>
          <t>Oct</t>
        </is>
      </c>
      <c r="K951" s="199" t="n">
        <v>2025</v>
      </c>
      <c r="L951" s="199" t="n">
        <v>2025</v>
      </c>
    </row>
    <row r="952" ht="15" customHeight="1" s="104">
      <c r="A952" s="194" t="n">
        <v>45961</v>
      </c>
      <c r="B952" s="195" t="inlineStr">
        <is>
          <t>Amazon CA</t>
        </is>
      </c>
      <c r="C952" s="195" t="inlineStr">
        <is>
          <t>Advertising cost</t>
        </is>
      </c>
      <c r="D952" s="195" t="inlineStr">
        <is>
          <t>Sponsored Brands</t>
        </is>
      </c>
      <c r="E952" s="198" t="n">
        <v>0</v>
      </c>
      <c r="F952" s="201" t="n">
        <v>0</v>
      </c>
      <c r="H952" s="198" t="n">
        <v>0</v>
      </c>
      <c r="J952" s="200" t="inlineStr">
        <is>
          <t>Oct</t>
        </is>
      </c>
      <c r="K952" s="199" t="n">
        <v>2025</v>
      </c>
      <c r="L952" s="199" t="n">
        <v>2025</v>
      </c>
    </row>
    <row r="953" ht="15" customHeight="1" s="104">
      <c r="A953" s="194" t="n">
        <v>45961</v>
      </c>
      <c r="B953" s="195" t="inlineStr">
        <is>
          <t>Amazon CA</t>
        </is>
      </c>
      <c r="C953" s="195" t="inlineStr">
        <is>
          <t>Refund cost</t>
        </is>
      </c>
      <c r="D953" s="195" t="inlineStr">
        <is>
          <t>Refunded amount</t>
        </is>
      </c>
      <c r="E953" s="196" t="n">
        <v>-1317.95</v>
      </c>
      <c r="F953" s="204" t="n">
        <v>-0.1870170081</v>
      </c>
      <c r="H953" s="196" t="n">
        <v>-1317.95</v>
      </c>
      <c r="J953" s="200" t="inlineStr">
        <is>
          <t>Oct</t>
        </is>
      </c>
      <c r="K953" s="199" t="n">
        <v>2025</v>
      </c>
      <c r="L953" s="199" t="n">
        <v>2025</v>
      </c>
    </row>
    <row r="954" ht="15" customHeight="1" s="104">
      <c r="A954" s="194" t="n">
        <v>45961</v>
      </c>
      <c r="B954" s="195" t="inlineStr">
        <is>
          <t>Amazon CA</t>
        </is>
      </c>
      <c r="C954" s="195" t="inlineStr">
        <is>
          <t>Refund cost</t>
        </is>
      </c>
      <c r="D954" s="195" t="inlineStr">
        <is>
          <t>Refund commission</t>
        </is>
      </c>
      <c r="E954" s="196" t="n">
        <v>-39.55</v>
      </c>
      <c r="F954" s="204" t="n">
        <v>-0.005612142093</v>
      </c>
      <c r="H954" s="196" t="n">
        <v>-39.55</v>
      </c>
      <c r="J954" s="200" t="inlineStr">
        <is>
          <t>Oct</t>
        </is>
      </c>
      <c r="K954" s="199" t="n">
        <v>2025</v>
      </c>
      <c r="L954" s="199" t="n">
        <v>2025</v>
      </c>
    </row>
    <row r="955" ht="15" customHeight="1" s="104">
      <c r="A955" s="194" t="n">
        <v>45961</v>
      </c>
      <c r="B955" s="195" t="inlineStr">
        <is>
          <t>Amazon CA</t>
        </is>
      </c>
      <c r="C955" s="195" t="inlineStr">
        <is>
          <t>Refund cost</t>
        </is>
      </c>
      <c r="D955" s="195" t="inlineStr">
        <is>
          <t>Refunded referral fee</t>
        </is>
      </c>
      <c r="E955" s="196" t="n">
        <v>197.73</v>
      </c>
      <c r="F955" s="204" t="n">
        <v>0.02805787247</v>
      </c>
      <c r="H955" s="196" t="n">
        <v>197.73</v>
      </c>
      <c r="J955" s="200" t="inlineStr">
        <is>
          <t>Oct</t>
        </is>
      </c>
      <c r="K955" s="199" t="n">
        <v>2025</v>
      </c>
      <c r="L955" s="199" t="n">
        <v>2025</v>
      </c>
    </row>
    <row r="956" ht="15" customHeight="1" s="104">
      <c r="A956" s="194" t="n">
        <v>45961</v>
      </c>
      <c r="B956" s="195" t="inlineStr">
        <is>
          <t>Amazon CA</t>
        </is>
      </c>
      <c r="C956" s="195" t="inlineStr">
        <is>
          <t>Refund cost</t>
        </is>
      </c>
      <c r="D956" s="195" t="inlineStr">
        <is>
          <t>Value of returned items</t>
        </is>
      </c>
      <c r="E956" s="196" t="n">
        <v>123.6</v>
      </c>
      <c r="F956" s="204" t="n">
        <v>0.01753883091</v>
      </c>
      <c r="H956" s="196" t="n">
        <v>123.6</v>
      </c>
      <c r="J956" s="200" t="inlineStr">
        <is>
          <t>Oct</t>
        </is>
      </c>
      <c r="K956" s="199" t="n">
        <v>2025</v>
      </c>
      <c r="L956" s="199" t="n">
        <v>2025</v>
      </c>
    </row>
    <row r="957" ht="15" customHeight="1" s="104">
      <c r="A957" s="194" t="n">
        <v>45961</v>
      </c>
      <c r="B957" s="195" t="inlineStr">
        <is>
          <t>Amazon CA</t>
        </is>
      </c>
      <c r="C957" s="195" t="inlineStr">
        <is>
          <t>Amazon fees</t>
        </is>
      </c>
      <c r="D957" s="195" t="inlineStr">
        <is>
          <t>FBA per unit fulfilment fee</t>
        </is>
      </c>
      <c r="E957" s="196" t="n">
        <v>-1291.55</v>
      </c>
      <c r="F957" s="204" t="n">
        <v>-0.1832708501</v>
      </c>
      <c r="H957" s="196" t="n">
        <v>-1291.55</v>
      </c>
      <c r="J957" s="200" t="inlineStr">
        <is>
          <t>Oct</t>
        </is>
      </c>
      <c r="K957" s="199" t="n">
        <v>2025</v>
      </c>
      <c r="L957" s="199" t="n">
        <v>2025</v>
      </c>
    </row>
    <row r="958" ht="15" customHeight="1" s="104">
      <c r="A958" s="194" t="n">
        <v>45961</v>
      </c>
      <c r="B958" s="195" t="inlineStr">
        <is>
          <t>Amazon CA</t>
        </is>
      </c>
      <c r="C958" s="195" t="inlineStr">
        <is>
          <t>Amazon fees</t>
        </is>
      </c>
      <c r="D958" s="195" t="inlineStr">
        <is>
          <t>Referral fee</t>
        </is>
      </c>
      <c r="E958" s="196" t="n">
        <v>-1055.31</v>
      </c>
      <c r="F958" s="204" t="n">
        <v>-0.1497484114</v>
      </c>
      <c r="H958" s="196" t="n">
        <v>-1055.31</v>
      </c>
      <c r="J958" s="200" t="inlineStr">
        <is>
          <t>Oct</t>
        </is>
      </c>
      <c r="K958" s="199" t="n">
        <v>2025</v>
      </c>
      <c r="L958" s="199" t="n">
        <v>2025</v>
      </c>
    </row>
    <row r="959" ht="15" customHeight="1" s="104">
      <c r="A959" s="194" t="n">
        <v>45961</v>
      </c>
      <c r="B959" s="195" t="inlineStr">
        <is>
          <t>Amazon CA</t>
        </is>
      </c>
      <c r="C959" s="195" t="inlineStr">
        <is>
          <t>Amazon fees</t>
        </is>
      </c>
      <c r="D959" s="195" t="inlineStr">
        <is>
          <t>FBA storage fee</t>
        </is>
      </c>
      <c r="E959" s="196" t="n">
        <v>-264.27</v>
      </c>
      <c r="F959" s="204" t="n">
        <v>-0.03749989358</v>
      </c>
      <c r="H959" s="196" t="n">
        <v>-264.27</v>
      </c>
      <c r="J959" s="200" t="inlineStr">
        <is>
          <t>Oct</t>
        </is>
      </c>
      <c r="K959" s="199" t="n">
        <v>2025</v>
      </c>
      <c r="L959" s="199" t="n">
        <v>2025</v>
      </c>
    </row>
    <row r="960" ht="15" customHeight="1" s="104">
      <c r="A960" s="194" t="n">
        <v>45961</v>
      </c>
      <c r="B960" s="195" t="inlineStr">
        <is>
          <t>Amazon CA</t>
        </is>
      </c>
      <c r="C960" s="195" t="inlineStr">
        <is>
          <t>Amazon fees</t>
        </is>
      </c>
      <c r="D960" s="195" t="inlineStr">
        <is>
          <t>Digital services fee</t>
        </is>
      </c>
      <c r="E960" s="198" t="n">
        <v>0</v>
      </c>
      <c r="F960" s="201" t="n">
        <v>0</v>
      </c>
      <c r="H960" s="198" t="n">
        <v>0</v>
      </c>
      <c r="J960" s="200" t="inlineStr">
        <is>
          <t>Oct</t>
        </is>
      </c>
      <c r="K960" s="199" t="n">
        <v>2025</v>
      </c>
      <c r="L960" s="199" t="n">
        <v>2025</v>
      </c>
    </row>
    <row r="961" ht="15" customHeight="1" s="104">
      <c r="A961" s="194" t="n">
        <v>45961</v>
      </c>
      <c r="B961" s="195" t="inlineStr">
        <is>
          <t>Amazon CA</t>
        </is>
      </c>
      <c r="C961" s="195" t="inlineStr">
        <is>
          <t>Amazon fees</t>
        </is>
      </c>
      <c r="D961" s="195" t="inlineStr">
        <is>
          <t>Long term storage fee</t>
        </is>
      </c>
      <c r="E961" s="196" t="n">
        <v>-139.43</v>
      </c>
      <c r="F961" s="204" t="n">
        <v>-0.01978510675</v>
      </c>
      <c r="H961" s="196" t="n">
        <v>-139.43</v>
      </c>
      <c r="J961" s="200" t="inlineStr">
        <is>
          <t>Oct</t>
        </is>
      </c>
      <c r="K961" s="199" t="n">
        <v>2025</v>
      </c>
      <c r="L961" s="199" t="n">
        <v>2025</v>
      </c>
    </row>
    <row r="962" ht="15" customHeight="1" s="104">
      <c r="A962" s="194" t="n">
        <v>45961</v>
      </c>
      <c r="B962" s="195" t="inlineStr">
        <is>
          <t>Amazon CA</t>
        </is>
      </c>
      <c r="C962" s="195" t="inlineStr">
        <is>
          <t>Amazon fees</t>
        </is>
      </c>
      <c r="D962" s="195" t="inlineStr">
        <is>
          <t>Reversal reimbursement</t>
        </is>
      </c>
      <c r="E962" s="196" t="n">
        <v>29.76</v>
      </c>
      <c r="F962" s="204" t="n">
        <v>0.004222941813</v>
      </c>
      <c r="H962" s="196" t="n">
        <v>29.76</v>
      </c>
      <c r="J962" s="200" t="inlineStr">
        <is>
          <t>Oct</t>
        </is>
      </c>
      <c r="K962" s="199" t="n">
        <v>2025</v>
      </c>
      <c r="L962" s="199" t="n">
        <v>2025</v>
      </c>
    </row>
    <row r="963" ht="15" customHeight="1" s="104">
      <c r="A963" s="194" t="n">
        <v>45961</v>
      </c>
      <c r="B963" s="195" t="inlineStr">
        <is>
          <t>Amazon CA</t>
        </is>
      </c>
      <c r="C963" s="195" t="inlineStr">
        <is>
          <t>Cost of goods</t>
        </is>
      </c>
      <c r="D963" s="195" t="inlineStr">
        <is>
          <t>Cost of goods sold</t>
        </is>
      </c>
      <c r="E963" s="196" t="n">
        <v>-1993.27</v>
      </c>
      <c r="F963" s="204" t="n">
        <v>-0.2828448665</v>
      </c>
      <c r="H963" s="196" t="n">
        <v>-1993.27</v>
      </c>
      <c r="J963" s="200" t="inlineStr">
        <is>
          <t>Oct</t>
        </is>
      </c>
      <c r="K963" s="199" t="n">
        <v>2025</v>
      </c>
      <c r="L963" s="199" t="n">
        <v>2025</v>
      </c>
    </row>
    <row r="964" ht="15" customHeight="1" s="104">
      <c r="A964" s="194" t="n">
        <v>45961</v>
      </c>
      <c r="B964" s="195" t="inlineStr">
        <is>
          <t>Walmart</t>
        </is>
      </c>
      <c r="C964" s="195" t="inlineStr">
        <is>
          <t>Advertising cost</t>
        </is>
      </c>
      <c r="D964" s="195" t="inlineStr">
        <is>
          <t>Advertising Cost</t>
        </is>
      </c>
      <c r="E964" s="196" t="n">
        <v>-156.44</v>
      </c>
      <c r="F964" s="204" t="n">
        <v>-0.09210642518999999</v>
      </c>
      <c r="H964" s="196" t="n">
        <v>-156.44</v>
      </c>
      <c r="J964" s="200" t="inlineStr">
        <is>
          <t>Oct</t>
        </is>
      </c>
      <c r="K964" s="199" t="n">
        <v>2025</v>
      </c>
      <c r="L964" s="199" t="n">
        <v>2025</v>
      </c>
    </row>
    <row r="965" ht="15" customHeight="1" s="104">
      <c r="A965" s="194" t="n">
        <v>45961</v>
      </c>
      <c r="B965" s="195" t="inlineStr">
        <is>
          <t>Walmart</t>
        </is>
      </c>
      <c r="C965" s="195" t="inlineStr">
        <is>
          <t>Shipping Cost</t>
        </is>
      </c>
      <c r="D965" s="195" t="inlineStr">
        <is>
          <t>WFS Fulfillment fee</t>
        </is>
      </c>
      <c r="E965" s="196" t="n">
        <v>-256.15</v>
      </c>
      <c r="F965" s="204" t="n">
        <v>-0.1508122016</v>
      </c>
      <c r="H965" s="196" t="n">
        <v>-256.15</v>
      </c>
      <c r="J965" s="200" t="inlineStr">
        <is>
          <t>Oct</t>
        </is>
      </c>
      <c r="K965" s="199" t="n">
        <v>2025</v>
      </c>
      <c r="L965" s="199" t="n">
        <v>2025</v>
      </c>
    </row>
    <row r="966" ht="15" customHeight="1" s="104">
      <c r="A966" s="194" t="n">
        <v>45961</v>
      </c>
      <c r="B966" s="195" t="inlineStr">
        <is>
          <t>Walmart</t>
        </is>
      </c>
      <c r="C966" s="195" t="inlineStr">
        <is>
          <t>Shipping Cost</t>
        </is>
      </c>
      <c r="D966" s="195" t="inlineStr">
        <is>
          <t>WFS Shipping Reversal fee</t>
        </is>
      </c>
      <c r="E966" s="198" t="n">
        <v>0</v>
      </c>
      <c r="F966" s="201" t="n">
        <v>0</v>
      </c>
      <c r="H966" s="198" t="n">
        <v>0</v>
      </c>
      <c r="J966" s="200" t="inlineStr">
        <is>
          <t>Oct</t>
        </is>
      </c>
      <c r="K966" s="199" t="n">
        <v>2025</v>
      </c>
      <c r="L966" s="199" t="n">
        <v>2025</v>
      </c>
    </row>
    <row r="967" ht="15" customHeight="1" s="104">
      <c r="A967" s="194" t="n">
        <v>45961</v>
      </c>
      <c r="B967" s="195" t="inlineStr">
        <is>
          <t>Walmart</t>
        </is>
      </c>
      <c r="C967" s="195" t="inlineStr">
        <is>
          <t>Fees</t>
        </is>
      </c>
      <c r="D967" s="195" t="inlineStr">
        <is>
          <t>Commission on product</t>
        </is>
      </c>
      <c r="E967" s="196" t="n">
        <v>-259.8</v>
      </c>
      <c r="F967" s="204" t="n">
        <v>-0.1529611945</v>
      </c>
      <c r="H967" s="196" t="n">
        <v>-259.8</v>
      </c>
      <c r="J967" s="200" t="inlineStr">
        <is>
          <t>Oct</t>
        </is>
      </c>
      <c r="K967" s="199" t="n">
        <v>2025</v>
      </c>
      <c r="L967" s="199" t="n">
        <v>2025</v>
      </c>
    </row>
    <row r="968" ht="15" customHeight="1" s="104">
      <c r="A968" s="194" t="n">
        <v>45961</v>
      </c>
      <c r="B968" s="195" t="inlineStr">
        <is>
          <t>Walmart</t>
        </is>
      </c>
      <c r="C968" s="195" t="inlineStr">
        <is>
          <t>Fees</t>
        </is>
      </c>
      <c r="D968" s="195" t="inlineStr">
        <is>
          <t>Storage fee</t>
        </is>
      </c>
      <c r="E968" s="196" t="n">
        <v>-58.35</v>
      </c>
      <c r="F968" s="204" t="n">
        <v>-0.03435444842</v>
      </c>
      <c r="H968" s="196" t="n">
        <v>-58.35</v>
      </c>
      <c r="J968" s="200" t="inlineStr">
        <is>
          <t>Oct</t>
        </is>
      </c>
      <c r="K968" s="199" t="n">
        <v>2025</v>
      </c>
      <c r="L968" s="199" t="n">
        <v>2025</v>
      </c>
    </row>
    <row r="969" ht="15" customHeight="1" s="104">
      <c r="A969" s="194" t="n">
        <v>45961</v>
      </c>
      <c r="B969" s="195" t="inlineStr">
        <is>
          <t>Walmart</t>
        </is>
      </c>
      <c r="C969" s="195" t="inlineStr">
        <is>
          <t>Fees</t>
        </is>
      </c>
      <c r="D969" s="195" t="inlineStr">
        <is>
          <t>Refund product tax</t>
        </is>
      </c>
      <c r="E969" s="196" t="n">
        <v>-5.67</v>
      </c>
      <c r="F969" s="204" t="n">
        <v>-0.003338298586</v>
      </c>
      <c r="H969" s="196" t="n">
        <v>-5.67</v>
      </c>
      <c r="J969" s="200" t="inlineStr">
        <is>
          <t>Oct</t>
        </is>
      </c>
      <c r="K969" s="199" t="n">
        <v>2025</v>
      </c>
      <c r="L969" s="199" t="n">
        <v>2025</v>
      </c>
    </row>
    <row r="970" ht="15" customHeight="1" s="104">
      <c r="A970" s="194" t="n">
        <v>45961</v>
      </c>
      <c r="B970" s="195" t="inlineStr">
        <is>
          <t>Walmart</t>
        </is>
      </c>
      <c r="C970" s="195" t="inlineStr">
        <is>
          <t>Fees</t>
        </is>
      </c>
      <c r="D970" s="195" t="inlineStr">
        <is>
          <t>Refund commission on product</t>
        </is>
      </c>
      <c r="E970" s="198" t="n">
        <v>0</v>
      </c>
      <c r="F970" s="201" t="n">
        <v>0</v>
      </c>
      <c r="H970" s="198" t="n">
        <v>0</v>
      </c>
      <c r="J970" s="200" t="inlineStr">
        <is>
          <t>Oct</t>
        </is>
      </c>
      <c r="K970" s="199" t="n">
        <v>2025</v>
      </c>
      <c r="L970" s="199" t="n">
        <v>2025</v>
      </c>
    </row>
    <row r="971" ht="15" customHeight="1" s="104">
      <c r="A971" s="194" t="n">
        <v>45961</v>
      </c>
      <c r="B971" s="195" t="inlineStr">
        <is>
          <t>Walmart</t>
        </is>
      </c>
      <c r="C971" s="195" t="inlineStr">
        <is>
          <t>Fees</t>
        </is>
      </c>
      <c r="D971" s="195" t="inlineStr">
        <is>
          <t>Total Walmart funded savings</t>
        </is>
      </c>
      <c r="E971" s="196" t="n">
        <v>30</v>
      </c>
      <c r="F971" s="204" t="n">
        <v>0.01766295548</v>
      </c>
      <c r="H971" s="196" t="n">
        <v>30</v>
      </c>
      <c r="J971" s="200" t="inlineStr">
        <is>
          <t>Oct</t>
        </is>
      </c>
      <c r="K971" s="199" t="n">
        <v>2025</v>
      </c>
      <c r="L971" s="199" t="n">
        <v>2025</v>
      </c>
    </row>
    <row r="972" ht="15" customHeight="1" s="104">
      <c r="A972" s="194" t="n">
        <v>45961</v>
      </c>
      <c r="B972" s="195" t="inlineStr">
        <is>
          <t>Walmart</t>
        </is>
      </c>
      <c r="C972" s="195" t="inlineStr">
        <is>
          <t>Fees</t>
        </is>
      </c>
      <c r="D972" s="195" t="inlineStr">
        <is>
          <t>Lost inventory</t>
        </is>
      </c>
      <c r="E972" s="198" t="n">
        <v>0</v>
      </c>
      <c r="F972" s="201" t="n">
        <v>0</v>
      </c>
      <c r="H972" s="198" t="n">
        <v>0</v>
      </c>
      <c r="J972" s="200" t="inlineStr">
        <is>
          <t>Oct</t>
        </is>
      </c>
      <c r="K972" s="199" t="n">
        <v>2025</v>
      </c>
      <c r="L972" s="199" t="n">
        <v>2025</v>
      </c>
    </row>
    <row r="973" ht="15" customHeight="1" s="104">
      <c r="A973" s="194" t="n">
        <v>45961</v>
      </c>
      <c r="B973" s="195" t="inlineStr">
        <is>
          <t>Walmart</t>
        </is>
      </c>
      <c r="C973" s="195" t="inlineStr">
        <is>
          <t>Fees</t>
        </is>
      </c>
      <c r="D973" s="195" t="inlineStr">
        <is>
          <t>RC inventory disposal fee</t>
        </is>
      </c>
      <c r="E973" s="198" t="n">
        <v>0</v>
      </c>
      <c r="F973" s="201" t="n">
        <v>0</v>
      </c>
      <c r="H973" s="198" t="n">
        <v>0</v>
      </c>
      <c r="J973" s="200" t="inlineStr">
        <is>
          <t>Oct</t>
        </is>
      </c>
      <c r="K973" s="199" t="n">
        <v>2025</v>
      </c>
      <c r="L973" s="199" t="n">
        <v>2025</v>
      </c>
    </row>
    <row r="974" ht="15" customHeight="1" s="104">
      <c r="A974" s="194" t="n">
        <v>45961</v>
      </c>
      <c r="B974" s="195" t="inlineStr">
        <is>
          <t>Walmart</t>
        </is>
      </c>
      <c r="C974" s="195" t="inlineStr">
        <is>
          <t>Cost of goods</t>
        </is>
      </c>
      <c r="D974" s="195" t="inlineStr">
        <is>
          <t>Cost of goods sold</t>
        </is>
      </c>
      <c r="E974" s="196" t="n">
        <v>-525.52</v>
      </c>
      <c r="F974" s="204" t="n">
        <v>-0.3094078789</v>
      </c>
      <c r="H974" s="196" t="n">
        <v>-525.52</v>
      </c>
      <c r="J974" s="200" t="inlineStr">
        <is>
          <t>Oct</t>
        </is>
      </c>
      <c r="K974" s="199" t="n">
        <v>2025</v>
      </c>
      <c r="L974" s="199" t="n">
        <v>2025</v>
      </c>
    </row>
    <row r="975" ht="15" customHeight="1" s="104">
      <c r="A975" s="194" t="n">
        <v>45961</v>
      </c>
      <c r="B975" s="195" t="inlineStr">
        <is>
          <t>Walmart</t>
        </is>
      </c>
      <c r="C975" s="195" t="inlineStr">
        <is>
          <t>Cost of goods</t>
        </is>
      </c>
      <c r="D975" s="195" t="inlineStr">
        <is>
          <t>Value of returned items</t>
        </is>
      </c>
      <c r="E975" s="198" t="n">
        <v>0</v>
      </c>
      <c r="F975" s="201" t="n">
        <v>0</v>
      </c>
      <c r="H975" s="198" t="n">
        <v>0</v>
      </c>
      <c r="J975" s="200" t="inlineStr">
        <is>
          <t>Oct</t>
        </is>
      </c>
      <c r="K975" s="199" t="n">
        <v>2025</v>
      </c>
      <c r="L975" s="199" t="n">
        <v>2025</v>
      </c>
    </row>
    <row r="976" ht="15" customHeight="1" s="104">
      <c r="A976" s="194" t="n">
        <v>45961</v>
      </c>
      <c r="B976" s="195" t="inlineStr">
        <is>
          <t>Tiktok</t>
        </is>
      </c>
      <c r="C976" s="195" t="inlineStr">
        <is>
          <t>Tiktok Shipping</t>
        </is>
      </c>
      <c r="D976" s="195" t="inlineStr">
        <is>
          <t>TikTok Shop shipping fee</t>
        </is>
      </c>
      <c r="E976" s="198" t="n">
        <v>0</v>
      </c>
      <c r="F976" s="201" t="n">
        <v>0</v>
      </c>
      <c r="H976" s="198" t="n">
        <v>0</v>
      </c>
      <c r="J976" s="200" t="inlineStr">
        <is>
          <t>Oct</t>
        </is>
      </c>
      <c r="K976" s="199" t="n">
        <v>2025</v>
      </c>
      <c r="L976" s="199" t="n">
        <v>2025</v>
      </c>
    </row>
    <row r="977" ht="15" customHeight="1" s="104">
      <c r="A977" s="194" t="n">
        <v>45961</v>
      </c>
      <c r="B977" s="195" t="inlineStr">
        <is>
          <t>Tiktok</t>
        </is>
      </c>
      <c r="C977" s="195" t="inlineStr">
        <is>
          <t>Tiktok Shipping</t>
        </is>
      </c>
      <c r="D977" s="195" t="inlineStr">
        <is>
          <t>Fulfilled by TikTok Shop (FBT) shipping fee</t>
        </is>
      </c>
      <c r="E977" s="198" t="n">
        <v>0</v>
      </c>
      <c r="F977" s="201" t="n">
        <v>0</v>
      </c>
      <c r="H977" s="198" t="n">
        <v>0</v>
      </c>
      <c r="J977" s="200" t="inlineStr">
        <is>
          <t>Oct</t>
        </is>
      </c>
      <c r="K977" s="199" t="n">
        <v>2025</v>
      </c>
      <c r="L977" s="199" t="n">
        <v>2025</v>
      </c>
    </row>
    <row r="978" ht="15" customHeight="1" s="104">
      <c r="A978" s="194" t="n">
        <v>45961</v>
      </c>
      <c r="B978" s="195" t="inlineStr">
        <is>
          <t>Tiktok</t>
        </is>
      </c>
      <c r="C978" s="195" t="inlineStr">
        <is>
          <t>Tiktok Shipping</t>
        </is>
      </c>
      <c r="D978" s="195" t="inlineStr">
        <is>
          <t>Signature confirmation service fee</t>
        </is>
      </c>
      <c r="E978" s="198" t="n">
        <v>0</v>
      </c>
      <c r="F978" s="201" t="n">
        <v>0</v>
      </c>
      <c r="H978" s="198" t="n">
        <v>0</v>
      </c>
      <c r="J978" s="200" t="inlineStr">
        <is>
          <t>Oct</t>
        </is>
      </c>
      <c r="K978" s="199" t="n">
        <v>2025</v>
      </c>
      <c r="L978" s="199" t="n">
        <v>2025</v>
      </c>
    </row>
    <row r="979" ht="15" customHeight="1" s="104">
      <c r="A979" s="194" t="n">
        <v>45961</v>
      </c>
      <c r="B979" s="195" t="inlineStr">
        <is>
          <t>Tiktok</t>
        </is>
      </c>
      <c r="C979" s="195" t="inlineStr">
        <is>
          <t>Tiktok Shipping</t>
        </is>
      </c>
      <c r="D979" s="195" t="inlineStr">
        <is>
          <t>Shipping insurance fee</t>
        </is>
      </c>
      <c r="E979" s="198" t="n">
        <v>0</v>
      </c>
      <c r="F979" s="201" t="n">
        <v>0</v>
      </c>
      <c r="H979" s="198" t="n">
        <v>0</v>
      </c>
      <c r="J979" s="200" t="inlineStr">
        <is>
          <t>Oct</t>
        </is>
      </c>
      <c r="K979" s="199" t="n">
        <v>2025</v>
      </c>
      <c r="L979" s="199" t="n">
        <v>2025</v>
      </c>
    </row>
    <row r="980" ht="15" customHeight="1" s="104">
      <c r="A980" s="194" t="n">
        <v>45961</v>
      </c>
      <c r="B980" s="195" t="inlineStr">
        <is>
          <t>Tiktok</t>
        </is>
      </c>
      <c r="C980" s="195" t="inlineStr">
        <is>
          <t>Tiktok Shipping</t>
        </is>
      </c>
      <c r="D980" s="195" t="inlineStr">
        <is>
          <t>Customer-paid shipping fee</t>
        </is>
      </c>
      <c r="E980" s="198" t="n">
        <v>0</v>
      </c>
      <c r="F980" s="201" t="n">
        <v>0</v>
      </c>
      <c r="H980" s="198" t="n">
        <v>0</v>
      </c>
      <c r="J980" s="200" t="inlineStr">
        <is>
          <t>Oct</t>
        </is>
      </c>
      <c r="K980" s="199" t="n">
        <v>2025</v>
      </c>
      <c r="L980" s="199" t="n">
        <v>2025</v>
      </c>
    </row>
    <row r="981" ht="15" customHeight="1" s="104">
      <c r="A981" s="194" t="n">
        <v>45961</v>
      </c>
      <c r="B981" s="195" t="inlineStr">
        <is>
          <t>Tiktok</t>
        </is>
      </c>
      <c r="C981" s="195" t="inlineStr">
        <is>
          <t>Tiktok Shipping</t>
        </is>
      </c>
      <c r="D981" s="195" t="inlineStr">
        <is>
          <t>Customer-paid shipping fee refund</t>
        </is>
      </c>
      <c r="E981" s="198" t="n">
        <v>0</v>
      </c>
      <c r="F981" s="201" t="n">
        <v>0</v>
      </c>
      <c r="H981" s="198" t="n">
        <v>0</v>
      </c>
      <c r="J981" s="200" t="inlineStr">
        <is>
          <t>Oct</t>
        </is>
      </c>
      <c r="K981" s="199" t="n">
        <v>2025</v>
      </c>
      <c r="L981" s="199" t="n">
        <v>2025</v>
      </c>
    </row>
    <row r="982" ht="15" customHeight="1" s="104">
      <c r="A982" s="194" t="n">
        <v>45961</v>
      </c>
      <c r="B982" s="195" t="inlineStr">
        <is>
          <t>Tiktok</t>
        </is>
      </c>
      <c r="C982" s="195" t="inlineStr">
        <is>
          <t>Tiktok Shipping</t>
        </is>
      </c>
      <c r="D982" s="195" t="inlineStr">
        <is>
          <t>TikTok Shop shipping incentive</t>
        </is>
      </c>
      <c r="E982" s="198" t="n">
        <v>0</v>
      </c>
      <c r="F982" s="201" t="n">
        <v>0</v>
      </c>
      <c r="H982" s="198" t="n">
        <v>0</v>
      </c>
      <c r="J982" s="200" t="inlineStr">
        <is>
          <t>Oct</t>
        </is>
      </c>
      <c r="K982" s="199" t="n">
        <v>2025</v>
      </c>
      <c r="L982" s="199" t="n">
        <v>2025</v>
      </c>
    </row>
    <row r="983" ht="15" customHeight="1" s="104">
      <c r="A983" s="194" t="n">
        <v>45961</v>
      </c>
      <c r="B983" s="195" t="inlineStr">
        <is>
          <t>Tiktok</t>
        </is>
      </c>
      <c r="C983" s="195" t="inlineStr">
        <is>
          <t>Tiktok Shipping</t>
        </is>
      </c>
      <c r="D983" s="195" t="inlineStr">
        <is>
          <t>TikTok Shop shipping incentive refund</t>
        </is>
      </c>
      <c r="E983" s="198" t="n">
        <v>0</v>
      </c>
      <c r="F983" s="201" t="n">
        <v>0</v>
      </c>
      <c r="H983" s="198" t="n">
        <v>0</v>
      </c>
      <c r="J983" s="200" t="inlineStr">
        <is>
          <t>Oct</t>
        </is>
      </c>
      <c r="K983" s="199" t="n">
        <v>2025</v>
      </c>
      <c r="L983" s="199" t="n">
        <v>2025</v>
      </c>
    </row>
    <row r="984" ht="15" customHeight="1" s="104">
      <c r="A984" s="194" t="n">
        <v>45961</v>
      </c>
      <c r="B984" s="195" t="inlineStr">
        <is>
          <t>Tiktok</t>
        </is>
      </c>
      <c r="C984" s="195" t="inlineStr">
        <is>
          <t>Tiktok Shipping</t>
        </is>
      </c>
      <c r="D984" s="195" t="inlineStr">
        <is>
          <t>Shipping fee subsidy</t>
        </is>
      </c>
      <c r="E984" s="198" t="n">
        <v>0</v>
      </c>
      <c r="F984" s="201" t="n">
        <v>0</v>
      </c>
      <c r="H984" s="198" t="n">
        <v>0</v>
      </c>
      <c r="J984" s="200" t="inlineStr">
        <is>
          <t>Oct</t>
        </is>
      </c>
      <c r="K984" s="199" t="n">
        <v>2025</v>
      </c>
      <c r="L984" s="199" t="n">
        <v>2025</v>
      </c>
    </row>
    <row r="985" ht="15" customHeight="1" s="104">
      <c r="A985" s="194" t="n">
        <v>45961</v>
      </c>
      <c r="B985" s="195" t="inlineStr">
        <is>
          <t>Tiktok</t>
        </is>
      </c>
      <c r="C985" s="195" t="inlineStr">
        <is>
          <t>Tiktok Shipping</t>
        </is>
      </c>
      <c r="D985" s="195" t="inlineStr">
        <is>
          <t>Return shipping fee</t>
        </is>
      </c>
      <c r="E985" s="196" t="n">
        <v>-31.25</v>
      </c>
      <c r="F985" s="204" t="n">
        <v>-0.00807489367</v>
      </c>
      <c r="H985" s="196" t="n">
        <v>-31.25</v>
      </c>
      <c r="J985" s="200" t="inlineStr">
        <is>
          <t>Oct</t>
        </is>
      </c>
      <c r="K985" s="199" t="n">
        <v>2025</v>
      </c>
      <c r="L985" s="199" t="n">
        <v>2025</v>
      </c>
    </row>
    <row r="986" ht="15" customHeight="1" s="104">
      <c r="A986" s="194" t="n">
        <v>45961</v>
      </c>
      <c r="B986" s="195" t="inlineStr">
        <is>
          <t>Tiktok</t>
        </is>
      </c>
      <c r="C986" s="195" t="inlineStr">
        <is>
          <t>Tiktok Shipping</t>
        </is>
      </c>
      <c r="D986" s="195" t="inlineStr">
        <is>
          <t>FBT fulfillment fee</t>
        </is>
      </c>
      <c r="E986" s="198" t="n">
        <v>0</v>
      </c>
      <c r="F986" s="201" t="n">
        <v>0</v>
      </c>
      <c r="H986" s="198" t="n">
        <v>0</v>
      </c>
      <c r="J986" s="200" t="inlineStr">
        <is>
          <t>Oct</t>
        </is>
      </c>
      <c r="K986" s="199" t="n">
        <v>2025</v>
      </c>
      <c r="L986" s="199" t="n">
        <v>2025</v>
      </c>
    </row>
    <row r="987" ht="15" customHeight="1" s="104">
      <c r="A987" s="194" t="n">
        <v>45961</v>
      </c>
      <c r="B987" s="195" t="inlineStr">
        <is>
          <t>Tiktok</t>
        </is>
      </c>
      <c r="C987" s="195" t="inlineStr">
        <is>
          <t>Tiktok Shipping</t>
        </is>
      </c>
      <c r="D987" s="195" t="inlineStr">
        <is>
          <t>Customer shipping fee offset</t>
        </is>
      </c>
      <c r="E987" s="198" t="n">
        <v>0</v>
      </c>
      <c r="F987" s="201" t="n">
        <v>0</v>
      </c>
      <c r="H987" s="198" t="n">
        <v>0</v>
      </c>
      <c r="J987" s="200" t="inlineStr">
        <is>
          <t>Oct</t>
        </is>
      </c>
      <c r="K987" s="199" t="n">
        <v>2025</v>
      </c>
      <c r="L987" s="199" t="n">
        <v>2025</v>
      </c>
    </row>
    <row r="988" ht="15" customHeight="1" s="104">
      <c r="A988" s="194" t="n">
        <v>45961</v>
      </c>
      <c r="B988" s="195" t="inlineStr">
        <is>
          <t>Tiktok</t>
        </is>
      </c>
      <c r="C988" s="195" t="inlineStr">
        <is>
          <t>Tiktok Shipping</t>
        </is>
      </c>
      <c r="D988" s="195" t="inlineStr">
        <is>
          <t>Co-funded free shipping reimbursement</t>
        </is>
      </c>
      <c r="E988" s="198" t="n">
        <v>0</v>
      </c>
      <c r="F988" s="201" t="n">
        <v>0</v>
      </c>
      <c r="H988" s="198" t="n">
        <v>0</v>
      </c>
      <c r="J988" s="200" t="inlineStr">
        <is>
          <t>Oct</t>
        </is>
      </c>
      <c r="K988" s="199" t="n">
        <v>2025</v>
      </c>
      <c r="L988" s="199" t="n">
        <v>2025</v>
      </c>
    </row>
    <row r="989" ht="15" customHeight="1" s="104">
      <c r="A989" s="194" t="n">
        <v>45961</v>
      </c>
      <c r="B989" s="195" t="inlineStr">
        <is>
          <t>Tiktok</t>
        </is>
      </c>
      <c r="C989" s="195" t="inlineStr">
        <is>
          <t>Tiktok Shipping</t>
        </is>
      </c>
      <c r="D989" s="195" t="inlineStr">
        <is>
          <t>Return shipping fee reimbursement</t>
        </is>
      </c>
      <c r="E989" s="196" t="n">
        <v>9.66</v>
      </c>
      <c r="F989" s="204" t="n">
        <v>0.002496111131</v>
      </c>
      <c r="H989" s="196" t="n">
        <v>9.66</v>
      </c>
      <c r="J989" s="200" t="inlineStr">
        <is>
          <t>Oct</t>
        </is>
      </c>
      <c r="K989" s="199" t="n">
        <v>2025</v>
      </c>
      <c r="L989" s="199" t="n">
        <v>2025</v>
      </c>
    </row>
    <row r="990" ht="15" customHeight="1" s="104">
      <c r="A990" s="194" t="n">
        <v>45961</v>
      </c>
      <c r="B990" s="195" t="inlineStr">
        <is>
          <t>Tiktok</t>
        </is>
      </c>
      <c r="C990" s="195" t="inlineStr">
        <is>
          <t>MCF Shipping fees</t>
        </is>
      </c>
      <c r="D990" s="195" t="inlineStr">
        <is>
          <t>MCF Shipping fees</t>
        </is>
      </c>
      <c r="E990" s="196" t="n">
        <v>-1449.42</v>
      </c>
      <c r="F990" s="204" t="n">
        <v>-0.3745251963</v>
      </c>
      <c r="H990" s="196" t="n">
        <v>-1449.42</v>
      </c>
      <c r="J990" s="200" t="inlineStr">
        <is>
          <t>Oct</t>
        </is>
      </c>
      <c r="K990" s="199" t="n">
        <v>2025</v>
      </c>
      <c r="L990" s="199" t="n">
        <v>2025</v>
      </c>
    </row>
    <row r="991" ht="15" customHeight="1" s="104">
      <c r="A991" s="194" t="n">
        <v>45961</v>
      </c>
      <c r="B991" s="195" t="inlineStr">
        <is>
          <t>Tiktok</t>
        </is>
      </c>
      <c r="C991" s="195" t="inlineStr">
        <is>
          <t>Fees</t>
        </is>
      </c>
      <c r="D991" s="195" t="inlineStr">
        <is>
          <t>Transaction fee</t>
        </is>
      </c>
      <c r="E991" s="198" t="n">
        <v>0</v>
      </c>
      <c r="F991" s="201" t="n">
        <v>0</v>
      </c>
      <c r="H991" s="198" t="n">
        <v>0</v>
      </c>
      <c r="J991" s="200" t="inlineStr">
        <is>
          <t>Oct</t>
        </is>
      </c>
      <c r="K991" s="199" t="n">
        <v>2025</v>
      </c>
      <c r="L991" s="199" t="n">
        <v>2025</v>
      </c>
    </row>
    <row r="992" ht="15" customHeight="1" s="104">
      <c r="A992" s="194" t="n">
        <v>45961</v>
      </c>
      <c r="B992" s="195" t="inlineStr">
        <is>
          <t>Tiktok</t>
        </is>
      </c>
      <c r="C992" s="195" t="inlineStr">
        <is>
          <t>Fees</t>
        </is>
      </c>
      <c r="D992" s="195" t="inlineStr">
        <is>
          <t>Referral fee</t>
        </is>
      </c>
      <c r="E992" s="196" t="n">
        <v>-232.26</v>
      </c>
      <c r="F992" s="204" t="n">
        <v>-0.06001519372</v>
      </c>
      <c r="H992" s="196" t="n">
        <v>-232.26</v>
      </c>
      <c r="J992" s="200" t="inlineStr">
        <is>
          <t>Oct</t>
        </is>
      </c>
      <c r="K992" s="199" t="n">
        <v>2025</v>
      </c>
      <c r="L992" s="199" t="n">
        <v>2025</v>
      </c>
    </row>
    <row r="993" ht="15" customHeight="1" s="104">
      <c r="A993" s="194" t="n">
        <v>45961</v>
      </c>
      <c r="B993" s="195" t="inlineStr">
        <is>
          <t>Tiktok</t>
        </is>
      </c>
      <c r="C993" s="195" t="inlineStr">
        <is>
          <t>Fees</t>
        </is>
      </c>
      <c r="D993" s="195" t="inlineStr">
        <is>
          <t>Refund administration fee</t>
        </is>
      </c>
      <c r="E993" s="196" t="n">
        <v>-3.42</v>
      </c>
      <c r="F993" s="204" t="n">
        <v>-0.0008837163632</v>
      </c>
      <c r="H993" s="196" t="n">
        <v>-3.42</v>
      </c>
      <c r="J993" s="200" t="inlineStr">
        <is>
          <t>Oct</t>
        </is>
      </c>
      <c r="K993" s="199" t="n">
        <v>2025</v>
      </c>
      <c r="L993" s="199" t="n">
        <v>2025</v>
      </c>
    </row>
    <row r="994" ht="15" customHeight="1" s="104">
      <c r="A994" s="194" t="n">
        <v>45961</v>
      </c>
      <c r="B994" s="195" t="inlineStr">
        <is>
          <t>Tiktok</t>
        </is>
      </c>
      <c r="C994" s="195" t="inlineStr">
        <is>
          <t>Fees</t>
        </is>
      </c>
      <c r="D994" s="195" t="inlineStr">
        <is>
          <t>Affiliate commission</t>
        </is>
      </c>
      <c r="E994" s="196" t="n">
        <v>-192.1</v>
      </c>
      <c r="F994" s="204" t="n">
        <v>-0.04963798637</v>
      </c>
      <c r="H994" s="196" t="n">
        <v>-192.1</v>
      </c>
      <c r="J994" s="200" t="inlineStr">
        <is>
          <t>Oct</t>
        </is>
      </c>
      <c r="K994" s="199" t="n">
        <v>2025</v>
      </c>
      <c r="L994" s="199" t="n">
        <v>2025</v>
      </c>
    </row>
    <row r="995" ht="15" customHeight="1" s="104">
      <c r="A995" s="194" t="n">
        <v>45961</v>
      </c>
      <c r="B995" s="195" t="inlineStr">
        <is>
          <t>Tiktok</t>
        </is>
      </c>
      <c r="C995" s="195" t="inlineStr">
        <is>
          <t>Fees</t>
        </is>
      </c>
      <c r="D995" s="195" t="inlineStr">
        <is>
          <t>Affiliate partner commission</t>
        </is>
      </c>
      <c r="E995" s="198" t="n">
        <v>0</v>
      </c>
      <c r="F995" s="201" t="n">
        <v>0</v>
      </c>
      <c r="H995" s="198" t="n">
        <v>0</v>
      </c>
      <c r="J995" s="200" t="inlineStr">
        <is>
          <t>Oct</t>
        </is>
      </c>
      <c r="K995" s="199" t="n">
        <v>2025</v>
      </c>
      <c r="L995" s="199" t="n">
        <v>2025</v>
      </c>
    </row>
    <row r="996" ht="15" customHeight="1" s="104">
      <c r="A996" s="194" t="n">
        <v>45961</v>
      </c>
      <c r="B996" s="195" t="inlineStr">
        <is>
          <t>Tiktok</t>
        </is>
      </c>
      <c r="C996" s="195" t="inlineStr">
        <is>
          <t>Fees</t>
        </is>
      </c>
      <c r="D996" s="195" t="inlineStr">
        <is>
          <t>Affiliate Shop Ads commission</t>
        </is>
      </c>
      <c r="E996" s="196" t="n">
        <v>-45</v>
      </c>
      <c r="F996" s="204" t="n">
        <v>-0.01162784688</v>
      </c>
      <c r="H996" s="196" t="n">
        <v>-45</v>
      </c>
      <c r="J996" s="200" t="inlineStr">
        <is>
          <t>Oct</t>
        </is>
      </c>
      <c r="K996" s="199" t="n">
        <v>2025</v>
      </c>
      <c r="L996" s="199" t="n">
        <v>2025</v>
      </c>
    </row>
    <row r="997" ht="15" customHeight="1" s="104">
      <c r="A997" s="194" t="n">
        <v>45961</v>
      </c>
      <c r="B997" s="195" t="inlineStr">
        <is>
          <t>Tiktok</t>
        </is>
      </c>
      <c r="C997" s="195" t="inlineStr">
        <is>
          <t>Fees</t>
        </is>
      </c>
      <c r="D997" s="195" t="inlineStr">
        <is>
          <t>Co-funded promotion service fee</t>
        </is>
      </c>
      <c r="E997" s="198" t="n">
        <v>0</v>
      </c>
      <c r="F997" s="201" t="n">
        <v>0</v>
      </c>
      <c r="H997" s="198" t="n">
        <v>0</v>
      </c>
      <c r="J997" s="200" t="inlineStr">
        <is>
          <t>Oct</t>
        </is>
      </c>
      <c r="K997" s="199" t="n">
        <v>2025</v>
      </c>
      <c r="L997" s="199" t="n">
        <v>2025</v>
      </c>
    </row>
    <row r="998" ht="15" customHeight="1" s="104">
      <c r="A998" s="194" t="n">
        <v>45961</v>
      </c>
      <c r="B998" s="195" t="inlineStr">
        <is>
          <t>Tiktok</t>
        </is>
      </c>
      <c r="C998" s="195" t="inlineStr">
        <is>
          <t xml:space="preserve">Adjustments
</t>
        </is>
      </c>
      <c r="D998" s="195" t="inlineStr">
        <is>
          <t>Logistics adjustment</t>
        </is>
      </c>
      <c r="E998" s="198" t="n">
        <v>0</v>
      </c>
      <c r="F998" s="201" t="n">
        <v>0</v>
      </c>
      <c r="H998" s="198" t="n">
        <v>0</v>
      </c>
      <c r="J998" s="200" t="inlineStr">
        <is>
          <t>Oct</t>
        </is>
      </c>
      <c r="K998" s="199" t="n">
        <v>2025</v>
      </c>
      <c r="L998" s="199" t="n">
        <v>2025</v>
      </c>
    </row>
    <row r="999" ht="15" customHeight="1" s="104">
      <c r="A999" s="194" t="n">
        <v>45961</v>
      </c>
      <c r="B999" s="195" t="inlineStr">
        <is>
          <t>Tiktok</t>
        </is>
      </c>
      <c r="C999" s="195" t="inlineStr">
        <is>
          <t xml:space="preserve">Adjustments
</t>
        </is>
      </c>
      <c r="D999" s="195" t="inlineStr">
        <is>
          <t>Logistics reimbursement</t>
        </is>
      </c>
      <c r="E999" s="198" t="n">
        <v>0</v>
      </c>
      <c r="F999" s="201" t="n">
        <v>0</v>
      </c>
      <c r="H999" s="198" t="n">
        <v>0</v>
      </c>
      <c r="J999" s="200" t="inlineStr">
        <is>
          <t>Oct</t>
        </is>
      </c>
      <c r="K999" s="199" t="n">
        <v>2025</v>
      </c>
      <c r="L999" s="199" t="n">
        <v>2025</v>
      </c>
    </row>
    <row r="1000" ht="15" customHeight="1" s="104">
      <c r="A1000" s="194" t="n">
        <v>45961</v>
      </c>
      <c r="B1000" s="195" t="inlineStr">
        <is>
          <t>Tiktok</t>
        </is>
      </c>
      <c r="C1000" s="195" t="inlineStr">
        <is>
          <t xml:space="preserve">Adjustments
</t>
        </is>
      </c>
      <c r="D1000" s="195" t="inlineStr">
        <is>
          <t>Logistics deduction</t>
        </is>
      </c>
      <c r="E1000" s="198" t="n">
        <v>0</v>
      </c>
      <c r="F1000" s="201" t="n">
        <v>0</v>
      </c>
      <c r="H1000" s="198" t="n">
        <v>0</v>
      </c>
      <c r="J1000" s="200" t="inlineStr">
        <is>
          <t>Oct</t>
        </is>
      </c>
      <c r="K1000" s="199" t="n">
        <v>2025</v>
      </c>
      <c r="L1000" s="199" t="n">
        <v>2025</v>
      </c>
    </row>
    <row r="1001" ht="15" customHeight="1" s="104">
      <c r="A1001" s="194" t="n">
        <v>45961</v>
      </c>
      <c r="B1001" s="195" t="inlineStr">
        <is>
          <t>Tiktok</t>
        </is>
      </c>
      <c r="C1001" s="195" t="inlineStr">
        <is>
          <t xml:space="preserve">Adjustments
</t>
        </is>
      </c>
      <c r="D1001" s="195" t="inlineStr">
        <is>
          <t>TikTok Shop reimbursement</t>
        </is>
      </c>
      <c r="E1001" s="198" t="n">
        <v>0</v>
      </c>
      <c r="F1001" s="201" t="n">
        <v>0</v>
      </c>
      <c r="H1001" s="198" t="n">
        <v>0</v>
      </c>
      <c r="J1001" s="200" t="inlineStr">
        <is>
          <t>Oct</t>
        </is>
      </c>
      <c r="K1001" s="199" t="n">
        <v>2025</v>
      </c>
      <c r="L1001" s="199" t="n">
        <v>2025</v>
      </c>
    </row>
    <row r="1002" ht="15" customHeight="1" s="104">
      <c r="A1002" s="194" t="n">
        <v>45961</v>
      </c>
      <c r="B1002" s="195" t="inlineStr">
        <is>
          <t>Tiktok</t>
        </is>
      </c>
      <c r="C1002" s="195" t="inlineStr">
        <is>
          <t xml:space="preserve">Adjustments
</t>
        </is>
      </c>
      <c r="D1002" s="195" t="inlineStr">
        <is>
          <t>Policy violation deduction</t>
        </is>
      </c>
      <c r="E1002" s="198" t="n">
        <v>0</v>
      </c>
      <c r="F1002" s="201" t="n">
        <v>0</v>
      </c>
      <c r="H1002" s="198" t="n">
        <v>0</v>
      </c>
      <c r="J1002" s="200" t="inlineStr">
        <is>
          <t>Oct</t>
        </is>
      </c>
      <c r="K1002" s="199" t="n">
        <v>2025</v>
      </c>
      <c r="L1002" s="199" t="n">
        <v>2025</v>
      </c>
    </row>
    <row r="1003" ht="15" customHeight="1" s="104">
      <c r="A1003" s="194" t="n">
        <v>45961</v>
      </c>
      <c r="B1003" s="195" t="inlineStr">
        <is>
          <t>Tiktok</t>
        </is>
      </c>
      <c r="C1003" s="195" t="inlineStr">
        <is>
          <t xml:space="preserve">Adjustments
</t>
        </is>
      </c>
      <c r="D1003" s="195" t="inlineStr">
        <is>
          <t>TikTok fees adjustment</t>
        </is>
      </c>
      <c r="E1003" s="198" t="n">
        <v>0</v>
      </c>
      <c r="F1003" s="201" t="n">
        <v>0</v>
      </c>
      <c r="H1003" s="198" t="n">
        <v>0</v>
      </c>
      <c r="J1003" s="200" t="inlineStr">
        <is>
          <t>Oct</t>
        </is>
      </c>
      <c r="K1003" s="199" t="n">
        <v>2025</v>
      </c>
      <c r="L1003" s="199" t="n">
        <v>2025</v>
      </c>
    </row>
    <row r="1004" ht="15" customHeight="1" s="104">
      <c r="A1004" s="194" t="n">
        <v>45961</v>
      </c>
      <c r="B1004" s="195" t="inlineStr">
        <is>
          <t>Tiktok</t>
        </is>
      </c>
      <c r="C1004" s="195" t="inlineStr">
        <is>
          <t xml:space="preserve">Adjustments
</t>
        </is>
      </c>
      <c r="D1004" s="195" t="inlineStr">
        <is>
          <t>Promotion adjustment</t>
        </is>
      </c>
      <c r="E1004" s="198" t="n">
        <v>0</v>
      </c>
      <c r="F1004" s="201" t="n">
        <v>0</v>
      </c>
      <c r="H1004" s="198" t="n">
        <v>0</v>
      </c>
      <c r="J1004" s="200" t="inlineStr">
        <is>
          <t>Oct</t>
        </is>
      </c>
      <c r="K1004" s="199" t="n">
        <v>2025</v>
      </c>
      <c r="L1004" s="199" t="n">
        <v>2025</v>
      </c>
    </row>
    <row r="1005" ht="15" customHeight="1" s="104">
      <c r="A1005" s="194" t="n">
        <v>45961</v>
      </c>
      <c r="B1005" s="195" t="inlineStr">
        <is>
          <t>Tiktok</t>
        </is>
      </c>
      <c r="C1005" s="195" t="inlineStr">
        <is>
          <t xml:space="preserve">Adjustments
</t>
        </is>
      </c>
      <c r="D1005" s="195" t="inlineStr">
        <is>
          <t>Adjustment from settlement account</t>
        </is>
      </c>
      <c r="E1005" s="198" t="n">
        <v>0</v>
      </c>
      <c r="F1005" s="201" t="n">
        <v>0</v>
      </c>
      <c r="H1005" s="198" t="n">
        <v>0</v>
      </c>
      <c r="J1005" s="200" t="inlineStr">
        <is>
          <t>Oct</t>
        </is>
      </c>
      <c r="K1005" s="199" t="n">
        <v>2025</v>
      </c>
      <c r="L1005" s="199" t="n">
        <v>2025</v>
      </c>
    </row>
    <row r="1006" ht="15" customHeight="1" s="104">
      <c r="A1006" s="194" t="n">
        <v>45961</v>
      </c>
      <c r="B1006" s="195" t="inlineStr">
        <is>
          <t>Tiktok</t>
        </is>
      </c>
      <c r="C1006" s="195" t="inlineStr">
        <is>
          <t xml:space="preserve">Adjustments
</t>
        </is>
      </c>
      <c r="D1006" s="195" t="inlineStr">
        <is>
          <t>Chargeback</t>
        </is>
      </c>
      <c r="E1006" s="198" t="n">
        <v>0</v>
      </c>
      <c r="F1006" s="201" t="n">
        <v>0</v>
      </c>
      <c r="H1006" s="198" t="n">
        <v>0</v>
      </c>
      <c r="J1006" s="200" t="inlineStr">
        <is>
          <t>Oct</t>
        </is>
      </c>
      <c r="K1006" s="199" t="n">
        <v>2025</v>
      </c>
      <c r="L1006" s="199" t="n">
        <v>2025</v>
      </c>
    </row>
    <row r="1007" ht="15" customHeight="1" s="104">
      <c r="A1007" s="194" t="n">
        <v>45961</v>
      </c>
      <c r="B1007" s="195" t="inlineStr">
        <is>
          <t>Tiktok</t>
        </is>
      </c>
      <c r="C1007" s="195" t="inlineStr">
        <is>
          <t xml:space="preserve">Adjustments
</t>
        </is>
      </c>
      <c r="D1007" s="195" t="inlineStr">
        <is>
          <t>Other adjustment</t>
        </is>
      </c>
      <c r="E1007" s="198" t="n">
        <v>0</v>
      </c>
      <c r="F1007" s="201" t="n">
        <v>0</v>
      </c>
      <c r="H1007" s="198" t="n">
        <v>0</v>
      </c>
      <c r="J1007" s="200" t="inlineStr">
        <is>
          <t>Oct</t>
        </is>
      </c>
      <c r="K1007" s="199" t="n">
        <v>2025</v>
      </c>
      <c r="L1007" s="199" t="n">
        <v>2025</v>
      </c>
    </row>
    <row r="1008" ht="15" customHeight="1" s="104">
      <c r="A1008" s="194" t="n">
        <v>45961</v>
      </c>
      <c r="B1008" s="195" t="inlineStr">
        <is>
          <t>Tiktok</t>
        </is>
      </c>
      <c r="C1008" s="195" t="inlineStr">
        <is>
          <t xml:space="preserve">Adjustments
</t>
        </is>
      </c>
      <c r="D1008" s="195" t="inlineStr">
        <is>
          <t>Top up ads balance using GMV payments</t>
        </is>
      </c>
      <c r="E1008" s="198" t="n">
        <v>0</v>
      </c>
      <c r="F1008" s="201" t="n">
        <v>0</v>
      </c>
      <c r="H1008" s="198" t="n">
        <v>0</v>
      </c>
      <c r="J1008" s="200" t="inlineStr">
        <is>
          <t>Oct</t>
        </is>
      </c>
      <c r="K1008" s="199" t="n">
        <v>2025</v>
      </c>
      <c r="L1008" s="199" t="n">
        <v>2025</v>
      </c>
    </row>
    <row r="1009" ht="15" customHeight="1" s="104">
      <c r="A1009" s="194" t="n">
        <v>45961</v>
      </c>
      <c r="B1009" s="195" t="inlineStr">
        <is>
          <t>Tiktok</t>
        </is>
      </c>
      <c r="C1009" s="195" t="inlineStr">
        <is>
          <t xml:space="preserve">Adjustments
</t>
        </is>
      </c>
      <c r="D1009" s="195" t="inlineStr">
        <is>
          <t>FBT warehouse service fee</t>
        </is>
      </c>
      <c r="E1009" s="196" t="n">
        <v>-3.04</v>
      </c>
      <c r="F1009" s="204" t="n">
        <v>-0.0007855256562</v>
      </c>
      <c r="H1009" s="196" t="n">
        <v>-3.04</v>
      </c>
      <c r="J1009" s="200" t="inlineStr">
        <is>
          <t>Oct</t>
        </is>
      </c>
      <c r="K1009" s="199" t="n">
        <v>2025</v>
      </c>
      <c r="L1009" s="199" t="n">
        <v>2025</v>
      </c>
    </row>
    <row r="1010" ht="15" customHeight="1" s="104">
      <c r="A1010" s="194" t="n">
        <v>45961</v>
      </c>
      <c r="B1010" s="195" t="inlineStr">
        <is>
          <t>Tiktok</t>
        </is>
      </c>
      <c r="C1010" s="195" t="inlineStr">
        <is>
          <t xml:space="preserve">Adjustments
</t>
        </is>
      </c>
      <c r="D1010" s="195" t="inlineStr">
        <is>
          <t>Co-funded creator activity</t>
        </is>
      </c>
      <c r="E1010" s="198" t="n">
        <v>0</v>
      </c>
      <c r="F1010" s="201" t="n">
        <v>0</v>
      </c>
      <c r="H1010" s="198" t="n">
        <v>0</v>
      </c>
      <c r="J1010" s="200" t="inlineStr">
        <is>
          <t>Oct</t>
        </is>
      </c>
      <c r="K1010" s="199" t="n">
        <v>2025</v>
      </c>
      <c r="L1010" s="199" t="n">
        <v>2025</v>
      </c>
    </row>
    <row r="1011" ht="15" customHeight="1" s="104">
      <c r="A1011" s="194" t="n">
        <v>45961</v>
      </c>
      <c r="B1011" s="195" t="inlineStr">
        <is>
          <t>Tiktok</t>
        </is>
      </c>
      <c r="C1011" s="195" t="inlineStr">
        <is>
          <t xml:space="preserve">Adjustments
</t>
        </is>
      </c>
      <c r="D1011" s="195" t="inlineStr">
        <is>
          <t>Rebate</t>
        </is>
      </c>
      <c r="E1011" s="198" t="n">
        <v>0</v>
      </c>
      <c r="F1011" s="201" t="n">
        <v>0</v>
      </c>
      <c r="H1011" s="198" t="n">
        <v>0</v>
      </c>
      <c r="J1011" s="200" t="inlineStr">
        <is>
          <t>Oct</t>
        </is>
      </c>
      <c r="K1011" s="199" t="n">
        <v>2025</v>
      </c>
      <c r="L1011" s="199" t="n">
        <v>2025</v>
      </c>
    </row>
    <row r="1012" ht="15" customHeight="1" s="104">
      <c r="A1012" s="194" t="n">
        <v>45961</v>
      </c>
      <c r="B1012" s="195" t="inlineStr">
        <is>
          <t>Tiktok</t>
        </is>
      </c>
      <c r="C1012" s="195" t="inlineStr">
        <is>
          <t>Cost of goods</t>
        </is>
      </c>
      <c r="D1012" s="195" t="inlineStr">
        <is>
          <t>Cost of goods sold</t>
        </is>
      </c>
      <c r="E1012" s="196" t="n">
        <v>-1315.46</v>
      </c>
      <c r="F1012" s="204" t="n">
        <v>-0.3399103881</v>
      </c>
      <c r="H1012" s="196" t="n">
        <v>-1315.46</v>
      </c>
      <c r="J1012" s="200" t="inlineStr">
        <is>
          <t>Oct</t>
        </is>
      </c>
      <c r="K1012" s="199" t="n">
        <v>2025</v>
      </c>
      <c r="L1012" s="199" t="n">
        <v>2025</v>
      </c>
    </row>
    <row r="1013" ht="15" customHeight="1" s="104">
      <c r="A1013" s="194" t="n">
        <v>45961</v>
      </c>
      <c r="B1013" s="195" t="inlineStr">
        <is>
          <t>Tiktok</t>
        </is>
      </c>
      <c r="C1013" s="195" t="inlineStr">
        <is>
          <t>Advertising cost</t>
        </is>
      </c>
      <c r="D1013" s="195" t="inlineStr">
        <is>
          <t>Advertising Cost</t>
        </is>
      </c>
      <c r="E1013" s="196" t="n">
        <v>-586.48</v>
      </c>
      <c r="F1013" s="204" t="n">
        <v>-0.1515444365</v>
      </c>
      <c r="H1013" s="196" t="n">
        <v>-586.48</v>
      </c>
      <c r="J1013" s="200" t="inlineStr">
        <is>
          <t>Oct</t>
        </is>
      </c>
      <c r="K1013" s="199" t="n">
        <v>2025</v>
      </c>
      <c r="L1013" s="199" t="n">
        <v>2025</v>
      </c>
    </row>
    <row r="1014" ht="15" customHeight="1" s="104">
      <c r="A1014" s="194" t="n">
        <v>45961</v>
      </c>
      <c r="B1014" s="195" t="inlineStr">
        <is>
          <t>Shopify</t>
        </is>
      </c>
      <c r="C1014" s="195" t="inlineStr">
        <is>
          <t>Payment fees</t>
        </is>
      </c>
      <c r="D1014" s="195" t="inlineStr">
        <is>
          <t>Shopify Payments fee</t>
        </is>
      </c>
      <c r="E1014" s="196" t="n">
        <v>-147.97</v>
      </c>
      <c r="F1014" s="204" t="n">
        <v>-0.03109456134</v>
      </c>
      <c r="H1014" s="196" t="n">
        <v>-147.97</v>
      </c>
      <c r="J1014" s="200" t="inlineStr">
        <is>
          <t>Oct</t>
        </is>
      </c>
      <c r="K1014" s="199" t="n">
        <v>2025</v>
      </c>
      <c r="L1014" s="199" t="n">
        <v>2025</v>
      </c>
    </row>
    <row r="1015" ht="15" customHeight="1" s="104">
      <c r="A1015" s="194" t="n">
        <v>45961</v>
      </c>
      <c r="B1015" s="195" t="inlineStr">
        <is>
          <t>Shopify</t>
        </is>
      </c>
      <c r="C1015" s="195" t="inlineStr">
        <is>
          <t>Cost of goods</t>
        </is>
      </c>
      <c r="D1015" s="195" t="inlineStr">
        <is>
          <t>Cost of goods sold</t>
        </is>
      </c>
      <c r="E1015" s="196" t="n">
        <v>-1476.28</v>
      </c>
      <c r="F1015" s="204" t="n">
        <v>-0.3102269312</v>
      </c>
      <c r="H1015" s="196" t="n">
        <v>-1476.28</v>
      </c>
      <c r="J1015" s="200" t="inlineStr">
        <is>
          <t>Oct</t>
        </is>
      </c>
      <c r="K1015" s="199" t="n">
        <v>2025</v>
      </c>
      <c r="L1015" s="199" t="n">
        <v>2025</v>
      </c>
    </row>
    <row r="1016" ht="15" customHeight="1" s="104">
      <c r="A1016" s="194" t="n">
        <v>45961</v>
      </c>
      <c r="B1016" s="195" t="inlineStr">
        <is>
          <t>Shopify</t>
        </is>
      </c>
      <c r="C1016" s="195" t="inlineStr">
        <is>
          <t>Tax</t>
        </is>
      </c>
      <c r="D1016" s="195" t="inlineStr">
        <is>
          <t>Texas State Tax</t>
        </is>
      </c>
      <c r="E1016" s="196" t="n">
        <v>-15.76</v>
      </c>
      <c r="F1016" s="204" t="n">
        <v>-0.003311821901</v>
      </c>
      <c r="H1016" s="196" t="n">
        <v>-15.76</v>
      </c>
      <c r="J1016" s="200" t="inlineStr">
        <is>
          <t>Oct</t>
        </is>
      </c>
      <c r="K1016" s="199" t="n">
        <v>2025</v>
      </c>
      <c r="L1016" s="199" t="n">
        <v>2025</v>
      </c>
    </row>
    <row r="1017" ht="15" customHeight="1" s="104">
      <c r="A1017" s="194" t="n">
        <v>45961</v>
      </c>
      <c r="B1017" s="195" t="inlineStr">
        <is>
          <t>Shopify</t>
        </is>
      </c>
      <c r="C1017" s="195" t="inlineStr">
        <is>
          <t>Tax</t>
        </is>
      </c>
      <c r="D1017" s="195" t="inlineStr">
        <is>
          <t>New Jersey State Tax</t>
        </is>
      </c>
      <c r="E1017" s="196" t="n">
        <v>-15.32</v>
      </c>
      <c r="F1017" s="204" t="n">
        <v>-0.003219359869</v>
      </c>
      <c r="H1017" s="196" t="n">
        <v>-15.32</v>
      </c>
      <c r="J1017" s="200" t="inlineStr">
        <is>
          <t>Oct</t>
        </is>
      </c>
      <c r="K1017" s="199" t="n">
        <v>2025</v>
      </c>
      <c r="L1017" s="199" t="n">
        <v>2025</v>
      </c>
    </row>
    <row r="1018" ht="15" customHeight="1" s="104">
      <c r="A1018" s="194" t="n">
        <v>45961</v>
      </c>
      <c r="B1018" s="195" t="inlineStr">
        <is>
          <t>Shopify</t>
        </is>
      </c>
      <c r="C1018" s="195" t="inlineStr">
        <is>
          <t>Tax</t>
        </is>
      </c>
      <c r="D1018" s="195" t="inlineStr">
        <is>
          <t>Florida State Tax</t>
        </is>
      </c>
      <c r="E1018" s="198" t="n">
        <v>0</v>
      </c>
      <c r="F1018" s="201" t="n">
        <v>0</v>
      </c>
      <c r="H1018" s="198" t="n">
        <v>0</v>
      </c>
      <c r="J1018" s="200" t="inlineStr">
        <is>
          <t>Oct</t>
        </is>
      </c>
      <c r="K1018" s="199" t="n">
        <v>2025</v>
      </c>
      <c r="L1018" s="199" t="n">
        <v>2025</v>
      </c>
    </row>
    <row r="1019" ht="15" customHeight="1" s="104">
      <c r="A1019" s="194" t="n">
        <v>45961</v>
      </c>
      <c r="B1019" s="195" t="inlineStr">
        <is>
          <t>Shopify</t>
        </is>
      </c>
      <c r="C1019" s="195" t="inlineStr">
        <is>
          <t>Tax</t>
        </is>
      </c>
      <c r="D1019" s="195" t="inlineStr">
        <is>
          <t>Dekalb County Tax</t>
        </is>
      </c>
      <c r="E1019" s="198" t="n">
        <v>0</v>
      </c>
      <c r="F1019" s="201" t="n">
        <v>0</v>
      </c>
      <c r="H1019" s="198" t="n">
        <v>0</v>
      </c>
      <c r="J1019" s="200" t="inlineStr">
        <is>
          <t>Oct</t>
        </is>
      </c>
      <c r="K1019" s="199" t="n">
        <v>2025</v>
      </c>
      <c r="L1019" s="199" t="n">
        <v>2025</v>
      </c>
    </row>
    <row r="1020" ht="15" customHeight="1" s="104">
      <c r="A1020" s="194" t="n">
        <v>45961</v>
      </c>
      <c r="B1020" s="195" t="inlineStr">
        <is>
          <t>Shopify</t>
        </is>
      </c>
      <c r="C1020" s="195" t="inlineStr">
        <is>
          <t>Tax</t>
        </is>
      </c>
      <c r="D1020" s="195" t="inlineStr">
        <is>
          <t>Dekalb Co Tsplost Sp</t>
        </is>
      </c>
      <c r="E1020" s="198" t="n">
        <v>0</v>
      </c>
      <c r="F1020" s="201" t="n">
        <v>0</v>
      </c>
      <c r="H1020" s="198" t="n">
        <v>0</v>
      </c>
      <c r="J1020" s="200" t="inlineStr">
        <is>
          <t>Oct</t>
        </is>
      </c>
      <c r="K1020" s="199" t="n">
        <v>2025</v>
      </c>
      <c r="L1020" s="199" t="n">
        <v>2025</v>
      </c>
    </row>
    <row r="1021" ht="15" customHeight="1" s="104">
      <c r="A1021" s="194" t="n">
        <v>45961</v>
      </c>
      <c r="B1021" s="195" t="inlineStr">
        <is>
          <t>Shopify</t>
        </is>
      </c>
      <c r="C1021" s="195" t="inlineStr">
        <is>
          <t>Tax</t>
        </is>
      </c>
      <c r="D1021" s="195" t="inlineStr">
        <is>
          <t>Miami Dade County Tax</t>
        </is>
      </c>
      <c r="E1021" s="198" t="n">
        <v>0</v>
      </c>
      <c r="F1021" s="201" t="n">
        <v>0</v>
      </c>
      <c r="H1021" s="198" t="n">
        <v>0</v>
      </c>
      <c r="J1021" s="200" t="inlineStr">
        <is>
          <t>Oct</t>
        </is>
      </c>
      <c r="K1021" s="199" t="n">
        <v>2025</v>
      </c>
      <c r="L1021" s="199" t="n">
        <v>2025</v>
      </c>
    </row>
    <row r="1022" ht="15" customHeight="1" s="104">
      <c r="A1022" s="194" t="n">
        <v>45961</v>
      </c>
      <c r="B1022" s="195" t="inlineStr">
        <is>
          <t>Shopify</t>
        </is>
      </c>
      <c r="C1022" s="195" t="inlineStr">
        <is>
          <t>Tax</t>
        </is>
      </c>
      <c r="D1022" s="195" t="inlineStr">
        <is>
          <t>Galveston City Tax</t>
        </is>
      </c>
      <c r="E1022" s="196" t="n">
        <v>-9.01</v>
      </c>
      <c r="F1022" s="204" t="n">
        <v>-0.001893370262</v>
      </c>
      <c r="H1022" s="196" t="n">
        <v>-9.01</v>
      </c>
      <c r="J1022" s="200" t="inlineStr">
        <is>
          <t>Oct</t>
        </is>
      </c>
      <c r="K1022" s="199" t="n">
        <v>2025</v>
      </c>
      <c r="L1022" s="199" t="n">
        <v>2025</v>
      </c>
    </row>
    <row r="1023" ht="15" customHeight="1" s="104">
      <c r="A1023" s="194" t="n">
        <v>45961</v>
      </c>
      <c r="B1023" s="195" t="inlineStr">
        <is>
          <t>Shopify</t>
        </is>
      </c>
      <c r="C1023" s="195" t="inlineStr">
        <is>
          <t>MCF Shipping fees</t>
        </is>
      </c>
      <c r="D1023" s="195" t="inlineStr">
        <is>
          <t>MCF Shipping fees</t>
        </is>
      </c>
      <c r="E1023" s="196" t="n">
        <v>-1122.03</v>
      </c>
      <c r="F1023" s="204" t="n">
        <v>-0.2357844878</v>
      </c>
      <c r="H1023" s="196" t="n">
        <v>-1122.03</v>
      </c>
      <c r="J1023" s="200" t="inlineStr">
        <is>
          <t>Oct</t>
        </is>
      </c>
      <c r="K1023" s="199" t="n">
        <v>2025</v>
      </c>
      <c r="L1023" s="199" t="n">
        <v>2025</v>
      </c>
    </row>
    <row r="1024" ht="15" customHeight="1" s="104">
      <c r="A1024" s="194" t="n">
        <v>45961</v>
      </c>
      <c r="B1024" s="195" t="inlineStr">
        <is>
          <t>Shopify</t>
        </is>
      </c>
      <c r="C1024" s="195" t="inlineStr">
        <is>
          <t>Shipping Cost</t>
        </is>
      </c>
      <c r="D1024" s="195" t="inlineStr">
        <is>
          <t>Shipping Cost</t>
        </is>
      </c>
      <c r="E1024" s="198" t="n">
        <v>0</v>
      </c>
      <c r="F1024" s="201" t="n">
        <v>0</v>
      </c>
      <c r="H1024" s="198" t="n">
        <v>0</v>
      </c>
      <c r="J1024" s="200" t="inlineStr">
        <is>
          <t>Oct</t>
        </is>
      </c>
      <c r="K1024" s="199" t="n">
        <v>2025</v>
      </c>
      <c r="L1024" s="199" t="n">
        <v>2025</v>
      </c>
    </row>
    <row r="1025" ht="15" customHeight="1" s="104">
      <c r="A1025" s="194" t="n">
        <v>45961</v>
      </c>
      <c r="B1025" s="195" t="inlineStr">
        <is>
          <t>Shopify</t>
        </is>
      </c>
      <c r="C1025" s="195" t="inlineStr">
        <is>
          <t>Advertising cost</t>
        </is>
      </c>
      <c r="D1025" s="195" t="inlineStr">
        <is>
          <t>Advertising Cost</t>
        </is>
      </c>
      <c r="E1025" s="196" t="n">
        <v>-1846.8</v>
      </c>
      <c r="F1025" s="204" t="n">
        <v>-0.3880883685</v>
      </c>
      <c r="H1025" s="196" t="n">
        <v>-1846.8</v>
      </c>
      <c r="J1025" s="200" t="inlineStr">
        <is>
          <t>Oct</t>
        </is>
      </c>
      <c r="K1025" s="199" t="n">
        <v>2025</v>
      </c>
      <c r="L1025" s="199" t="n">
        <v>2025</v>
      </c>
    </row>
    <row r="1026" ht="15" customHeight="1" s="104">
      <c r="A1026" s="194" t="n">
        <v>45991</v>
      </c>
      <c r="B1026" s="195" t="inlineStr">
        <is>
          <t>Tiktok</t>
        </is>
      </c>
      <c r="C1026" s="195" t="inlineStr">
        <is>
          <t>Tiktok Shipping</t>
        </is>
      </c>
      <c r="D1026" s="195" t="inlineStr">
        <is>
          <t>TikTok Shop shipping fee</t>
        </is>
      </c>
      <c r="E1026" s="198" t="n">
        <v>0</v>
      </c>
      <c r="F1026" s="201" t="n">
        <v>0</v>
      </c>
      <c r="H1026" s="198" t="n">
        <v>0</v>
      </c>
      <c r="J1026" s="200" t="inlineStr">
        <is>
          <t>Nov</t>
        </is>
      </c>
      <c r="K1026" s="199" t="n">
        <v>2025</v>
      </c>
      <c r="L1026" s="199" t="n">
        <v>2025</v>
      </c>
    </row>
    <row r="1027" ht="15" customHeight="1" s="104">
      <c r="A1027" s="194" t="n">
        <v>45991</v>
      </c>
      <c r="B1027" s="195" t="inlineStr">
        <is>
          <t>Tiktok</t>
        </is>
      </c>
      <c r="C1027" s="195" t="inlineStr">
        <is>
          <t>Tiktok Shipping</t>
        </is>
      </c>
      <c r="D1027" s="195" t="inlineStr">
        <is>
          <t>Fulfilled by TikTok Shop (FBT) shipping fee</t>
        </is>
      </c>
      <c r="E1027" s="198" t="n">
        <v>0</v>
      </c>
      <c r="F1027" s="201" t="n">
        <v>0</v>
      </c>
      <c r="H1027" s="198" t="n">
        <v>0</v>
      </c>
      <c r="J1027" s="200" t="inlineStr">
        <is>
          <t>Nov</t>
        </is>
      </c>
      <c r="K1027" s="199" t="n">
        <v>2025</v>
      </c>
      <c r="L1027" s="199" t="n">
        <v>2025</v>
      </c>
    </row>
    <row r="1028" ht="15" customHeight="1" s="104">
      <c r="A1028" s="194" t="n">
        <v>45991</v>
      </c>
      <c r="B1028" s="195" t="inlineStr">
        <is>
          <t>Tiktok</t>
        </is>
      </c>
      <c r="C1028" s="195" t="inlineStr">
        <is>
          <t>Tiktok Shipping</t>
        </is>
      </c>
      <c r="D1028" s="195" t="inlineStr">
        <is>
          <t>Signature confirmation service fee</t>
        </is>
      </c>
      <c r="E1028" s="198" t="n">
        <v>0</v>
      </c>
      <c r="F1028" s="201" t="n">
        <v>0</v>
      </c>
      <c r="H1028" s="198" t="n">
        <v>0</v>
      </c>
      <c r="J1028" s="200" t="inlineStr">
        <is>
          <t>Nov</t>
        </is>
      </c>
      <c r="K1028" s="199" t="n">
        <v>2025</v>
      </c>
      <c r="L1028" s="199" t="n">
        <v>2025</v>
      </c>
    </row>
    <row r="1029" ht="15" customHeight="1" s="104">
      <c r="A1029" s="194" t="n">
        <v>45991</v>
      </c>
      <c r="B1029" s="195" t="inlineStr">
        <is>
          <t>Tiktok</t>
        </is>
      </c>
      <c r="C1029" s="195" t="inlineStr">
        <is>
          <t>Tiktok Shipping</t>
        </is>
      </c>
      <c r="D1029" s="195" t="inlineStr">
        <is>
          <t>Shipping insurance fee</t>
        </is>
      </c>
      <c r="E1029" s="198" t="n">
        <v>0</v>
      </c>
      <c r="F1029" s="201" t="n">
        <v>0</v>
      </c>
      <c r="H1029" s="198" t="n">
        <v>0</v>
      </c>
      <c r="J1029" s="200" t="inlineStr">
        <is>
          <t>Nov</t>
        </is>
      </c>
      <c r="K1029" s="199" t="n">
        <v>2025</v>
      </c>
      <c r="L1029" s="199" t="n">
        <v>2025</v>
      </c>
    </row>
    <row r="1030" ht="15" customHeight="1" s="104">
      <c r="A1030" s="194" t="n">
        <v>45991</v>
      </c>
      <c r="B1030" s="195" t="inlineStr">
        <is>
          <t>Tiktok</t>
        </is>
      </c>
      <c r="C1030" s="195" t="inlineStr">
        <is>
          <t>Tiktok Shipping</t>
        </is>
      </c>
      <c r="D1030" s="195" t="inlineStr">
        <is>
          <t>Customer-paid shipping fee</t>
        </is>
      </c>
      <c r="E1030" s="198" t="n">
        <v>0</v>
      </c>
      <c r="F1030" s="201" t="n">
        <v>0</v>
      </c>
      <c r="H1030" s="198" t="n">
        <v>0</v>
      </c>
      <c r="J1030" s="200" t="inlineStr">
        <is>
          <t>Nov</t>
        </is>
      </c>
      <c r="K1030" s="199" t="n">
        <v>2025</v>
      </c>
      <c r="L1030" s="199" t="n">
        <v>2025</v>
      </c>
    </row>
    <row r="1031" ht="15" customHeight="1" s="104">
      <c r="A1031" s="194" t="n">
        <v>45991</v>
      </c>
      <c r="B1031" s="195" t="inlineStr">
        <is>
          <t>Tiktok</t>
        </is>
      </c>
      <c r="C1031" s="195" t="inlineStr">
        <is>
          <t>Tiktok Shipping</t>
        </is>
      </c>
      <c r="D1031" s="195" t="inlineStr">
        <is>
          <t>Customer-paid shipping fee refund</t>
        </is>
      </c>
      <c r="E1031" s="198" t="n">
        <v>0</v>
      </c>
      <c r="F1031" s="201" t="n">
        <v>0</v>
      </c>
      <c r="H1031" s="198" t="n">
        <v>0</v>
      </c>
      <c r="J1031" s="200" t="inlineStr">
        <is>
          <t>Nov</t>
        </is>
      </c>
      <c r="K1031" s="199" t="n">
        <v>2025</v>
      </c>
      <c r="L1031" s="199" t="n">
        <v>2025</v>
      </c>
    </row>
    <row r="1032" ht="15" customHeight="1" s="104">
      <c r="A1032" s="194" t="n">
        <v>45991</v>
      </c>
      <c r="B1032" s="195" t="inlineStr">
        <is>
          <t>Tiktok</t>
        </is>
      </c>
      <c r="C1032" s="195" t="inlineStr">
        <is>
          <t>Tiktok Shipping</t>
        </is>
      </c>
      <c r="D1032" s="195" t="inlineStr">
        <is>
          <t>TikTok Shop shipping incentive</t>
        </is>
      </c>
      <c r="E1032" s="198" t="n">
        <v>0</v>
      </c>
      <c r="F1032" s="201" t="n">
        <v>0</v>
      </c>
      <c r="H1032" s="198" t="n">
        <v>0</v>
      </c>
      <c r="J1032" s="200" t="inlineStr">
        <is>
          <t>Nov</t>
        </is>
      </c>
      <c r="K1032" s="199" t="n">
        <v>2025</v>
      </c>
      <c r="L1032" s="199" t="n">
        <v>2025</v>
      </c>
    </row>
    <row r="1033" ht="15" customHeight="1" s="104">
      <c r="A1033" s="194" t="n">
        <v>45991</v>
      </c>
      <c r="B1033" s="195" t="inlineStr">
        <is>
          <t>Tiktok</t>
        </is>
      </c>
      <c r="C1033" s="195" t="inlineStr">
        <is>
          <t>Tiktok Shipping</t>
        </is>
      </c>
      <c r="D1033" s="195" t="inlineStr">
        <is>
          <t>TikTok Shop shipping incentive refund</t>
        </is>
      </c>
      <c r="E1033" s="198" t="n">
        <v>0</v>
      </c>
      <c r="F1033" s="201" t="n">
        <v>0</v>
      </c>
      <c r="H1033" s="198" t="n">
        <v>0</v>
      </c>
      <c r="J1033" s="200" t="inlineStr">
        <is>
          <t>Nov</t>
        </is>
      </c>
      <c r="K1033" s="199" t="n">
        <v>2025</v>
      </c>
      <c r="L1033" s="199" t="n">
        <v>2025</v>
      </c>
    </row>
    <row r="1034" ht="15" customHeight="1" s="104">
      <c r="A1034" s="194" t="n">
        <v>45991</v>
      </c>
      <c r="B1034" s="195" t="inlineStr">
        <is>
          <t>Tiktok</t>
        </is>
      </c>
      <c r="C1034" s="195" t="inlineStr">
        <is>
          <t>Tiktok Shipping</t>
        </is>
      </c>
      <c r="D1034" s="195" t="inlineStr">
        <is>
          <t>Shipping fee subsidy</t>
        </is>
      </c>
      <c r="E1034" s="198" t="n">
        <v>0</v>
      </c>
      <c r="F1034" s="201" t="n">
        <v>0</v>
      </c>
      <c r="H1034" s="198" t="n">
        <v>0</v>
      </c>
      <c r="J1034" s="200" t="inlineStr">
        <is>
          <t>Nov</t>
        </is>
      </c>
      <c r="K1034" s="199" t="n">
        <v>2025</v>
      </c>
      <c r="L1034" s="199" t="n">
        <v>2025</v>
      </c>
    </row>
    <row r="1035" ht="15" customHeight="1" s="104">
      <c r="A1035" s="194" t="n">
        <v>45991</v>
      </c>
      <c r="B1035" s="195" t="inlineStr">
        <is>
          <t>Tiktok</t>
        </is>
      </c>
      <c r="C1035" s="195" t="inlineStr">
        <is>
          <t>Tiktok Shipping</t>
        </is>
      </c>
      <c r="D1035" s="195" t="inlineStr">
        <is>
          <t>Return shipping fee</t>
        </is>
      </c>
      <c r="E1035" s="196" t="n">
        <v>-18.58</v>
      </c>
      <c r="F1035" s="204" t="n">
        <v>-0.001736958322</v>
      </c>
      <c r="H1035" s="196" t="n">
        <v>-18.58</v>
      </c>
      <c r="J1035" s="200" t="inlineStr">
        <is>
          <t>Nov</t>
        </is>
      </c>
      <c r="K1035" s="199" t="n">
        <v>2025</v>
      </c>
      <c r="L1035" s="199" t="n">
        <v>2025</v>
      </c>
    </row>
    <row r="1036" ht="15" customHeight="1" s="104">
      <c r="A1036" s="194" t="n">
        <v>45991</v>
      </c>
      <c r="B1036" s="195" t="inlineStr">
        <is>
          <t>Tiktok</t>
        </is>
      </c>
      <c r="C1036" s="195" t="inlineStr">
        <is>
          <t>Tiktok Shipping</t>
        </is>
      </c>
      <c r="D1036" s="195" t="inlineStr">
        <is>
          <t>FBT fulfillment fee</t>
        </is>
      </c>
      <c r="E1036" s="198" t="n">
        <v>0</v>
      </c>
      <c r="F1036" s="201" t="n">
        <v>0</v>
      </c>
      <c r="H1036" s="198" t="n">
        <v>0</v>
      </c>
      <c r="J1036" s="200" t="inlineStr">
        <is>
          <t>Nov</t>
        </is>
      </c>
      <c r="K1036" s="199" t="n">
        <v>2025</v>
      </c>
      <c r="L1036" s="199" t="n">
        <v>2025</v>
      </c>
    </row>
    <row r="1037" ht="15" customHeight="1" s="104">
      <c r="A1037" s="194" t="n">
        <v>45991</v>
      </c>
      <c r="B1037" s="195" t="inlineStr">
        <is>
          <t>Tiktok</t>
        </is>
      </c>
      <c r="C1037" s="195" t="inlineStr">
        <is>
          <t>Tiktok Shipping</t>
        </is>
      </c>
      <c r="D1037" s="195" t="inlineStr">
        <is>
          <t>Customer shipping fee offset</t>
        </is>
      </c>
      <c r="E1037" s="198" t="n">
        <v>0</v>
      </c>
      <c r="F1037" s="201" t="n">
        <v>0</v>
      </c>
      <c r="H1037" s="198" t="n">
        <v>0</v>
      </c>
      <c r="J1037" s="200" t="inlineStr">
        <is>
          <t>Nov</t>
        </is>
      </c>
      <c r="K1037" s="199" t="n">
        <v>2025</v>
      </c>
      <c r="L1037" s="199" t="n">
        <v>2025</v>
      </c>
    </row>
    <row r="1038" ht="15" customHeight="1" s="104">
      <c r="A1038" s="194" t="n">
        <v>45991</v>
      </c>
      <c r="B1038" s="195" t="inlineStr">
        <is>
          <t>Tiktok</t>
        </is>
      </c>
      <c r="C1038" s="195" t="inlineStr">
        <is>
          <t>Tiktok Shipping</t>
        </is>
      </c>
      <c r="D1038" s="195" t="inlineStr">
        <is>
          <t>Co-funded free shipping reimbursement</t>
        </is>
      </c>
      <c r="E1038" s="198" t="n">
        <v>0</v>
      </c>
      <c r="F1038" s="201" t="n">
        <v>0</v>
      </c>
      <c r="H1038" s="198" t="n">
        <v>0</v>
      </c>
      <c r="J1038" s="200" t="inlineStr">
        <is>
          <t>Nov</t>
        </is>
      </c>
      <c r="K1038" s="199" t="n">
        <v>2025</v>
      </c>
      <c r="L1038" s="199" t="n">
        <v>2025</v>
      </c>
    </row>
    <row r="1039" ht="15" customHeight="1" s="104">
      <c r="A1039" s="194" t="n">
        <v>45991</v>
      </c>
      <c r="B1039" s="195" t="inlineStr">
        <is>
          <t>Tiktok</t>
        </is>
      </c>
      <c r="C1039" s="195" t="inlineStr">
        <is>
          <t>Tiktok Shipping</t>
        </is>
      </c>
      <c r="D1039" s="195" t="inlineStr">
        <is>
          <t>Return shipping fee reimbursement</t>
        </is>
      </c>
      <c r="E1039" s="196" t="n">
        <v>14</v>
      </c>
      <c r="F1039" s="204" t="n">
        <v>0.001308795291</v>
      </c>
      <c r="H1039" s="196" t="n">
        <v>14</v>
      </c>
      <c r="J1039" s="200" t="inlineStr">
        <is>
          <t>Nov</t>
        </is>
      </c>
      <c r="K1039" s="199" t="n">
        <v>2025</v>
      </c>
      <c r="L1039" s="199" t="n">
        <v>2025</v>
      </c>
    </row>
    <row r="1040" ht="15" customHeight="1" s="104">
      <c r="A1040" s="194" t="n">
        <v>45991</v>
      </c>
      <c r="B1040" s="195" t="inlineStr">
        <is>
          <t>Tiktok</t>
        </is>
      </c>
      <c r="C1040" s="195" t="inlineStr">
        <is>
          <t>MCF Shipping fees</t>
        </is>
      </c>
      <c r="D1040" s="195" t="inlineStr">
        <is>
          <t>MCF Shipping fees</t>
        </is>
      </c>
      <c r="E1040" s="196" t="n">
        <v>-3919.62</v>
      </c>
      <c r="F1040" s="204" t="n">
        <v>-0.3664271571</v>
      </c>
      <c r="H1040" s="196" t="n">
        <v>-3919.62</v>
      </c>
      <c r="J1040" s="200" t="inlineStr">
        <is>
          <t>Nov</t>
        </is>
      </c>
      <c r="K1040" s="199" t="n">
        <v>2025</v>
      </c>
      <c r="L1040" s="199" t="n">
        <v>2025</v>
      </c>
    </row>
    <row r="1041" ht="15" customHeight="1" s="104">
      <c r="A1041" s="194" t="n">
        <v>45991</v>
      </c>
      <c r="B1041" s="195" t="inlineStr">
        <is>
          <t>Tiktok</t>
        </is>
      </c>
      <c r="C1041" s="195" t="inlineStr">
        <is>
          <t>Fees</t>
        </is>
      </c>
      <c r="D1041" s="195" t="inlineStr">
        <is>
          <t>Transaction fee</t>
        </is>
      </c>
      <c r="E1041" s="198" t="n">
        <v>0</v>
      </c>
      <c r="F1041" s="201" t="n">
        <v>0</v>
      </c>
      <c r="H1041" s="198" t="n">
        <v>0</v>
      </c>
      <c r="J1041" s="200" t="inlineStr">
        <is>
          <t>Nov</t>
        </is>
      </c>
      <c r="K1041" s="199" t="n">
        <v>2025</v>
      </c>
      <c r="L1041" s="199" t="n">
        <v>2025</v>
      </c>
    </row>
    <row r="1042" ht="15" customHeight="1" s="104">
      <c r="A1042" s="194" t="n">
        <v>45991</v>
      </c>
      <c r="B1042" s="195" t="inlineStr">
        <is>
          <t>Tiktok</t>
        </is>
      </c>
      <c r="C1042" s="195" t="inlineStr">
        <is>
          <t>Fees</t>
        </is>
      </c>
      <c r="D1042" s="195" t="inlineStr">
        <is>
          <t>Referral fee</t>
        </is>
      </c>
      <c r="E1042" s="196" t="n">
        <v>-641.74</v>
      </c>
      <c r="F1042" s="204" t="n">
        <v>-0.05999330645</v>
      </c>
      <c r="H1042" s="196" t="n">
        <v>-641.74</v>
      </c>
      <c r="J1042" s="200" t="inlineStr">
        <is>
          <t>Nov</t>
        </is>
      </c>
      <c r="K1042" s="199" t="n">
        <v>2025</v>
      </c>
      <c r="L1042" s="199" t="n">
        <v>2025</v>
      </c>
    </row>
    <row r="1043" ht="15" customHeight="1" s="104">
      <c r="A1043" s="194" t="n">
        <v>45991</v>
      </c>
      <c r="B1043" s="195" t="inlineStr">
        <is>
          <t>Tiktok</t>
        </is>
      </c>
      <c r="C1043" s="195" t="inlineStr">
        <is>
          <t>Fees</t>
        </is>
      </c>
      <c r="D1043" s="195" t="inlineStr">
        <is>
          <t>Refund administration fee</t>
        </is>
      </c>
      <c r="E1043" s="196" t="n">
        <v>-4.28</v>
      </c>
      <c r="F1043" s="204" t="n">
        <v>-0.0004001174176</v>
      </c>
      <c r="H1043" s="196" t="n">
        <v>-4.28</v>
      </c>
      <c r="J1043" s="200" t="inlineStr">
        <is>
          <t>Nov</t>
        </is>
      </c>
      <c r="K1043" s="199" t="n">
        <v>2025</v>
      </c>
      <c r="L1043" s="199" t="n">
        <v>2025</v>
      </c>
    </row>
    <row r="1044" ht="15" customHeight="1" s="104">
      <c r="A1044" s="194" t="n">
        <v>45991</v>
      </c>
      <c r="B1044" s="195" t="inlineStr">
        <is>
          <t>Tiktok</t>
        </is>
      </c>
      <c r="C1044" s="195" t="inlineStr">
        <is>
          <t>Fees</t>
        </is>
      </c>
      <c r="D1044" s="195" t="inlineStr">
        <is>
          <t>Affiliate commission</t>
        </is>
      </c>
      <c r="E1044" s="196" t="n">
        <v>-521.03</v>
      </c>
      <c r="F1044" s="204" t="n">
        <v>-0.04870868647</v>
      </c>
      <c r="H1044" s="196" t="n">
        <v>-521.03</v>
      </c>
      <c r="J1044" s="200" t="inlineStr">
        <is>
          <t>Nov</t>
        </is>
      </c>
      <c r="K1044" s="199" t="n">
        <v>2025</v>
      </c>
      <c r="L1044" s="199" t="n">
        <v>2025</v>
      </c>
    </row>
    <row r="1045" ht="15" customHeight="1" s="104">
      <c r="A1045" s="194" t="n">
        <v>45991</v>
      </c>
      <c r="B1045" s="195" t="inlineStr">
        <is>
          <t>Tiktok</t>
        </is>
      </c>
      <c r="C1045" s="195" t="inlineStr">
        <is>
          <t>Fees</t>
        </is>
      </c>
      <c r="D1045" s="195" t="inlineStr">
        <is>
          <t>Affiliate partner commission</t>
        </is>
      </c>
      <c r="E1045" s="198" t="n">
        <v>0</v>
      </c>
      <c r="F1045" s="201" t="n">
        <v>0</v>
      </c>
      <c r="H1045" s="198" t="n">
        <v>0</v>
      </c>
      <c r="J1045" s="200" t="inlineStr">
        <is>
          <t>Nov</t>
        </is>
      </c>
      <c r="K1045" s="199" t="n">
        <v>2025</v>
      </c>
      <c r="L1045" s="199" t="n">
        <v>2025</v>
      </c>
    </row>
    <row r="1046" ht="15" customHeight="1" s="104">
      <c r="A1046" s="194" t="n">
        <v>45991</v>
      </c>
      <c r="B1046" s="195" t="inlineStr">
        <is>
          <t>Tiktok</t>
        </is>
      </c>
      <c r="C1046" s="195" t="inlineStr">
        <is>
          <t>Fees</t>
        </is>
      </c>
      <c r="D1046" s="195" t="inlineStr">
        <is>
          <t>Affiliate Shop Ads commission</t>
        </is>
      </c>
      <c r="E1046" s="196" t="n">
        <v>-92.04000000000001</v>
      </c>
      <c r="F1046" s="204" t="n">
        <v>-0.008604394187</v>
      </c>
      <c r="H1046" s="196" t="n">
        <v>-92.04000000000001</v>
      </c>
      <c r="J1046" s="200" t="inlineStr">
        <is>
          <t>Nov</t>
        </is>
      </c>
      <c r="K1046" s="199" t="n">
        <v>2025</v>
      </c>
      <c r="L1046" s="199" t="n">
        <v>2025</v>
      </c>
    </row>
    <row r="1047" ht="15" customHeight="1" s="104">
      <c r="A1047" s="194" t="n">
        <v>45991</v>
      </c>
      <c r="B1047" s="195" t="inlineStr">
        <is>
          <t>Tiktok</t>
        </is>
      </c>
      <c r="C1047" s="195" t="inlineStr">
        <is>
          <t>Fees</t>
        </is>
      </c>
      <c r="D1047" s="195" t="inlineStr">
        <is>
          <t>Co-funded promotion service fee</t>
        </is>
      </c>
      <c r="E1047" s="198" t="n">
        <v>0</v>
      </c>
      <c r="F1047" s="201" t="n">
        <v>0</v>
      </c>
      <c r="H1047" s="198" t="n">
        <v>0</v>
      </c>
      <c r="J1047" s="200" t="inlineStr">
        <is>
          <t>Nov</t>
        </is>
      </c>
      <c r="K1047" s="199" t="n">
        <v>2025</v>
      </c>
      <c r="L1047" s="199" t="n">
        <v>2025</v>
      </c>
    </row>
    <row r="1048" ht="15" customHeight="1" s="104">
      <c r="A1048" s="194" t="n">
        <v>45991</v>
      </c>
      <c r="B1048" s="195" t="inlineStr">
        <is>
          <t>Tiktok</t>
        </is>
      </c>
      <c r="C1048" s="195" t="inlineStr">
        <is>
          <t>Fees</t>
        </is>
      </c>
      <c r="D1048" s="195" t="inlineStr">
        <is>
          <t>Sales tax on referral fees</t>
        </is>
      </c>
      <c r="E1048" s="196" t="n">
        <v>-42.93</v>
      </c>
      <c r="F1048" s="204" t="n">
        <v>-0.004013327275</v>
      </c>
      <c r="H1048" s="196" t="n">
        <v>-42.93</v>
      </c>
      <c r="J1048" s="200" t="inlineStr">
        <is>
          <t>Nov</t>
        </is>
      </c>
      <c r="K1048" s="199" t="n">
        <v>2025</v>
      </c>
      <c r="L1048" s="199" t="n">
        <v>2025</v>
      </c>
    </row>
    <row r="1049" ht="15" customHeight="1" s="104">
      <c r="A1049" s="194" t="n">
        <v>45991</v>
      </c>
      <c r="B1049" s="195" t="inlineStr">
        <is>
          <t>Tiktok</t>
        </is>
      </c>
      <c r="C1049" s="195" t="inlineStr">
        <is>
          <t xml:space="preserve">Adjustments
</t>
        </is>
      </c>
      <c r="D1049" s="195" t="inlineStr">
        <is>
          <t>Logistics adjustment</t>
        </is>
      </c>
      <c r="E1049" s="198" t="n">
        <v>0</v>
      </c>
      <c r="F1049" s="201" t="n">
        <v>0</v>
      </c>
      <c r="H1049" s="198" t="n">
        <v>0</v>
      </c>
      <c r="J1049" s="200" t="inlineStr">
        <is>
          <t>Nov</t>
        </is>
      </c>
      <c r="K1049" s="199" t="n">
        <v>2025</v>
      </c>
      <c r="L1049" s="199" t="n">
        <v>2025</v>
      </c>
    </row>
    <row r="1050" ht="15" customHeight="1" s="104">
      <c r="A1050" s="194" t="n">
        <v>45991</v>
      </c>
      <c r="B1050" s="195" t="inlineStr">
        <is>
          <t>Tiktok</t>
        </is>
      </c>
      <c r="C1050" s="195" t="inlineStr">
        <is>
          <t xml:space="preserve">Adjustments
</t>
        </is>
      </c>
      <c r="D1050" s="195" t="inlineStr">
        <is>
          <t>Logistics reimbursement</t>
        </is>
      </c>
      <c r="E1050" s="198" t="n">
        <v>0</v>
      </c>
      <c r="F1050" s="201" t="n">
        <v>0</v>
      </c>
      <c r="H1050" s="198" t="n">
        <v>0</v>
      </c>
      <c r="J1050" s="200" t="inlineStr">
        <is>
          <t>Nov</t>
        </is>
      </c>
      <c r="K1050" s="199" t="n">
        <v>2025</v>
      </c>
      <c r="L1050" s="199" t="n">
        <v>2025</v>
      </c>
    </row>
    <row r="1051" ht="15" customHeight="1" s="104">
      <c r="A1051" s="194" t="n">
        <v>45991</v>
      </c>
      <c r="B1051" s="195" t="inlineStr">
        <is>
          <t>Tiktok</t>
        </is>
      </c>
      <c r="C1051" s="195" t="inlineStr">
        <is>
          <t xml:space="preserve">Adjustments
</t>
        </is>
      </c>
      <c r="D1051" s="195" t="inlineStr">
        <is>
          <t>Logistics deduction</t>
        </is>
      </c>
      <c r="E1051" s="198" t="n">
        <v>0</v>
      </c>
      <c r="F1051" s="201" t="n">
        <v>0</v>
      </c>
      <c r="H1051" s="198" t="n">
        <v>0</v>
      </c>
      <c r="J1051" s="200" t="inlineStr">
        <is>
          <t>Nov</t>
        </is>
      </c>
      <c r="K1051" s="199" t="n">
        <v>2025</v>
      </c>
      <c r="L1051" s="199" t="n">
        <v>2025</v>
      </c>
    </row>
    <row r="1052" ht="15" customHeight="1" s="104">
      <c r="A1052" s="194" t="n">
        <v>45991</v>
      </c>
      <c r="B1052" s="195" t="inlineStr">
        <is>
          <t>Tiktok</t>
        </is>
      </c>
      <c r="C1052" s="195" t="inlineStr">
        <is>
          <t xml:space="preserve">Adjustments
</t>
        </is>
      </c>
      <c r="D1052" s="195" t="inlineStr">
        <is>
          <t>TikTok Shop reimbursement</t>
        </is>
      </c>
      <c r="E1052" s="198" t="n">
        <v>0</v>
      </c>
      <c r="F1052" s="201" t="n">
        <v>0</v>
      </c>
      <c r="H1052" s="198" t="n">
        <v>0</v>
      </c>
      <c r="J1052" s="200" t="inlineStr">
        <is>
          <t>Nov</t>
        </is>
      </c>
      <c r="K1052" s="199" t="n">
        <v>2025</v>
      </c>
      <c r="L1052" s="199" t="n">
        <v>2025</v>
      </c>
    </row>
    <row r="1053" ht="15" customHeight="1" s="104">
      <c r="A1053" s="194" t="n">
        <v>45991</v>
      </c>
      <c r="B1053" s="195" t="inlineStr">
        <is>
          <t>Tiktok</t>
        </is>
      </c>
      <c r="C1053" s="195" t="inlineStr">
        <is>
          <t xml:space="preserve">Adjustments
</t>
        </is>
      </c>
      <c r="D1053" s="195" t="inlineStr">
        <is>
          <t>Policy violation deduction</t>
        </is>
      </c>
      <c r="E1053" s="198" t="n">
        <v>0</v>
      </c>
      <c r="F1053" s="201" t="n">
        <v>0</v>
      </c>
      <c r="H1053" s="198" t="n">
        <v>0</v>
      </c>
      <c r="J1053" s="200" t="inlineStr">
        <is>
          <t>Nov</t>
        </is>
      </c>
      <c r="K1053" s="199" t="n">
        <v>2025</v>
      </c>
      <c r="L1053" s="199" t="n">
        <v>2025</v>
      </c>
    </row>
    <row r="1054" ht="15" customHeight="1" s="104">
      <c r="A1054" s="194" t="n">
        <v>45991</v>
      </c>
      <c r="B1054" s="195" t="inlineStr">
        <is>
          <t>Tiktok</t>
        </is>
      </c>
      <c r="C1054" s="195" t="inlineStr">
        <is>
          <t xml:space="preserve">Adjustments
</t>
        </is>
      </c>
      <c r="D1054" s="195" t="inlineStr">
        <is>
          <t>TikTok fees adjustment</t>
        </is>
      </c>
      <c r="E1054" s="198" t="n">
        <v>0</v>
      </c>
      <c r="F1054" s="201" t="n">
        <v>0</v>
      </c>
      <c r="H1054" s="198" t="n">
        <v>0</v>
      </c>
      <c r="J1054" s="200" t="inlineStr">
        <is>
          <t>Nov</t>
        </is>
      </c>
      <c r="K1054" s="199" t="n">
        <v>2025</v>
      </c>
      <c r="L1054" s="199" t="n">
        <v>2025</v>
      </c>
    </row>
    <row r="1055" ht="15" customHeight="1" s="104">
      <c r="A1055" s="194" t="n">
        <v>45991</v>
      </c>
      <c r="B1055" s="195" t="inlineStr">
        <is>
          <t>Tiktok</t>
        </is>
      </c>
      <c r="C1055" s="195" t="inlineStr">
        <is>
          <t xml:space="preserve">Adjustments
</t>
        </is>
      </c>
      <c r="D1055" s="195" t="inlineStr">
        <is>
          <t>Promotion adjustment</t>
        </is>
      </c>
      <c r="E1055" s="198" t="n">
        <v>0</v>
      </c>
      <c r="F1055" s="201" t="n">
        <v>0</v>
      </c>
      <c r="H1055" s="198" t="n">
        <v>0</v>
      </c>
      <c r="J1055" s="200" t="inlineStr">
        <is>
          <t>Nov</t>
        </is>
      </c>
      <c r="K1055" s="199" t="n">
        <v>2025</v>
      </c>
      <c r="L1055" s="199" t="n">
        <v>2025</v>
      </c>
    </row>
    <row r="1056" ht="15" customHeight="1" s="104">
      <c r="A1056" s="194" t="n">
        <v>45991</v>
      </c>
      <c r="B1056" s="195" t="inlineStr">
        <is>
          <t>Tiktok</t>
        </is>
      </c>
      <c r="C1056" s="195" t="inlineStr">
        <is>
          <t xml:space="preserve">Adjustments
</t>
        </is>
      </c>
      <c r="D1056" s="195" t="inlineStr">
        <is>
          <t>Adjustment from settlement account</t>
        </is>
      </c>
      <c r="E1056" s="198" t="n">
        <v>0</v>
      </c>
      <c r="F1056" s="201" t="n">
        <v>0</v>
      </c>
      <c r="H1056" s="198" t="n">
        <v>0</v>
      </c>
      <c r="J1056" s="200" t="inlineStr">
        <is>
          <t>Nov</t>
        </is>
      </c>
      <c r="K1056" s="199" t="n">
        <v>2025</v>
      </c>
      <c r="L1056" s="199" t="n">
        <v>2025</v>
      </c>
    </row>
    <row r="1057" ht="15" customHeight="1" s="104">
      <c r="A1057" s="194" t="n">
        <v>45991</v>
      </c>
      <c r="B1057" s="195" t="inlineStr">
        <is>
          <t>Tiktok</t>
        </is>
      </c>
      <c r="C1057" s="195" t="inlineStr">
        <is>
          <t xml:space="preserve">Adjustments
</t>
        </is>
      </c>
      <c r="D1057" s="195" t="inlineStr">
        <is>
          <t>Chargeback</t>
        </is>
      </c>
      <c r="E1057" s="198" t="n">
        <v>0</v>
      </c>
      <c r="F1057" s="201" t="n">
        <v>0</v>
      </c>
      <c r="H1057" s="198" t="n">
        <v>0</v>
      </c>
      <c r="J1057" s="200" t="inlineStr">
        <is>
          <t>Nov</t>
        </is>
      </c>
      <c r="K1057" s="199" t="n">
        <v>2025</v>
      </c>
      <c r="L1057" s="199" t="n">
        <v>2025</v>
      </c>
    </row>
    <row r="1058" ht="15" customHeight="1" s="104">
      <c r="A1058" s="194" t="n">
        <v>45991</v>
      </c>
      <c r="B1058" s="195" t="inlineStr">
        <is>
          <t>Tiktok</t>
        </is>
      </c>
      <c r="C1058" s="195" t="inlineStr">
        <is>
          <t xml:space="preserve">Adjustments
</t>
        </is>
      </c>
      <c r="D1058" s="195" t="inlineStr">
        <is>
          <t>Other adjustment</t>
        </is>
      </c>
      <c r="E1058" s="198" t="n">
        <v>0</v>
      </c>
      <c r="F1058" s="201" t="n">
        <v>0</v>
      </c>
      <c r="H1058" s="198" t="n">
        <v>0</v>
      </c>
      <c r="J1058" s="200" t="inlineStr">
        <is>
          <t>Nov</t>
        </is>
      </c>
      <c r="K1058" s="199" t="n">
        <v>2025</v>
      </c>
      <c r="L1058" s="199" t="n">
        <v>2025</v>
      </c>
    </row>
    <row r="1059" ht="15" customHeight="1" s="104">
      <c r="A1059" s="194" t="n">
        <v>45991</v>
      </c>
      <c r="B1059" s="195" t="inlineStr">
        <is>
          <t>Tiktok</t>
        </is>
      </c>
      <c r="C1059" s="195" t="inlineStr">
        <is>
          <t xml:space="preserve">Adjustments
</t>
        </is>
      </c>
      <c r="D1059" s="195" t="inlineStr">
        <is>
          <t>Top up ads balance using GMV payments</t>
        </is>
      </c>
      <c r="E1059" s="198" t="n">
        <v>0</v>
      </c>
      <c r="F1059" s="201" t="n">
        <v>0</v>
      </c>
      <c r="H1059" s="198" t="n">
        <v>0</v>
      </c>
      <c r="J1059" s="200" t="inlineStr">
        <is>
          <t>Nov</t>
        </is>
      </c>
      <c r="K1059" s="199" t="n">
        <v>2025</v>
      </c>
      <c r="L1059" s="199" t="n">
        <v>2025</v>
      </c>
    </row>
    <row r="1060" ht="15" customHeight="1" s="104">
      <c r="A1060" s="194" t="n">
        <v>45991</v>
      </c>
      <c r="B1060" s="195" t="inlineStr">
        <is>
          <t>Tiktok</t>
        </is>
      </c>
      <c r="C1060" s="195" t="inlineStr">
        <is>
          <t xml:space="preserve">Adjustments
</t>
        </is>
      </c>
      <c r="D1060" s="195" t="inlineStr">
        <is>
          <t>FBT warehouse service fee</t>
        </is>
      </c>
      <c r="E1060" s="196" t="n">
        <v>-3</v>
      </c>
      <c r="F1060" s="204" t="n">
        <v>-0.0002804561339</v>
      </c>
      <c r="H1060" s="196" t="n">
        <v>-3</v>
      </c>
      <c r="J1060" s="200" t="inlineStr">
        <is>
          <t>Nov</t>
        </is>
      </c>
      <c r="K1060" s="199" t="n">
        <v>2025</v>
      </c>
      <c r="L1060" s="199" t="n">
        <v>2025</v>
      </c>
    </row>
    <row r="1061" ht="15" customHeight="1" s="104">
      <c r="A1061" s="194" t="n">
        <v>45991</v>
      </c>
      <c r="B1061" s="195" t="inlineStr">
        <is>
          <t>Tiktok</t>
        </is>
      </c>
      <c r="C1061" s="195" t="inlineStr">
        <is>
          <t xml:space="preserve">Adjustments
</t>
        </is>
      </c>
      <c r="D1061" s="195" t="inlineStr">
        <is>
          <t>Co-funded creator activity</t>
        </is>
      </c>
      <c r="E1061" s="198" t="n">
        <v>0</v>
      </c>
      <c r="F1061" s="201" t="n">
        <v>0</v>
      </c>
      <c r="H1061" s="198" t="n">
        <v>0</v>
      </c>
      <c r="J1061" s="200" t="inlineStr">
        <is>
          <t>Nov</t>
        </is>
      </c>
      <c r="K1061" s="199" t="n">
        <v>2025</v>
      </c>
      <c r="L1061" s="199" t="n">
        <v>2025</v>
      </c>
    </row>
    <row r="1062" ht="15" customHeight="1" s="104">
      <c r="A1062" s="194" t="n">
        <v>45991</v>
      </c>
      <c r="B1062" s="195" t="inlineStr">
        <is>
          <t>Tiktok</t>
        </is>
      </c>
      <c r="C1062" s="195" t="inlineStr">
        <is>
          <t xml:space="preserve">Adjustments
</t>
        </is>
      </c>
      <c r="D1062" s="195" t="inlineStr">
        <is>
          <t>Rebate</t>
        </is>
      </c>
      <c r="E1062" s="198" t="n">
        <v>0</v>
      </c>
      <c r="F1062" s="201" t="n">
        <v>0</v>
      </c>
      <c r="H1062" s="198" t="n">
        <v>0</v>
      </c>
      <c r="J1062" s="200" t="inlineStr">
        <is>
          <t>Nov</t>
        </is>
      </c>
      <c r="K1062" s="199" t="n">
        <v>2025</v>
      </c>
      <c r="L1062" s="199" t="n">
        <v>2025</v>
      </c>
    </row>
    <row r="1063" ht="15" customHeight="1" s="104">
      <c r="A1063" s="194" t="n">
        <v>45991</v>
      </c>
      <c r="B1063" s="195" t="inlineStr">
        <is>
          <t>Tiktok</t>
        </is>
      </c>
      <c r="C1063" s="195" t="inlineStr">
        <is>
          <t>Cost of goods</t>
        </is>
      </c>
      <c r="D1063" s="195" t="inlineStr">
        <is>
          <t>Cost of goods sold</t>
        </is>
      </c>
      <c r="E1063" s="196" t="n">
        <v>-3329.94</v>
      </c>
      <c r="F1063" s="204" t="n">
        <v>-0.3113006995</v>
      </c>
      <c r="H1063" s="196" t="n">
        <v>-3329.94</v>
      </c>
      <c r="J1063" s="200" t="inlineStr">
        <is>
          <t>Nov</t>
        </is>
      </c>
      <c r="K1063" s="199" t="n">
        <v>2025</v>
      </c>
      <c r="L1063" s="199" t="n">
        <v>2025</v>
      </c>
    </row>
    <row r="1064" ht="15" customHeight="1" s="104">
      <c r="A1064" s="194" t="n">
        <v>45991</v>
      </c>
      <c r="B1064" s="195" t="inlineStr">
        <is>
          <t>Tiktok</t>
        </is>
      </c>
      <c r="C1064" s="195" t="inlineStr">
        <is>
          <t>Advertising cost</t>
        </is>
      </c>
      <c r="D1064" s="195" t="inlineStr">
        <is>
          <t>Advertising Cost</t>
        </is>
      </c>
      <c r="E1064" s="196" t="n">
        <v>-1412.5</v>
      </c>
      <c r="F1064" s="204" t="n">
        <v>-0.1320480964</v>
      </c>
      <c r="H1064" s="196" t="n">
        <v>-1412.5</v>
      </c>
      <c r="J1064" s="200" t="inlineStr">
        <is>
          <t>Nov</t>
        </is>
      </c>
      <c r="K1064" s="199" t="n">
        <v>2025</v>
      </c>
      <c r="L1064" s="199" t="n">
        <v>2025</v>
      </c>
    </row>
    <row r="1065" ht="15" customHeight="1" s="104">
      <c r="A1065" s="194" t="n">
        <v>45991</v>
      </c>
      <c r="B1065" s="195" t="inlineStr">
        <is>
          <t>Walmart</t>
        </is>
      </c>
      <c r="C1065" s="195" t="inlineStr">
        <is>
          <t>Advertising cost</t>
        </is>
      </c>
      <c r="D1065" s="195" t="inlineStr">
        <is>
          <t>Advertising Cost</t>
        </is>
      </c>
      <c r="E1065" s="196" t="n">
        <v>-271.12</v>
      </c>
      <c r="F1065" s="204" t="n">
        <v>-0.1350616226</v>
      </c>
      <c r="H1065" s="196" t="n">
        <v>-271.12</v>
      </c>
      <c r="J1065" s="200" t="inlineStr">
        <is>
          <t>Nov</t>
        </is>
      </c>
      <c r="K1065" s="199" t="n">
        <v>2025</v>
      </c>
      <c r="L1065" s="199" t="n">
        <v>2025</v>
      </c>
    </row>
    <row r="1066" ht="15" customHeight="1" s="104">
      <c r="A1066" s="194" t="n">
        <v>45991</v>
      </c>
      <c r="B1066" s="195" t="inlineStr">
        <is>
          <t>Walmart</t>
        </is>
      </c>
      <c r="C1066" s="195" t="inlineStr">
        <is>
          <t>Shipping Cost</t>
        </is>
      </c>
      <c r="D1066" s="195" t="inlineStr">
        <is>
          <t>WFS Fulfillment fee</t>
        </is>
      </c>
      <c r="F1066" s="201" t="n">
        <v>0</v>
      </c>
      <c r="J1066" s="200" t="inlineStr">
        <is>
          <t>Nov</t>
        </is>
      </c>
      <c r="K1066" s="199" t="n">
        <v>2025</v>
      </c>
      <c r="L1066" s="199" t="n">
        <v>2025</v>
      </c>
    </row>
    <row r="1067" ht="15" customHeight="1" s="104">
      <c r="A1067" s="194" t="n">
        <v>45991</v>
      </c>
      <c r="B1067" s="195" t="inlineStr">
        <is>
          <t>Walmart</t>
        </is>
      </c>
      <c r="C1067" s="195" t="inlineStr">
        <is>
          <t>Shipping Cost</t>
        </is>
      </c>
      <c r="D1067" s="195" t="inlineStr">
        <is>
          <t>WFS Shipping Reversal fee</t>
        </is>
      </c>
      <c r="E1067" s="196" t="n">
        <v>-164.28</v>
      </c>
      <c r="F1067" s="204" t="n">
        <v>-0.08183801771</v>
      </c>
      <c r="H1067" s="196" t="n">
        <v>-164.28</v>
      </c>
      <c r="J1067" s="200" t="inlineStr">
        <is>
          <t>Nov</t>
        </is>
      </c>
      <c r="K1067" s="199" t="n">
        <v>2025</v>
      </c>
      <c r="L1067" s="199" t="n">
        <v>2025</v>
      </c>
    </row>
    <row r="1068" ht="15" customHeight="1" s="104">
      <c r="A1068" s="194" t="n">
        <v>45991</v>
      </c>
      <c r="B1068" s="195" t="inlineStr">
        <is>
          <t>Walmart</t>
        </is>
      </c>
      <c r="C1068" s="195" t="inlineStr">
        <is>
          <t>Shipping Cost</t>
        </is>
      </c>
      <c r="D1068" s="195" t="inlineStr">
        <is>
          <t>MCF Shipping fees</t>
        </is>
      </c>
      <c r="E1068" s="196" t="n">
        <v>-482.45</v>
      </c>
      <c r="F1068" s="204" t="n">
        <v>-0.2403381522</v>
      </c>
      <c r="H1068" s="196" t="n">
        <v>-482.45</v>
      </c>
      <c r="J1068" s="200" t="inlineStr">
        <is>
          <t>Nov</t>
        </is>
      </c>
      <c r="K1068" s="199" t="n">
        <v>2025</v>
      </c>
      <c r="L1068" s="199" t="n">
        <v>2025</v>
      </c>
    </row>
    <row r="1069" ht="15" customHeight="1" s="104">
      <c r="A1069" s="194" t="n">
        <v>45991</v>
      </c>
      <c r="B1069" s="195" t="inlineStr">
        <is>
          <t>Walmart</t>
        </is>
      </c>
      <c r="C1069" s="195" t="inlineStr">
        <is>
          <t>Fees</t>
        </is>
      </c>
      <c r="D1069" s="195" t="inlineStr">
        <is>
          <t>Commission on product</t>
        </is>
      </c>
      <c r="E1069" s="196" t="n">
        <v>-314.57</v>
      </c>
      <c r="F1069" s="204" t="n">
        <v>-0.1567067521</v>
      </c>
      <c r="H1069" s="196" t="n">
        <v>-314.57</v>
      </c>
      <c r="J1069" s="200" t="inlineStr">
        <is>
          <t>Nov</t>
        </is>
      </c>
      <c r="K1069" s="199" t="n">
        <v>2025</v>
      </c>
      <c r="L1069" s="199" t="n">
        <v>2025</v>
      </c>
    </row>
    <row r="1070" ht="15" customHeight="1" s="104">
      <c r="A1070" s="194" t="n">
        <v>45991</v>
      </c>
      <c r="B1070" s="195" t="inlineStr">
        <is>
          <t>Walmart</t>
        </is>
      </c>
      <c r="C1070" s="195" t="inlineStr">
        <is>
          <t>Fees</t>
        </is>
      </c>
      <c r="D1070" s="195" t="inlineStr">
        <is>
          <t>Storage fee</t>
        </is>
      </c>
      <c r="E1070" s="196" t="n">
        <v>-36.75</v>
      </c>
      <c r="F1070" s="204" t="n">
        <v>-0.01830744553</v>
      </c>
      <c r="H1070" s="196" t="n">
        <v>-36.75</v>
      </c>
      <c r="J1070" s="200" t="inlineStr">
        <is>
          <t>Nov</t>
        </is>
      </c>
      <c r="K1070" s="199" t="n">
        <v>2025</v>
      </c>
      <c r="L1070" s="199" t="n">
        <v>2025</v>
      </c>
    </row>
    <row r="1071" ht="15" customHeight="1" s="104">
      <c r="A1071" s="194" t="n">
        <v>45991</v>
      </c>
      <c r="B1071" s="195" t="inlineStr">
        <is>
          <t>Walmart</t>
        </is>
      </c>
      <c r="C1071" s="195" t="inlineStr">
        <is>
          <t>Fees</t>
        </is>
      </c>
      <c r="D1071" s="195" t="inlineStr">
        <is>
          <t>Refund product tax</t>
        </is>
      </c>
      <c r="E1071" s="198" t="n">
        <v>0</v>
      </c>
      <c r="F1071" s="201" t="n">
        <v>0</v>
      </c>
      <c r="H1071" s="198" t="n">
        <v>0</v>
      </c>
      <c r="J1071" s="200" t="inlineStr">
        <is>
          <t>Nov</t>
        </is>
      </c>
      <c r="K1071" s="199" t="n">
        <v>2025</v>
      </c>
      <c r="L1071" s="199" t="n">
        <v>2025</v>
      </c>
    </row>
    <row r="1072" ht="15" customHeight="1" s="104">
      <c r="A1072" s="194" t="n">
        <v>45991</v>
      </c>
      <c r="B1072" s="195" t="inlineStr">
        <is>
          <t>Walmart</t>
        </is>
      </c>
      <c r="C1072" s="195" t="inlineStr">
        <is>
          <t>Fees</t>
        </is>
      </c>
      <c r="D1072" s="195" t="inlineStr">
        <is>
          <t>Refund commission on product</t>
        </is>
      </c>
      <c r="E1072" s="198" t="n">
        <v>0</v>
      </c>
      <c r="F1072" s="201" t="n">
        <v>0</v>
      </c>
      <c r="H1072" s="198" t="n">
        <v>0</v>
      </c>
      <c r="J1072" s="200" t="inlineStr">
        <is>
          <t>Nov</t>
        </is>
      </c>
      <c r="K1072" s="199" t="n">
        <v>2025</v>
      </c>
      <c r="L1072" s="199" t="n">
        <v>2025</v>
      </c>
    </row>
    <row r="1073" ht="15" customHeight="1" s="104">
      <c r="A1073" s="194" t="n">
        <v>45991</v>
      </c>
      <c r="B1073" s="195" t="inlineStr">
        <is>
          <t>Walmart</t>
        </is>
      </c>
      <c r="C1073" s="195" t="inlineStr">
        <is>
          <t>Fees</t>
        </is>
      </c>
      <c r="D1073" s="195" t="inlineStr">
        <is>
          <t>Total Walmart funded savings</t>
        </is>
      </c>
      <c r="E1073" s="198" t="n">
        <v>0</v>
      </c>
      <c r="F1073" s="201" t="n">
        <v>0</v>
      </c>
      <c r="H1073" s="198" t="n">
        <v>0</v>
      </c>
      <c r="J1073" s="200" t="inlineStr">
        <is>
          <t>Nov</t>
        </is>
      </c>
      <c r="K1073" s="199" t="n">
        <v>2025</v>
      </c>
      <c r="L1073" s="199" t="n">
        <v>2025</v>
      </c>
    </row>
    <row r="1074" ht="15" customHeight="1" s="104">
      <c r="A1074" s="194" t="n">
        <v>45991</v>
      </c>
      <c r="B1074" s="195" t="inlineStr">
        <is>
          <t>Walmart</t>
        </is>
      </c>
      <c r="C1074" s="195" t="inlineStr">
        <is>
          <t>Fees</t>
        </is>
      </c>
      <c r="D1074" s="195" t="inlineStr">
        <is>
          <t>Lost inventory</t>
        </is>
      </c>
      <c r="E1074" s="198" t="n">
        <v>0</v>
      </c>
      <c r="F1074" s="201" t="n">
        <v>0</v>
      </c>
      <c r="H1074" s="198" t="n">
        <v>0</v>
      </c>
      <c r="J1074" s="200" t="inlineStr">
        <is>
          <t>Nov</t>
        </is>
      </c>
      <c r="K1074" s="199" t="n">
        <v>2025</v>
      </c>
      <c r="L1074" s="199" t="n">
        <v>2025</v>
      </c>
    </row>
    <row r="1075" ht="15" customHeight="1" s="104">
      <c r="A1075" s="194" t="n">
        <v>45991</v>
      </c>
      <c r="B1075" s="195" t="inlineStr">
        <is>
          <t>Walmart</t>
        </is>
      </c>
      <c r="C1075" s="195" t="inlineStr">
        <is>
          <t>Fees</t>
        </is>
      </c>
      <c r="D1075" s="195" t="inlineStr">
        <is>
          <t>RC inventory disposal fee</t>
        </is>
      </c>
      <c r="E1075" s="198" t="n">
        <v>0</v>
      </c>
      <c r="F1075" s="201" t="n">
        <v>0</v>
      </c>
      <c r="H1075" s="198" t="n">
        <v>0</v>
      </c>
      <c r="J1075" s="200" t="inlineStr">
        <is>
          <t>Nov</t>
        </is>
      </c>
      <c r="K1075" s="199" t="n">
        <v>2025</v>
      </c>
      <c r="L1075" s="199" t="n">
        <v>2025</v>
      </c>
    </row>
    <row r="1076" ht="15" customHeight="1" s="104">
      <c r="A1076" s="194" t="n">
        <v>45991</v>
      </c>
      <c r="B1076" s="195" t="inlineStr">
        <is>
          <t>Walmart</t>
        </is>
      </c>
      <c r="C1076" s="195" t="inlineStr">
        <is>
          <t>Cost of goods</t>
        </is>
      </c>
      <c r="D1076" s="195" t="inlineStr">
        <is>
          <t>Cost of goods sold</t>
        </is>
      </c>
      <c r="E1076" s="196" t="n">
        <v>-646.9</v>
      </c>
      <c r="F1076" s="204" t="n">
        <v>-0.3222608574</v>
      </c>
      <c r="H1076" s="196" t="n">
        <v>-646.9</v>
      </c>
      <c r="J1076" s="200" t="inlineStr">
        <is>
          <t>Nov</t>
        </is>
      </c>
      <c r="K1076" s="199" t="n">
        <v>2025</v>
      </c>
      <c r="L1076" s="199" t="n">
        <v>2025</v>
      </c>
    </row>
    <row r="1077" ht="15" customHeight="1" s="104">
      <c r="A1077" s="194" t="n">
        <v>45991</v>
      </c>
      <c r="B1077" s="195" t="inlineStr">
        <is>
          <t>Walmart</t>
        </is>
      </c>
      <c r="C1077" s="195" t="inlineStr">
        <is>
          <t>Cost of goods</t>
        </is>
      </c>
      <c r="D1077" s="195" t="inlineStr">
        <is>
          <t>Value of returned items</t>
        </is>
      </c>
      <c r="E1077" s="196" t="n">
        <v>52.7</v>
      </c>
      <c r="F1077" s="204" t="n">
        <v>0.02625312597</v>
      </c>
      <c r="H1077" s="196" t="n">
        <v>52.7</v>
      </c>
      <c r="J1077" s="200" t="inlineStr">
        <is>
          <t>Nov</t>
        </is>
      </c>
      <c r="K1077" s="199" t="n">
        <v>2025</v>
      </c>
      <c r="L1077" s="199" t="n">
        <v>2025</v>
      </c>
    </row>
    <row r="1078" ht="15" customHeight="1" s="104">
      <c r="A1078" s="194" t="n">
        <v>45991</v>
      </c>
      <c r="B1078" s="195" t="inlineStr">
        <is>
          <t>Amazon US</t>
        </is>
      </c>
      <c r="C1078" s="195" t="inlineStr">
        <is>
          <t>Advertising cost</t>
        </is>
      </c>
      <c r="D1078" s="195" t="inlineStr">
        <is>
          <t>Sponsored Products</t>
        </is>
      </c>
      <c r="E1078" s="196" t="n">
        <v>-11116.41</v>
      </c>
      <c r="F1078" s="204" t="n">
        <v>-0.08511510674</v>
      </c>
      <c r="H1078" s="196" t="n">
        <v>-11116.41</v>
      </c>
      <c r="J1078" s="200" t="inlineStr">
        <is>
          <t>Nov</t>
        </is>
      </c>
      <c r="K1078" s="199" t="n">
        <v>2025</v>
      </c>
      <c r="L1078" s="199" t="n">
        <v>2025</v>
      </c>
    </row>
    <row r="1079" ht="15" customHeight="1" s="104">
      <c r="A1079" s="194" t="n">
        <v>45991</v>
      </c>
      <c r="B1079" s="195" t="inlineStr">
        <is>
          <t>Amazon US</t>
        </is>
      </c>
      <c r="C1079" s="195" t="inlineStr">
        <is>
          <t>Advertising cost</t>
        </is>
      </c>
      <c r="D1079" s="195" t="inlineStr">
        <is>
          <t>Sponsored Brands Video</t>
        </is>
      </c>
      <c r="E1079" s="198" t="n">
        <v>0</v>
      </c>
      <c r="F1079" s="201" t="n">
        <v>0</v>
      </c>
      <c r="H1079" s="198" t="n">
        <v>0</v>
      </c>
      <c r="J1079" s="200" t="inlineStr">
        <is>
          <t>Nov</t>
        </is>
      </c>
      <c r="K1079" s="199" t="n">
        <v>2025</v>
      </c>
      <c r="L1079" s="199" t="n">
        <v>2025</v>
      </c>
    </row>
    <row r="1080" ht="15" customHeight="1" s="104">
      <c r="A1080" s="194" t="n">
        <v>45991</v>
      </c>
      <c r="B1080" s="195" t="inlineStr">
        <is>
          <t>Amazon US</t>
        </is>
      </c>
      <c r="C1080" s="195" t="inlineStr">
        <is>
          <t>Advertising cost</t>
        </is>
      </c>
      <c r="D1080" s="195" t="inlineStr">
        <is>
          <t>Sponsored Display</t>
        </is>
      </c>
      <c r="E1080" s="198" t="n">
        <v>0</v>
      </c>
      <c r="F1080" s="201" t="n">
        <v>0</v>
      </c>
      <c r="H1080" s="198" t="n">
        <v>0</v>
      </c>
      <c r="J1080" s="200" t="inlineStr">
        <is>
          <t>Nov</t>
        </is>
      </c>
      <c r="K1080" s="199" t="n">
        <v>2025</v>
      </c>
      <c r="L1080" s="199" t="n">
        <v>2025</v>
      </c>
    </row>
    <row r="1081" ht="15" customHeight="1" s="104">
      <c r="A1081" s="194" t="n">
        <v>45991</v>
      </c>
      <c r="B1081" s="195" t="inlineStr">
        <is>
          <t>Amazon US</t>
        </is>
      </c>
      <c r="C1081" s="195" t="inlineStr">
        <is>
          <t>Advertising cost</t>
        </is>
      </c>
      <c r="D1081" s="195" t="inlineStr">
        <is>
          <t>Sponsored Brands</t>
        </is>
      </c>
      <c r="E1081" s="198" t="n">
        <v>0</v>
      </c>
      <c r="F1081" s="201" t="n">
        <v>0</v>
      </c>
      <c r="H1081" s="198" t="n">
        <v>0</v>
      </c>
      <c r="J1081" s="200" t="inlineStr">
        <is>
          <t>Nov</t>
        </is>
      </c>
      <c r="K1081" s="199" t="n">
        <v>2025</v>
      </c>
      <c r="L1081" s="199" t="n">
        <v>2025</v>
      </c>
    </row>
    <row r="1082" ht="15" customHeight="1" s="104">
      <c r="A1082" s="194" t="n">
        <v>45991</v>
      </c>
      <c r="B1082" s="195" t="inlineStr">
        <is>
          <t>Amazon US</t>
        </is>
      </c>
      <c r="C1082" s="195" t="inlineStr">
        <is>
          <t>Refund cost</t>
        </is>
      </c>
      <c r="D1082" s="195" t="inlineStr">
        <is>
          <t>Refunded amount</t>
        </is>
      </c>
      <c r="E1082" s="196" t="n">
        <v>-9454.110000000001</v>
      </c>
      <c r="F1082" s="204" t="n">
        <v>-0.07238736083</v>
      </c>
      <c r="H1082" s="196" t="n">
        <v>-9454.110000000001</v>
      </c>
      <c r="J1082" s="200" t="inlineStr">
        <is>
          <t>Nov</t>
        </is>
      </c>
      <c r="K1082" s="199" t="n">
        <v>2025</v>
      </c>
      <c r="L1082" s="199" t="n">
        <v>2025</v>
      </c>
    </row>
    <row r="1083" ht="15" customHeight="1" s="104">
      <c r="A1083" s="194" t="n">
        <v>45991</v>
      </c>
      <c r="B1083" s="195" t="inlineStr">
        <is>
          <t>Amazon US</t>
        </is>
      </c>
      <c r="C1083" s="195" t="inlineStr">
        <is>
          <t>Refund cost</t>
        </is>
      </c>
      <c r="D1083" s="195" t="inlineStr">
        <is>
          <t>Refund commission</t>
        </is>
      </c>
      <c r="E1083" s="196" t="n">
        <v>-281.92</v>
      </c>
      <c r="F1083" s="204" t="n">
        <v>-0.002158579154</v>
      </c>
      <c r="H1083" s="196" t="n">
        <v>-281.92</v>
      </c>
      <c r="J1083" s="200" t="inlineStr">
        <is>
          <t>Nov</t>
        </is>
      </c>
      <c r="K1083" s="199" t="n">
        <v>2025</v>
      </c>
      <c r="L1083" s="199" t="n">
        <v>2025</v>
      </c>
    </row>
    <row r="1084" ht="15" customHeight="1" s="104">
      <c r="A1084" s="194" t="n">
        <v>45991</v>
      </c>
      <c r="B1084" s="195" t="inlineStr">
        <is>
          <t>Amazon US</t>
        </is>
      </c>
      <c r="C1084" s="195" t="inlineStr">
        <is>
          <t>Refund cost</t>
        </is>
      </c>
      <c r="D1084" s="195" t="inlineStr">
        <is>
          <t>Promotion</t>
        </is>
      </c>
      <c r="E1084" s="196" t="n">
        <v>57.5</v>
      </c>
      <c r="F1084" s="204" t="n">
        <v>0.000440260717</v>
      </c>
      <c r="H1084" s="196" t="n">
        <v>57.5</v>
      </c>
      <c r="J1084" s="200" t="inlineStr">
        <is>
          <t>Nov</t>
        </is>
      </c>
      <c r="K1084" s="199" t="n">
        <v>2025</v>
      </c>
      <c r="L1084" s="199" t="n">
        <v>2025</v>
      </c>
    </row>
    <row r="1085" ht="15" customHeight="1" s="104">
      <c r="A1085" s="194" t="n">
        <v>45991</v>
      </c>
      <c r="B1085" s="195" t="inlineStr">
        <is>
          <t>Amazon US</t>
        </is>
      </c>
      <c r="C1085" s="195" t="inlineStr">
        <is>
          <t>Refund cost</t>
        </is>
      </c>
      <c r="D1085" s="195" t="inlineStr">
        <is>
          <t>Refunded referral fee</t>
        </is>
      </c>
      <c r="E1085" s="196" t="n">
        <v>1409.8</v>
      </c>
      <c r="F1085" s="204" t="n">
        <v>0.01079442711</v>
      </c>
      <c r="H1085" s="196" t="n">
        <v>1409.8</v>
      </c>
      <c r="J1085" s="200" t="inlineStr">
        <is>
          <t>Nov</t>
        </is>
      </c>
      <c r="K1085" s="199" t="n">
        <v>2025</v>
      </c>
      <c r="L1085" s="199" t="n">
        <v>2025</v>
      </c>
    </row>
    <row r="1086" ht="15" customHeight="1" s="104">
      <c r="A1086" s="194" t="n">
        <v>45991</v>
      </c>
      <c r="B1086" s="195" t="inlineStr">
        <is>
          <t>Amazon US</t>
        </is>
      </c>
      <c r="C1086" s="195" t="inlineStr">
        <is>
          <t>Refund cost</t>
        </is>
      </c>
      <c r="D1086" s="195" t="inlineStr">
        <is>
          <t>Restocking Deduction Principal</t>
        </is>
      </c>
      <c r="E1086" s="196" t="n">
        <v>42</v>
      </c>
      <c r="F1086" s="204" t="n">
        <v>0.0003215817411</v>
      </c>
      <c r="H1086" s="196" t="n">
        <v>42</v>
      </c>
      <c r="J1086" s="200" t="inlineStr">
        <is>
          <t>Nov</t>
        </is>
      </c>
      <c r="K1086" s="199" t="n">
        <v>2025</v>
      </c>
      <c r="L1086" s="199" t="n">
        <v>2025</v>
      </c>
    </row>
    <row r="1087" ht="15" customHeight="1" s="104">
      <c r="A1087" s="194" t="n">
        <v>45991</v>
      </c>
      <c r="B1087" s="195" t="inlineStr">
        <is>
          <t>Amazon US</t>
        </is>
      </c>
      <c r="C1087" s="195" t="inlineStr">
        <is>
          <t>Refund cost</t>
        </is>
      </c>
      <c r="D1087" s="195" t="inlineStr">
        <is>
          <t>Value of returned items</t>
        </is>
      </c>
      <c r="E1087" s="196" t="n">
        <v>728.73</v>
      </c>
      <c r="F1087" s="204" t="n">
        <v>0.00557967291</v>
      </c>
      <c r="H1087" s="196" t="n">
        <v>728.73</v>
      </c>
      <c r="J1087" s="200" t="inlineStr">
        <is>
          <t>Nov</t>
        </is>
      </c>
      <c r="K1087" s="199" t="n">
        <v>2025</v>
      </c>
      <c r="L1087" s="199" t="n">
        <v>2025</v>
      </c>
    </row>
    <row r="1088" ht="15" customHeight="1" s="104">
      <c r="A1088" s="194" t="n">
        <v>45991</v>
      </c>
      <c r="B1088" s="195" t="inlineStr">
        <is>
          <t>Amazon US</t>
        </is>
      </c>
      <c r="C1088" s="195" t="inlineStr">
        <is>
          <t>Amazon fees</t>
        </is>
      </c>
      <c r="D1088" s="195" t="inlineStr">
        <is>
          <t>FBA per unit fulfilment fee</t>
        </is>
      </c>
      <c r="E1088" s="196" t="n">
        <v>-25980.86</v>
      </c>
      <c r="F1088" s="204" t="n">
        <v>-0.1989278618</v>
      </c>
      <c r="H1088" s="196" t="n">
        <v>-25980.86</v>
      </c>
      <c r="J1088" s="200" t="inlineStr">
        <is>
          <t>Nov</t>
        </is>
      </c>
      <c r="K1088" s="199" t="n">
        <v>2025</v>
      </c>
      <c r="L1088" s="199" t="n">
        <v>2025</v>
      </c>
    </row>
    <row r="1089" ht="15" customHeight="1" s="104">
      <c r="A1089" s="194" t="n">
        <v>45991</v>
      </c>
      <c r="B1089" s="195" t="inlineStr">
        <is>
          <t>Amazon US</t>
        </is>
      </c>
      <c r="C1089" s="195" t="inlineStr">
        <is>
          <t>Amazon fees</t>
        </is>
      </c>
      <c r="D1089" s="195" t="inlineStr">
        <is>
          <t>Referral fee</t>
        </is>
      </c>
      <c r="E1089" s="196" t="n">
        <v>-19418.19</v>
      </c>
      <c r="F1089" s="204" t="n">
        <v>-0.1486794131</v>
      </c>
      <c r="H1089" s="196" t="n">
        <v>-19418.19</v>
      </c>
      <c r="J1089" s="200" t="inlineStr">
        <is>
          <t>Nov</t>
        </is>
      </c>
      <c r="K1089" s="199" t="n">
        <v>2025</v>
      </c>
      <c r="L1089" s="199" t="n">
        <v>2025</v>
      </c>
    </row>
    <row r="1090" ht="15" customHeight="1" s="104">
      <c r="A1090" s="194" t="n">
        <v>45991</v>
      </c>
      <c r="B1090" s="195" t="inlineStr">
        <is>
          <t>Amazon US</t>
        </is>
      </c>
      <c r="C1090" s="195" t="inlineStr">
        <is>
          <t>Amazon fees</t>
        </is>
      </c>
      <c r="D1090" s="195" t="inlineStr">
        <is>
          <t>FBA storage fee</t>
        </is>
      </c>
      <c r="E1090" s="196" t="n">
        <v>-6298.18</v>
      </c>
      <c r="F1090" s="204" t="n">
        <v>-0.04822332596</v>
      </c>
      <c r="H1090" s="196" t="n">
        <v>-6298.18</v>
      </c>
      <c r="J1090" s="200" t="inlineStr">
        <is>
          <t>Nov</t>
        </is>
      </c>
      <c r="K1090" s="199" t="n">
        <v>2025</v>
      </c>
      <c r="L1090" s="199" t="n">
        <v>2025</v>
      </c>
    </row>
    <row r="1091" ht="15" customHeight="1" s="104">
      <c r="A1091" s="194" t="n">
        <v>45991</v>
      </c>
      <c r="B1091" s="195" t="inlineStr">
        <is>
          <t>Amazon US</t>
        </is>
      </c>
      <c r="C1091" s="195" t="inlineStr">
        <is>
          <t>Amazon fees</t>
        </is>
      </c>
      <c r="D1091" s="195" t="inlineStr">
        <is>
          <t>FBA disposal fee</t>
        </is>
      </c>
      <c r="E1091" s="196" t="n">
        <v>-563.9400000000001</v>
      </c>
      <c r="F1091" s="204" t="n">
        <v>-0.004317923979</v>
      </c>
      <c r="H1091" s="196" t="n">
        <v>-563.9400000000001</v>
      </c>
      <c r="J1091" s="200" t="inlineStr">
        <is>
          <t>Nov</t>
        </is>
      </c>
      <c r="K1091" s="199" t="n">
        <v>2025</v>
      </c>
      <c r="L1091" s="199" t="n">
        <v>2025</v>
      </c>
    </row>
    <row r="1092" ht="15" customHeight="1" s="104">
      <c r="A1092" s="194" t="n">
        <v>45991</v>
      </c>
      <c r="B1092" s="195" t="inlineStr">
        <is>
          <t>Amazon US</t>
        </is>
      </c>
      <c r="C1092" s="195" t="inlineStr">
        <is>
          <t>Amazon fees</t>
        </is>
      </c>
      <c r="D1092" s="195" t="inlineStr">
        <is>
          <t>FBA inbound convenience fee</t>
        </is>
      </c>
      <c r="E1092" s="196" t="n">
        <v>-240.14</v>
      </c>
      <c r="F1092" s="204" t="n">
        <v>-0.001838681889</v>
      </c>
      <c r="H1092" s="196" t="n">
        <v>-240.14</v>
      </c>
      <c r="J1092" s="200" t="inlineStr">
        <is>
          <t>Nov</t>
        </is>
      </c>
      <c r="K1092" s="199" t="n">
        <v>2025</v>
      </c>
      <c r="L1092" s="199" t="n">
        <v>2025</v>
      </c>
    </row>
    <row r="1093" ht="15" customHeight="1" s="104">
      <c r="A1093" s="194" t="n">
        <v>45991</v>
      </c>
      <c r="B1093" s="195" t="inlineStr">
        <is>
          <t>Amazon US</t>
        </is>
      </c>
      <c r="C1093" s="195" t="inlineStr">
        <is>
          <t>Amazon fees</t>
        </is>
      </c>
      <c r="D1093" s="195" t="inlineStr">
        <is>
          <t>Liquidations brokerage fee</t>
        </is>
      </c>
      <c r="E1093" s="196" t="n">
        <v>-2.02</v>
      </c>
      <c r="F1093" s="204" t="n">
        <v>-1.546655041e-05</v>
      </c>
      <c r="H1093" s="196" t="n">
        <v>-2.02</v>
      </c>
      <c r="J1093" s="200" t="inlineStr">
        <is>
          <t>Nov</t>
        </is>
      </c>
      <c r="K1093" s="199" t="n">
        <v>2025</v>
      </c>
      <c r="L1093" s="199" t="n">
        <v>2025</v>
      </c>
    </row>
    <row r="1094" ht="15" customHeight="1" s="104">
      <c r="A1094" s="194" t="n">
        <v>45991</v>
      </c>
      <c r="B1094" s="195" t="inlineStr">
        <is>
          <t>Amazon US</t>
        </is>
      </c>
      <c r="C1094" s="195" t="inlineStr">
        <is>
          <t>Amazon fees</t>
        </is>
      </c>
      <c r="D1094" s="195" t="inlineStr">
        <is>
          <t>Compensated clawback</t>
        </is>
      </c>
      <c r="E1094" s="196" t="n">
        <v>-309.96</v>
      </c>
      <c r="F1094" s="204" t="n">
        <v>-0.00237327325</v>
      </c>
      <c r="H1094" s="196" t="n">
        <v>-309.96</v>
      </c>
      <c r="J1094" s="200" t="inlineStr">
        <is>
          <t>Nov</t>
        </is>
      </c>
      <c r="K1094" s="199" t="n">
        <v>2025</v>
      </c>
      <c r="L1094" s="199" t="n">
        <v>2025</v>
      </c>
    </row>
    <row r="1095" ht="15" customHeight="1" s="104">
      <c r="A1095" s="194" t="n">
        <v>45991</v>
      </c>
      <c r="B1095" s="195" t="inlineStr">
        <is>
          <t>Amazon US</t>
        </is>
      </c>
      <c r="C1095" s="195" t="inlineStr">
        <is>
          <t>Amazon fees</t>
        </is>
      </c>
      <c r="D1095" s="195" t="inlineStr">
        <is>
          <t>Free replacement refund items</t>
        </is>
      </c>
      <c r="E1095" s="196" t="n">
        <v>196.56</v>
      </c>
      <c r="F1095" s="204" t="n">
        <v>0.001505002549</v>
      </c>
      <c r="H1095" s="196" t="n">
        <v>196.56</v>
      </c>
      <c r="J1095" s="200" t="inlineStr">
        <is>
          <t>Nov</t>
        </is>
      </c>
      <c r="K1095" s="199" t="n">
        <v>2025</v>
      </c>
      <c r="L1095" s="199" t="n">
        <v>2025</v>
      </c>
    </row>
    <row r="1096" ht="15" customHeight="1" s="104">
      <c r="A1096" s="194" t="n">
        <v>45991</v>
      </c>
      <c r="B1096" s="195" t="inlineStr">
        <is>
          <t>Amazon US</t>
        </is>
      </c>
      <c r="C1096" s="195" t="inlineStr">
        <is>
          <t>Amazon fees</t>
        </is>
      </c>
      <c r="D1096" s="195" t="inlineStr">
        <is>
          <t>Warehouse lost</t>
        </is>
      </c>
      <c r="E1096" s="196" t="n">
        <v>35.01</v>
      </c>
      <c r="F1096" s="204" t="n">
        <v>0.0002680613514</v>
      </c>
      <c r="H1096" s="196" t="n">
        <v>35.01</v>
      </c>
      <c r="J1096" s="200" t="inlineStr">
        <is>
          <t>Nov</t>
        </is>
      </c>
      <c r="K1096" s="199" t="n">
        <v>2025</v>
      </c>
      <c r="L1096" s="199" t="n">
        <v>2025</v>
      </c>
    </row>
    <row r="1097" ht="15" customHeight="1" s="104">
      <c r="A1097" s="194" t="n">
        <v>45991</v>
      </c>
      <c r="B1097" s="195" t="inlineStr">
        <is>
          <t>Amazon US</t>
        </is>
      </c>
      <c r="C1097" s="195" t="inlineStr">
        <is>
          <t>Amazon fees</t>
        </is>
      </c>
      <c r="D1097" s="195" t="inlineStr">
        <is>
          <t>Missing from inbound</t>
        </is>
      </c>
      <c r="E1097" s="196" t="n">
        <v>68.22</v>
      </c>
      <c r="F1097" s="204" t="n">
        <v>0.0005223406281</v>
      </c>
      <c r="H1097" s="196" t="n">
        <v>68.22</v>
      </c>
      <c r="J1097" s="200" t="inlineStr">
        <is>
          <t>Nov</t>
        </is>
      </c>
      <c r="K1097" s="199" t="n">
        <v>2025</v>
      </c>
      <c r="L1097" s="199" t="n">
        <v>2025</v>
      </c>
    </row>
    <row r="1098" ht="15" customHeight="1" s="104">
      <c r="A1098" s="194" t="n">
        <v>45991</v>
      </c>
      <c r="B1098" s="195" t="inlineStr">
        <is>
          <t>Amazon US</t>
        </is>
      </c>
      <c r="C1098" s="195" t="inlineStr">
        <is>
          <t>Amazon fees</t>
        </is>
      </c>
      <c r="D1098" s="195" t="inlineStr">
        <is>
          <t>Warehouse damage</t>
        </is>
      </c>
      <c r="E1098" s="196" t="n">
        <v>117.27</v>
      </c>
      <c r="F1098" s="204" t="n">
        <v>0.0008979021615</v>
      </c>
      <c r="H1098" s="196" t="n">
        <v>117.27</v>
      </c>
      <c r="J1098" s="200" t="inlineStr">
        <is>
          <t>Nov</t>
        </is>
      </c>
      <c r="K1098" s="199" t="n">
        <v>2025</v>
      </c>
      <c r="L1098" s="199" t="n">
        <v>2025</v>
      </c>
    </row>
    <row r="1099" ht="15" customHeight="1" s="104">
      <c r="A1099" s="194" t="n">
        <v>45991</v>
      </c>
      <c r="B1099" s="195" t="inlineStr">
        <is>
          <t>Amazon US</t>
        </is>
      </c>
      <c r="C1099" s="195" t="inlineStr">
        <is>
          <t>Amazon fees</t>
        </is>
      </c>
      <c r="D1099" s="195" t="inlineStr">
        <is>
          <t>Liquidations revenue</t>
        </is>
      </c>
      <c r="E1099" s="196" t="n">
        <v>3.79</v>
      </c>
      <c r="F1099" s="204" t="n">
        <v>2.901892378e-05</v>
      </c>
      <c r="H1099" s="196" t="n">
        <v>3.79</v>
      </c>
      <c r="J1099" s="200" t="inlineStr">
        <is>
          <t>Nov</t>
        </is>
      </c>
      <c r="K1099" s="199" t="n">
        <v>2025</v>
      </c>
      <c r="L1099" s="199" t="n">
        <v>2025</v>
      </c>
    </row>
    <row r="1100" ht="15" customHeight="1" s="104">
      <c r="A1100" s="194" t="n">
        <v>45991</v>
      </c>
      <c r="B1100" s="195" t="inlineStr">
        <is>
          <t>Amazon US</t>
        </is>
      </c>
      <c r="C1100" s="195" t="inlineStr">
        <is>
          <t>Amazon fees</t>
        </is>
      </c>
      <c r="D1100" s="195" t="inlineStr">
        <is>
          <t>Reversal reimbursement</t>
        </is>
      </c>
      <c r="E1100" s="196" t="n">
        <v>575.3099999999999</v>
      </c>
      <c r="F1100" s="204" t="n">
        <v>0.00440498075</v>
      </c>
      <c r="H1100" s="196" t="n">
        <v>575.3099999999999</v>
      </c>
      <c r="J1100" s="200" t="inlineStr">
        <is>
          <t>Nov</t>
        </is>
      </c>
      <c r="K1100" s="199" t="n">
        <v>2025</v>
      </c>
      <c r="L1100" s="199" t="n">
        <v>2025</v>
      </c>
    </row>
    <row r="1101" ht="15" customHeight="1" s="104">
      <c r="A1101" s="194" t="n">
        <v>45991</v>
      </c>
      <c r="B1101" s="195" t="inlineStr">
        <is>
          <t>Amazon US</t>
        </is>
      </c>
      <c r="C1101" s="195" t="inlineStr">
        <is>
          <t>Amazon fees</t>
        </is>
      </c>
      <c r="D1101" s="195" t="inlineStr">
        <is>
          <t>Vine Fee</t>
        </is>
      </c>
      <c r="E1101" s="196" t="n">
        <v>-200</v>
      </c>
      <c r="F1101" s="204" t="n">
        <v>-0.001531341624</v>
      </c>
      <c r="H1101" s="196" t="n">
        <v>-200</v>
      </c>
      <c r="J1101" s="200" t="inlineStr">
        <is>
          <t>Nov</t>
        </is>
      </c>
      <c r="K1101" s="199" t="n">
        <v>2025</v>
      </c>
      <c r="L1101" s="199" t="n">
        <v>2025</v>
      </c>
    </row>
    <row r="1102" ht="15" customHeight="1" s="104">
      <c r="A1102" s="194" t="n">
        <v>45991</v>
      </c>
      <c r="B1102" s="195" t="inlineStr">
        <is>
          <t>Amazon US</t>
        </is>
      </c>
      <c r="C1102" s="195" t="inlineStr">
        <is>
          <t>Amazon fees</t>
        </is>
      </c>
      <c r="D1102" s="195" t="inlineStr">
        <is>
          <t>Missing from inbound clawback</t>
        </is>
      </c>
      <c r="E1102" s="196" t="n">
        <v>-61.47</v>
      </c>
      <c r="F1102" s="204" t="n">
        <v>-0.0004706578483</v>
      </c>
      <c r="H1102" s="196" t="n">
        <v>-61.47</v>
      </c>
      <c r="J1102" s="200" t="inlineStr">
        <is>
          <t>Nov</t>
        </is>
      </c>
      <c r="K1102" s="199" t="n">
        <v>2025</v>
      </c>
      <c r="L1102" s="199" t="n">
        <v>2025</v>
      </c>
    </row>
    <row r="1103" ht="15" customHeight="1" s="104">
      <c r="A1103" s="194" t="n">
        <v>45991</v>
      </c>
      <c r="B1103" s="195" t="inlineStr">
        <is>
          <t>Amazon US</t>
        </is>
      </c>
      <c r="C1103" s="195" t="inlineStr">
        <is>
          <t>Amazon fees</t>
        </is>
      </c>
      <c r="D1103" s="195" t="inlineStr">
        <is>
          <t>Subscription</t>
        </is>
      </c>
      <c r="E1103" s="196" t="n">
        <v>-40.05</v>
      </c>
      <c r="F1103" s="204" t="n">
        <v>-0.0003066511603</v>
      </c>
      <c r="H1103" s="196" t="n">
        <v>-40.05</v>
      </c>
      <c r="J1103" s="200" t="inlineStr">
        <is>
          <t>Nov</t>
        </is>
      </c>
      <c r="K1103" s="199" t="n">
        <v>2025</v>
      </c>
      <c r="L1103" s="199" t="n">
        <v>2025</v>
      </c>
    </row>
    <row r="1104" ht="15" customHeight="1" s="104">
      <c r="A1104" s="194" t="n">
        <v>45991</v>
      </c>
      <c r="B1104" s="195" t="inlineStr">
        <is>
          <t>Amazon US</t>
        </is>
      </c>
      <c r="C1104" s="195" t="inlineStr">
        <is>
          <t>Amazon fees</t>
        </is>
      </c>
      <c r="D1104" s="195" t="inlineStr">
        <is>
          <t>Hrr non apparel rollup</t>
        </is>
      </c>
      <c r="E1104" s="196" t="n">
        <v>-234.35</v>
      </c>
      <c r="F1104" s="204" t="n">
        <v>-0.001794349548</v>
      </c>
      <c r="H1104" s="196" t="n">
        <v>-234.35</v>
      </c>
      <c r="J1104" s="200" t="inlineStr">
        <is>
          <t>Nov</t>
        </is>
      </c>
      <c r="K1104" s="199" t="n">
        <v>2025</v>
      </c>
      <c r="L1104" s="199" t="n">
        <v>2025</v>
      </c>
    </row>
    <row r="1105" ht="15" customHeight="1" s="104">
      <c r="A1105" s="194" t="n">
        <v>45991</v>
      </c>
      <c r="B1105" s="195" t="inlineStr">
        <is>
          <t>Amazon US</t>
        </is>
      </c>
      <c r="C1105" s="195" t="inlineStr">
        <is>
          <t>Amazon fees</t>
        </is>
      </c>
      <c r="D1105" s="195" t="inlineStr">
        <is>
          <t>AWD transportation fee</t>
        </is>
      </c>
      <c r="E1105" s="196" t="n">
        <v>-218.34</v>
      </c>
      <c r="F1105" s="204" t="n">
        <v>-0.001671765651</v>
      </c>
      <c r="H1105" s="196" t="n">
        <v>-218.34</v>
      </c>
      <c r="J1105" s="200" t="inlineStr">
        <is>
          <t>Nov</t>
        </is>
      </c>
      <c r="K1105" s="199" t="n">
        <v>2025</v>
      </c>
      <c r="L1105" s="199" t="n">
        <v>2025</v>
      </c>
    </row>
    <row r="1106" ht="15" customHeight="1" s="104">
      <c r="A1106" s="194" t="n">
        <v>45991</v>
      </c>
      <c r="B1106" s="195" t="inlineStr">
        <is>
          <t>Amazon US</t>
        </is>
      </c>
      <c r="C1106" s="195" t="inlineStr">
        <is>
          <t>Amazon fees</t>
        </is>
      </c>
      <c r="D1106" s="195" t="inlineStr">
        <is>
          <t>AWD storage fees</t>
        </is>
      </c>
      <c r="E1106" s="196" t="n">
        <v>-195</v>
      </c>
      <c r="F1106" s="204" t="n">
        <v>-0.001493058084</v>
      </c>
      <c r="H1106" s="196" t="n">
        <v>-195</v>
      </c>
      <c r="J1106" s="200" t="inlineStr">
        <is>
          <t>Nov</t>
        </is>
      </c>
      <c r="K1106" s="199" t="n">
        <v>2025</v>
      </c>
      <c r="L1106" s="199" t="n">
        <v>2025</v>
      </c>
    </row>
    <row r="1107" ht="15" customHeight="1" s="104">
      <c r="A1107" s="194" t="n">
        <v>45991</v>
      </c>
      <c r="B1107" s="195" t="inlineStr">
        <is>
          <t>Amazon US</t>
        </is>
      </c>
      <c r="C1107" s="195" t="inlineStr">
        <is>
          <t>Amazon fees</t>
        </is>
      </c>
      <c r="D1107" s="195" t="inlineStr">
        <is>
          <t>AWD processing fee</t>
        </is>
      </c>
      <c r="E1107" s="196" t="n">
        <v>-91.8</v>
      </c>
      <c r="F1107" s="204" t="n">
        <v>-0.0007028858056</v>
      </c>
      <c r="H1107" s="196" t="n">
        <v>-91.8</v>
      </c>
      <c r="J1107" s="200" t="inlineStr">
        <is>
          <t>Nov</t>
        </is>
      </c>
      <c r="K1107" s="199" t="n">
        <v>2025</v>
      </c>
      <c r="L1107" s="199" t="n">
        <v>2025</v>
      </c>
    </row>
    <row r="1108" ht="15" customHeight="1" s="104">
      <c r="A1108" s="194" t="n">
        <v>45991</v>
      </c>
      <c r="B1108" s="195" t="inlineStr">
        <is>
          <t>Amazon US</t>
        </is>
      </c>
      <c r="C1108" s="195" t="inlineStr">
        <is>
          <t>Amazon fees</t>
        </is>
      </c>
      <c r="D1108" s="195" t="inlineStr">
        <is>
          <t>Long term storage fee</t>
        </is>
      </c>
      <c r="E1108" s="196" t="n">
        <v>-69.13</v>
      </c>
      <c r="F1108" s="204" t="n">
        <v>-0.0005293082325</v>
      </c>
      <c r="H1108" s="196" t="n">
        <v>-69.13</v>
      </c>
      <c r="J1108" s="200" t="inlineStr">
        <is>
          <t>Nov</t>
        </is>
      </c>
      <c r="K1108" s="199" t="n">
        <v>2025</v>
      </c>
      <c r="L1108" s="199" t="n">
        <v>2025</v>
      </c>
    </row>
    <row r="1109" ht="15" customHeight="1" s="104">
      <c r="A1109" s="194" t="n">
        <v>45991</v>
      </c>
      <c r="B1109" s="195" t="inlineStr">
        <is>
          <t>Amazon US</t>
        </is>
      </c>
      <c r="C1109" s="195" t="inlineStr">
        <is>
          <t>Amazon fees</t>
        </is>
      </c>
      <c r="D1109" s="195" t="inlineStr">
        <is>
          <t>Get paid faster fee</t>
        </is>
      </c>
      <c r="E1109" s="196" t="n">
        <v>-31.67</v>
      </c>
      <c r="F1109" s="204" t="n">
        <v>-0.0002424879462</v>
      </c>
      <c r="H1109" s="196" t="n">
        <v>-31.67</v>
      </c>
      <c r="J1109" s="200" t="inlineStr">
        <is>
          <t>Nov</t>
        </is>
      </c>
      <c r="K1109" s="199" t="n">
        <v>2025</v>
      </c>
      <c r="L1109" s="199" t="n">
        <v>2025</v>
      </c>
    </row>
    <row r="1110" ht="15" customHeight="1" s="104">
      <c r="A1110" s="194" t="n">
        <v>45991</v>
      </c>
      <c r="B1110" s="195" t="inlineStr">
        <is>
          <t>Amazon US</t>
        </is>
      </c>
      <c r="C1110" s="195" t="inlineStr">
        <is>
          <t>Amazon fees</t>
        </is>
      </c>
      <c r="D1110" s="195" t="inlineStr">
        <is>
          <t>Coupon participation fee rollup</t>
        </is>
      </c>
      <c r="E1110" s="196" t="n">
        <v>-5</v>
      </c>
      <c r="F1110" s="204" t="n">
        <v>-3.828354061e-05</v>
      </c>
      <c r="H1110" s="196" t="n">
        <v>-5</v>
      </c>
      <c r="J1110" s="200" t="inlineStr">
        <is>
          <t>Nov</t>
        </is>
      </c>
      <c r="K1110" s="199" t="n">
        <v>2025</v>
      </c>
      <c r="L1110" s="199" t="n">
        <v>2025</v>
      </c>
    </row>
    <row r="1111" ht="15" customHeight="1" s="104">
      <c r="A1111" s="194" t="n">
        <v>45991</v>
      </c>
      <c r="B1111" s="195" t="inlineStr">
        <is>
          <t>Amazon US</t>
        </is>
      </c>
      <c r="C1111" s="195" t="inlineStr">
        <is>
          <t>Amazon fees</t>
        </is>
      </c>
      <c r="D1111" s="195" t="inlineStr">
        <is>
          <t>Coupon performance fee rollup</t>
        </is>
      </c>
      <c r="E1111" s="196" t="n">
        <v>-10.68</v>
      </c>
      <c r="F1111" s="204" t="n">
        <v>-8.177364275e-05</v>
      </c>
      <c r="H1111" s="196" t="n">
        <v>-10.68</v>
      </c>
      <c r="J1111" s="200" t="inlineStr">
        <is>
          <t>Nov</t>
        </is>
      </c>
      <c r="K1111" s="199" t="n">
        <v>2025</v>
      </c>
      <c r="L1111" s="199" t="n">
        <v>2025</v>
      </c>
    </row>
    <row r="1112" ht="15" customHeight="1" s="104">
      <c r="A1112" s="194" t="n">
        <v>45991</v>
      </c>
      <c r="B1112" s="195" t="inlineStr">
        <is>
          <t>Amazon US</t>
        </is>
      </c>
      <c r="C1112" s="195" t="inlineStr">
        <is>
          <t>Amazon fees</t>
        </is>
      </c>
      <c r="D1112" s="195" t="inlineStr">
        <is>
          <t>FBA inbound defect fee</t>
        </is>
      </c>
      <c r="E1112" s="196" t="n">
        <v>-3.12</v>
      </c>
      <c r="F1112" s="204" t="n">
        <v>-2.388892934e-05</v>
      </c>
      <c r="H1112" s="196" t="n">
        <v>-3.12</v>
      </c>
      <c r="J1112" s="200" t="inlineStr">
        <is>
          <t>Nov</t>
        </is>
      </c>
      <c r="K1112" s="199" t="n">
        <v>2025</v>
      </c>
      <c r="L1112" s="199" t="n">
        <v>2025</v>
      </c>
    </row>
    <row r="1113" ht="15" customHeight="1" s="104">
      <c r="A1113" s="194" t="n">
        <v>45991</v>
      </c>
      <c r="B1113" s="195" t="inlineStr">
        <is>
          <t>Amazon US</t>
        </is>
      </c>
      <c r="C1113" s="195" t="inlineStr">
        <is>
          <t>Cost of goods</t>
        </is>
      </c>
      <c r="D1113" s="195" t="inlineStr">
        <is>
          <t>Lost/damaged by Amazon</t>
        </is>
      </c>
      <c r="E1113" s="196" t="n">
        <v>-62.86</v>
      </c>
      <c r="F1113" s="204" t="n">
        <v>-0.0004813006726</v>
      </c>
      <c r="H1113" s="196" t="n">
        <v>-62.86</v>
      </c>
      <c r="J1113" s="200" t="inlineStr">
        <is>
          <t>Nov</t>
        </is>
      </c>
      <c r="K1113" s="199" t="n">
        <v>2025</v>
      </c>
      <c r="L1113" s="199" t="n">
        <v>2025</v>
      </c>
    </row>
    <row r="1114" ht="15" customHeight="1" s="104">
      <c r="A1114" s="194" t="n">
        <v>45991</v>
      </c>
      <c r="B1114" s="195" t="inlineStr">
        <is>
          <t>Amazon US</t>
        </is>
      </c>
      <c r="C1114" s="195" t="inlineStr">
        <is>
          <t>Cost of goods</t>
        </is>
      </c>
      <c r="D1114" s="195" t="inlineStr">
        <is>
          <t>Cost of goods sold</t>
        </is>
      </c>
      <c r="E1114" s="196" t="n">
        <v>-37812.78</v>
      </c>
      <c r="F1114" s="204" t="n">
        <v>-0.2895214198</v>
      </c>
      <c r="H1114" s="196" t="n">
        <v>-37812.78</v>
      </c>
      <c r="J1114" s="200" t="inlineStr">
        <is>
          <t>Nov</t>
        </is>
      </c>
      <c r="K1114" s="199" t="n">
        <v>2025</v>
      </c>
      <c r="L1114" s="199" t="n">
        <v>2025</v>
      </c>
    </row>
    <row r="1115" ht="15" customHeight="1" s="104">
      <c r="A1115" s="194" t="n">
        <v>45991</v>
      </c>
      <c r="B1115" s="195" t="inlineStr">
        <is>
          <t>Amazon CA</t>
        </is>
      </c>
      <c r="C1115" s="195" t="inlineStr">
        <is>
          <t>Advertising cost</t>
        </is>
      </c>
      <c r="D1115" s="195" t="inlineStr">
        <is>
          <t>Sponsored Products</t>
        </is>
      </c>
      <c r="E1115" s="196" t="n">
        <v>-1064.98</v>
      </c>
      <c r="F1115" s="204" t="n">
        <v>-0.06609851906</v>
      </c>
      <c r="H1115" s="196" t="n">
        <v>-1064.98</v>
      </c>
      <c r="J1115" s="200" t="inlineStr">
        <is>
          <t>Nov</t>
        </is>
      </c>
      <c r="K1115" s="199" t="n">
        <v>2025</v>
      </c>
      <c r="L1115" s="199" t="n">
        <v>2025</v>
      </c>
    </row>
    <row r="1116" ht="15" customHeight="1" s="104">
      <c r="A1116" s="194" t="n">
        <v>45991</v>
      </c>
      <c r="B1116" s="195" t="inlineStr">
        <is>
          <t>Amazon CA</t>
        </is>
      </c>
      <c r="C1116" s="195" t="inlineStr">
        <is>
          <t>Advertising cost</t>
        </is>
      </c>
      <c r="D1116" s="195" t="inlineStr">
        <is>
          <t>Sponsored Brands Video</t>
        </is>
      </c>
      <c r="E1116" s="198" t="n">
        <v>0</v>
      </c>
      <c r="F1116" s="201" t="n">
        <v>0</v>
      </c>
      <c r="H1116" s="198" t="n">
        <v>0</v>
      </c>
      <c r="J1116" s="200" t="inlineStr">
        <is>
          <t>Nov</t>
        </is>
      </c>
      <c r="K1116" s="199" t="n">
        <v>2025</v>
      </c>
      <c r="L1116" s="199" t="n">
        <v>2025</v>
      </c>
    </row>
    <row r="1117" ht="15" customHeight="1" s="104">
      <c r="A1117" s="194" t="n">
        <v>45991</v>
      </c>
      <c r="B1117" s="195" t="inlineStr">
        <is>
          <t>Amazon CA</t>
        </is>
      </c>
      <c r="C1117" s="195" t="inlineStr">
        <is>
          <t>Advertising cost</t>
        </is>
      </c>
      <c r="D1117" s="195" t="inlineStr">
        <is>
          <t>Sponsored Display</t>
        </is>
      </c>
      <c r="E1117" s="198" t="n">
        <v>0</v>
      </c>
      <c r="F1117" s="201" t="n">
        <v>0</v>
      </c>
      <c r="H1117" s="198" t="n">
        <v>0</v>
      </c>
      <c r="J1117" s="200" t="inlineStr">
        <is>
          <t>Nov</t>
        </is>
      </c>
      <c r="K1117" s="199" t="n">
        <v>2025</v>
      </c>
      <c r="L1117" s="199" t="n">
        <v>2025</v>
      </c>
    </row>
    <row r="1118" ht="15" customHeight="1" s="104">
      <c r="A1118" s="194" t="n">
        <v>45991</v>
      </c>
      <c r="B1118" s="195" t="inlineStr">
        <is>
          <t>Amazon CA</t>
        </is>
      </c>
      <c r="C1118" s="195" t="inlineStr">
        <is>
          <t>Advertising cost</t>
        </is>
      </c>
      <c r="D1118" s="195" t="inlineStr">
        <is>
          <t>Sponsored Brands</t>
        </is>
      </c>
      <c r="E1118" s="198" t="n">
        <v>0</v>
      </c>
      <c r="F1118" s="201" t="n">
        <v>0</v>
      </c>
      <c r="H1118" s="198" t="n">
        <v>0</v>
      </c>
      <c r="J1118" s="200" t="inlineStr">
        <is>
          <t>Nov</t>
        </is>
      </c>
      <c r="K1118" s="199" t="n">
        <v>2025</v>
      </c>
      <c r="L1118" s="199" t="n">
        <v>2025</v>
      </c>
    </row>
    <row r="1119" ht="15" customHeight="1" s="104">
      <c r="A1119" s="194" t="n">
        <v>45991</v>
      </c>
      <c r="B1119" s="195" t="inlineStr">
        <is>
          <t>Amazon CA</t>
        </is>
      </c>
      <c r="C1119" s="195" t="inlineStr">
        <is>
          <t>Refund cost</t>
        </is>
      </c>
      <c r="D1119" s="195" t="inlineStr">
        <is>
          <t>Refunded amount</t>
        </is>
      </c>
      <c r="E1119" s="196" t="n">
        <v>-1615.17</v>
      </c>
      <c r="F1119" s="204" t="n">
        <v>-0.100246338</v>
      </c>
      <c r="H1119" s="196" t="n">
        <v>-1615.17</v>
      </c>
      <c r="J1119" s="200" t="inlineStr">
        <is>
          <t>Nov</t>
        </is>
      </c>
      <c r="K1119" s="199" t="n">
        <v>2025</v>
      </c>
      <c r="L1119" s="199" t="n">
        <v>2025</v>
      </c>
    </row>
    <row r="1120" ht="15" customHeight="1" s="104">
      <c r="A1120" s="194" t="n">
        <v>45991</v>
      </c>
      <c r="B1120" s="195" t="inlineStr">
        <is>
          <t>Amazon CA</t>
        </is>
      </c>
      <c r="C1120" s="195" t="inlineStr">
        <is>
          <t>Refund cost</t>
        </is>
      </c>
      <c r="D1120" s="195" t="inlineStr">
        <is>
          <t>Refund commission</t>
        </is>
      </c>
      <c r="E1120" s="196" t="n">
        <v>-46.92</v>
      </c>
      <c r="F1120" s="204" t="n">
        <v>-0.002912113386</v>
      </c>
      <c r="H1120" s="196" t="n">
        <v>-46.92</v>
      </c>
      <c r="J1120" s="200" t="inlineStr">
        <is>
          <t>Nov</t>
        </is>
      </c>
      <c r="K1120" s="199" t="n">
        <v>2025</v>
      </c>
      <c r="L1120" s="199" t="n">
        <v>2025</v>
      </c>
    </row>
    <row r="1121" ht="15" customHeight="1" s="104">
      <c r="A1121" s="194" t="n">
        <v>45991</v>
      </c>
      <c r="B1121" s="195" t="inlineStr">
        <is>
          <t>Amazon CA</t>
        </is>
      </c>
      <c r="C1121" s="195" t="inlineStr">
        <is>
          <t>Refund cost</t>
        </is>
      </c>
      <c r="D1121" s="195" t="inlineStr">
        <is>
          <t>Refunded referral fee</t>
        </is>
      </c>
      <c r="E1121" s="196" t="n">
        <v>242.33</v>
      </c>
      <c r="F1121" s="204" t="n">
        <v>0.01504033327</v>
      </c>
      <c r="H1121" s="196" t="n">
        <v>242.33</v>
      </c>
      <c r="J1121" s="200" t="inlineStr">
        <is>
          <t>Nov</t>
        </is>
      </c>
      <c r="K1121" s="199" t="n">
        <v>2025</v>
      </c>
      <c r="L1121" s="199" t="n">
        <v>2025</v>
      </c>
    </row>
    <row r="1122" ht="15" customHeight="1" s="104">
      <c r="A1122" s="194" t="n">
        <v>45991</v>
      </c>
      <c r="B1122" s="195" t="inlineStr">
        <is>
          <t>Amazon CA</t>
        </is>
      </c>
      <c r="C1122" s="195" t="inlineStr">
        <is>
          <t>Refund cost</t>
        </is>
      </c>
      <c r="D1122" s="195" t="inlineStr">
        <is>
          <t>Value of returned items</t>
        </is>
      </c>
      <c r="E1122" s="196" t="n">
        <v>169.17</v>
      </c>
      <c r="F1122" s="204" t="n">
        <v>0.01049962109</v>
      </c>
      <c r="H1122" s="196" t="n">
        <v>169.17</v>
      </c>
      <c r="J1122" s="200" t="inlineStr">
        <is>
          <t>Nov</t>
        </is>
      </c>
      <c r="K1122" s="199" t="n">
        <v>2025</v>
      </c>
      <c r="L1122" s="199" t="n">
        <v>2025</v>
      </c>
    </row>
    <row r="1123" ht="15" customHeight="1" s="104">
      <c r="A1123" s="194" t="n">
        <v>45991</v>
      </c>
      <c r="B1123" s="195" t="inlineStr">
        <is>
          <t>Amazon CA</t>
        </is>
      </c>
      <c r="C1123" s="195" t="inlineStr">
        <is>
          <t>Amazon fees</t>
        </is>
      </c>
      <c r="D1123" s="195" t="inlineStr">
        <is>
          <t>FBA per unit fulfilment fee</t>
        </is>
      </c>
      <c r="E1123" s="196" t="n">
        <v>-3776.3</v>
      </c>
      <c r="F1123" s="204" t="n">
        <v>-0.2343779578</v>
      </c>
      <c r="H1123" s="196" t="n">
        <v>-3776.3</v>
      </c>
      <c r="J1123" s="200" t="inlineStr">
        <is>
          <t>Nov</t>
        </is>
      </c>
      <c r="K1123" s="199" t="n">
        <v>2025</v>
      </c>
      <c r="L1123" s="199" t="n">
        <v>2025</v>
      </c>
    </row>
    <row r="1124" ht="15" customHeight="1" s="104">
      <c r="A1124" s="194" t="n">
        <v>45991</v>
      </c>
      <c r="B1124" s="195" t="inlineStr">
        <is>
          <t>Amazon CA</t>
        </is>
      </c>
      <c r="C1124" s="195" t="inlineStr">
        <is>
          <t>Amazon fees</t>
        </is>
      </c>
      <c r="D1124" s="195" t="inlineStr">
        <is>
          <t>Referral fee</t>
        </is>
      </c>
      <c r="E1124" s="196" t="n">
        <v>-2423.75</v>
      </c>
      <c r="F1124" s="204" t="n">
        <v>-0.1504312621</v>
      </c>
      <c r="H1124" s="196" t="n">
        <v>-2423.75</v>
      </c>
      <c r="J1124" s="200" t="inlineStr">
        <is>
          <t>Nov</t>
        </is>
      </c>
      <c r="K1124" s="199" t="n">
        <v>2025</v>
      </c>
      <c r="L1124" s="199" t="n">
        <v>2025</v>
      </c>
    </row>
    <row r="1125" ht="15" customHeight="1" s="104">
      <c r="A1125" s="194" t="n">
        <v>45991</v>
      </c>
      <c r="B1125" s="195" t="inlineStr">
        <is>
          <t>Amazon CA</t>
        </is>
      </c>
      <c r="C1125" s="195" t="inlineStr">
        <is>
          <t>Amazon fees</t>
        </is>
      </c>
      <c r="D1125" s="195" t="inlineStr">
        <is>
          <t>FBA storage fee</t>
        </is>
      </c>
      <c r="E1125" s="196" t="n">
        <v>-513.61</v>
      </c>
      <c r="F1125" s="204" t="n">
        <v>-0.03187746284</v>
      </c>
      <c r="H1125" s="196" t="n">
        <v>-513.61</v>
      </c>
      <c r="J1125" s="200" t="inlineStr">
        <is>
          <t>Nov</t>
        </is>
      </c>
      <c r="K1125" s="199" t="n">
        <v>2025</v>
      </c>
      <c r="L1125" s="199" t="n">
        <v>2025</v>
      </c>
    </row>
    <row r="1126" ht="15" customHeight="1" s="104">
      <c r="A1126" s="194" t="n">
        <v>45991</v>
      </c>
      <c r="B1126" s="195" t="inlineStr">
        <is>
          <t>Amazon CA</t>
        </is>
      </c>
      <c r="C1126" s="195" t="inlineStr">
        <is>
          <t>Amazon fees</t>
        </is>
      </c>
      <c r="D1126" s="195" t="inlineStr">
        <is>
          <t>Digital services fee</t>
        </is>
      </c>
      <c r="E1126" s="198" t="n">
        <v>0</v>
      </c>
      <c r="F1126" s="201" t="n">
        <v>0</v>
      </c>
      <c r="H1126" s="198" t="n">
        <v>0</v>
      </c>
      <c r="J1126" s="200" t="inlineStr">
        <is>
          <t>Nov</t>
        </is>
      </c>
      <c r="K1126" s="199" t="n">
        <v>2025</v>
      </c>
      <c r="L1126" s="199" t="n">
        <v>2025</v>
      </c>
    </row>
    <row r="1127" ht="15" customHeight="1" s="104">
      <c r="A1127" s="194" t="n">
        <v>45991</v>
      </c>
      <c r="B1127" s="195" t="inlineStr">
        <is>
          <t>Amazon CA</t>
        </is>
      </c>
      <c r="C1127" s="195" t="inlineStr">
        <is>
          <t>Amazon fees</t>
        </is>
      </c>
      <c r="D1127" s="195" t="inlineStr">
        <is>
          <t>Long term storage fee</t>
        </is>
      </c>
      <c r="E1127" s="196" t="n">
        <v>-265.57</v>
      </c>
      <c r="F1127" s="204" t="n">
        <v>-0.01648273555</v>
      </c>
      <c r="H1127" s="196" t="n">
        <v>-265.57</v>
      </c>
      <c r="J1127" s="200" t="inlineStr">
        <is>
          <t>Nov</t>
        </is>
      </c>
      <c r="K1127" s="199" t="n">
        <v>2025</v>
      </c>
      <c r="L1127" s="199" t="n">
        <v>2025</v>
      </c>
    </row>
    <row r="1128" ht="15" customHeight="1" s="104">
      <c r="A1128" s="194" t="n">
        <v>45991</v>
      </c>
      <c r="B1128" s="195" t="inlineStr">
        <is>
          <t>Amazon CA</t>
        </is>
      </c>
      <c r="C1128" s="195" t="inlineStr">
        <is>
          <t>Amazon fees</t>
        </is>
      </c>
      <c r="D1128" s="195" t="inlineStr">
        <is>
          <t>Reversal reimbursement</t>
        </is>
      </c>
      <c r="E1128" s="196" t="n">
        <v>83.87</v>
      </c>
      <c r="F1128" s="204" t="n">
        <v>0.005205433711</v>
      </c>
      <c r="H1128" s="196" t="n">
        <v>83.87</v>
      </c>
      <c r="J1128" s="200" t="inlineStr">
        <is>
          <t>Nov</t>
        </is>
      </c>
      <c r="K1128" s="199" t="n">
        <v>2025</v>
      </c>
      <c r="L1128" s="199" t="n">
        <v>2025</v>
      </c>
    </row>
    <row r="1129" ht="15" customHeight="1" s="104">
      <c r="A1129" s="194" t="n">
        <v>45991</v>
      </c>
      <c r="B1129" s="195" t="inlineStr">
        <is>
          <t>Amazon CA</t>
        </is>
      </c>
      <c r="C1129" s="195" t="inlineStr">
        <is>
          <t>Cost of goods</t>
        </is>
      </c>
      <c r="D1129" s="195" t="inlineStr">
        <is>
          <t>Cost of goods sold</t>
        </is>
      </c>
      <c r="E1129" s="196" t="n">
        <v>-5089.38</v>
      </c>
      <c r="F1129" s="204" t="n">
        <v>-0.3158749281</v>
      </c>
      <c r="H1129" s="196" t="n">
        <v>-5089.38</v>
      </c>
      <c r="J1129" s="200" t="inlineStr">
        <is>
          <t>Nov</t>
        </is>
      </c>
      <c r="K1129" s="199" t="n">
        <v>2025</v>
      </c>
      <c r="L1129" s="199" t="n">
        <v>2025</v>
      </c>
    </row>
    <row r="1130" ht="15" customHeight="1" s="104">
      <c r="A1130" s="194" t="n">
        <v>45991</v>
      </c>
      <c r="B1130" s="195" t="inlineStr">
        <is>
          <t>Shopify</t>
        </is>
      </c>
      <c r="C1130" s="195" t="inlineStr">
        <is>
          <t>Payment fees</t>
        </is>
      </c>
      <c r="D1130" s="195" t="inlineStr">
        <is>
          <t>Shopify Payments fee</t>
        </is>
      </c>
      <c r="E1130" s="196" t="n">
        <v>-27.14</v>
      </c>
      <c r="F1130" s="204" t="n">
        <v>-0.01953164357</v>
      </c>
      <c r="H1130" s="196" t="n">
        <v>-27.14</v>
      </c>
      <c r="J1130" s="200" t="inlineStr">
        <is>
          <t>Nov</t>
        </is>
      </c>
      <c r="K1130" s="199" t="n">
        <v>2025</v>
      </c>
      <c r="L1130" s="199" t="n">
        <v>2025</v>
      </c>
    </row>
    <row r="1131" ht="15" customHeight="1" s="104">
      <c r="A1131" s="194" t="n">
        <v>45991</v>
      </c>
      <c r="B1131" s="195" t="inlineStr">
        <is>
          <t>Shopify</t>
        </is>
      </c>
      <c r="C1131" s="195" t="inlineStr">
        <is>
          <t>Cost of goods</t>
        </is>
      </c>
      <c r="D1131" s="195" t="inlineStr">
        <is>
          <t>Cost of goods sold</t>
        </is>
      </c>
      <c r="E1131" s="196" t="n">
        <v>-345.88</v>
      </c>
      <c r="F1131" s="204" t="n">
        <v>-0.2489169078</v>
      </c>
      <c r="H1131" s="196" t="n">
        <v>-345.88</v>
      </c>
      <c r="J1131" s="200" t="inlineStr">
        <is>
          <t>Nov</t>
        </is>
      </c>
      <c r="K1131" s="199" t="n">
        <v>2025</v>
      </c>
      <c r="L1131" s="199" t="n">
        <v>2025</v>
      </c>
    </row>
    <row r="1132" ht="15" customHeight="1" s="104">
      <c r="A1132" s="194" t="n">
        <v>45991</v>
      </c>
      <c r="B1132" s="195" t="inlineStr">
        <is>
          <t>Shopify</t>
        </is>
      </c>
      <c r="C1132" s="195" t="inlineStr">
        <is>
          <t>Tax</t>
        </is>
      </c>
      <c r="D1132" s="195" t="inlineStr">
        <is>
          <t>New Jersey State Tax</t>
        </is>
      </c>
      <c r="E1132" s="196" t="n">
        <v>-5.3</v>
      </c>
      <c r="F1132" s="204" t="n">
        <v>-0.003814211897</v>
      </c>
      <c r="H1132" s="196" t="n">
        <v>-5.3</v>
      </c>
      <c r="J1132" s="200" t="inlineStr">
        <is>
          <t>Nov</t>
        </is>
      </c>
      <c r="K1132" s="199" t="n">
        <v>2025</v>
      </c>
      <c r="L1132" s="199" t="n">
        <v>2025</v>
      </c>
    </row>
    <row r="1133" ht="15" customHeight="1" s="104">
      <c r="A1133" s="194" t="n">
        <v>45991</v>
      </c>
      <c r="B1133" s="195" t="inlineStr">
        <is>
          <t>Shopify</t>
        </is>
      </c>
      <c r="C1133" s="195" t="inlineStr">
        <is>
          <t>Tax</t>
        </is>
      </c>
      <c r="D1133" s="195" t="inlineStr">
        <is>
          <t>Galveston City Tax</t>
        </is>
      </c>
      <c r="E1133" s="197" t="n">
        <v>-0.82</v>
      </c>
      <c r="F1133" s="204" t="n">
        <v>-0.0005901233502</v>
      </c>
      <c r="H1133" s="197" t="n">
        <v>-0.82</v>
      </c>
      <c r="J1133" s="200" t="inlineStr">
        <is>
          <t>Nov</t>
        </is>
      </c>
      <c r="K1133" s="199" t="n">
        <v>2025</v>
      </c>
      <c r="L1133" s="199" t="n">
        <v>2025</v>
      </c>
    </row>
    <row r="1134" ht="15" customHeight="1" s="104">
      <c r="A1134" s="194" t="n">
        <v>45991</v>
      </c>
      <c r="B1134" s="195" t="inlineStr">
        <is>
          <t>Shopify</t>
        </is>
      </c>
      <c r="C1134" s="195" t="inlineStr">
        <is>
          <t>Tax</t>
        </is>
      </c>
      <c r="D1134" s="195" t="inlineStr">
        <is>
          <t>Texas State Tax</t>
        </is>
      </c>
      <c r="E1134" s="196" t="n">
        <v>-2.56</v>
      </c>
      <c r="F1134" s="204" t="n">
        <v>-0.001842336313</v>
      </c>
      <c r="H1134" s="196" t="n">
        <v>-2.56</v>
      </c>
      <c r="J1134" s="200" t="inlineStr">
        <is>
          <t>Nov</t>
        </is>
      </c>
      <c r="K1134" s="199" t="n">
        <v>2025</v>
      </c>
      <c r="L1134" s="199" t="n">
        <v>2025</v>
      </c>
    </row>
    <row r="1135" ht="15" customHeight="1" s="104">
      <c r="A1135" s="194" t="n">
        <v>45991</v>
      </c>
      <c r="B1135" s="195" t="inlineStr">
        <is>
          <t>Shopify</t>
        </is>
      </c>
      <c r="C1135" s="195" t="inlineStr">
        <is>
          <t>Tax</t>
        </is>
      </c>
      <c r="D1135" s="195" t="inlineStr">
        <is>
          <t xml:space="preserve">New York  City Tax </t>
        </is>
      </c>
      <c r="E1135" s="196" t="n">
        <v>-3.48</v>
      </c>
      <c r="F1135" s="204" t="n">
        <v>-0.002504425925</v>
      </c>
      <c r="H1135" s="196" t="n">
        <v>-3.48</v>
      </c>
      <c r="J1135" s="200" t="inlineStr">
        <is>
          <t>Nov</t>
        </is>
      </c>
      <c r="K1135" s="199" t="n">
        <v>2025</v>
      </c>
      <c r="L1135" s="199" t="n">
        <v>2025</v>
      </c>
    </row>
    <row r="1136" ht="15" customHeight="1" s="104">
      <c r="A1136" s="194" t="n">
        <v>45991</v>
      </c>
      <c r="B1136" s="195" t="inlineStr">
        <is>
          <t>Shopify</t>
        </is>
      </c>
      <c r="C1136" s="195" t="inlineStr">
        <is>
          <t>Tax</t>
        </is>
      </c>
      <c r="D1136" s="195" t="inlineStr">
        <is>
          <t>Metropolitan Commuter Transportation District</t>
        </is>
      </c>
      <c r="E1136" s="197" t="n">
        <v>0.15</v>
      </c>
      <c r="F1136" s="204" t="n">
        <v>0.0001079493933</v>
      </c>
      <c r="H1136" s="197" t="n">
        <v>0.15</v>
      </c>
      <c r="J1136" s="200" t="inlineStr">
        <is>
          <t>Nov</t>
        </is>
      </c>
      <c r="K1136" s="199" t="n">
        <v>2025</v>
      </c>
      <c r="L1136" s="199" t="n">
        <v>2025</v>
      </c>
    </row>
    <row r="1137" ht="15" customHeight="1" s="104">
      <c r="A1137" s="194" t="n">
        <v>45991</v>
      </c>
      <c r="B1137" s="195" t="inlineStr">
        <is>
          <t>Shopify</t>
        </is>
      </c>
      <c r="C1137" s="195" t="inlineStr">
        <is>
          <t>MCF Shipping fees</t>
        </is>
      </c>
      <c r="D1137" s="195" t="inlineStr">
        <is>
          <t>MCF Shipping fees</t>
        </is>
      </c>
      <c r="E1137" s="196" t="n">
        <v>-290.16</v>
      </c>
      <c r="F1137" s="204" t="n">
        <v>-0.2088173064</v>
      </c>
      <c r="H1137" s="196" t="n">
        <v>-290.16</v>
      </c>
      <c r="J1137" s="200" t="inlineStr">
        <is>
          <t>Nov</t>
        </is>
      </c>
      <c r="K1137" s="199" t="n">
        <v>2025</v>
      </c>
      <c r="L1137" s="199" t="n">
        <v>2025</v>
      </c>
    </row>
    <row r="1138" ht="15" customHeight="1" s="104">
      <c r="A1138" s="194" t="n">
        <v>45991</v>
      </c>
      <c r="B1138" s="195" t="inlineStr">
        <is>
          <t>Shopify</t>
        </is>
      </c>
      <c r="C1138" s="195" t="inlineStr">
        <is>
          <t>Shipping Cost</t>
        </is>
      </c>
      <c r="D1138" s="195" t="inlineStr">
        <is>
          <t>Shipping Cost</t>
        </is>
      </c>
      <c r="E1138" s="198" t="n">
        <v>0</v>
      </c>
      <c r="F1138" s="201" t="n">
        <v>0</v>
      </c>
      <c r="H1138" s="198" t="n">
        <v>0</v>
      </c>
      <c r="J1138" s="200" t="inlineStr">
        <is>
          <t>Nov</t>
        </is>
      </c>
      <c r="K1138" s="199" t="n">
        <v>2025</v>
      </c>
      <c r="L1138" s="199" t="n">
        <v>2025</v>
      </c>
    </row>
    <row r="1139" ht="15" customHeight="1" s="104">
      <c r="A1139" s="194" t="n">
        <v>45991</v>
      </c>
      <c r="B1139" s="195" t="inlineStr">
        <is>
          <t>Shopify</t>
        </is>
      </c>
      <c r="C1139" s="195" t="inlineStr">
        <is>
          <t>Advertising cost</t>
        </is>
      </c>
      <c r="D1139" s="195" t="inlineStr">
        <is>
          <t>Advertising Cost</t>
        </is>
      </c>
      <c r="E1139" s="196" t="n">
        <v>-208.82</v>
      </c>
      <c r="F1139" s="204" t="n">
        <v>-0.1502799488</v>
      </c>
      <c r="H1139" s="196" t="n">
        <v>-208.82</v>
      </c>
      <c r="J1139" s="200" t="inlineStr">
        <is>
          <t>Nov</t>
        </is>
      </c>
      <c r="K1139" s="199" t="n">
        <v>2025</v>
      </c>
      <c r="L1139" s="199" t="n">
        <v>2025</v>
      </c>
    </row>
    <row r="1140" ht="15" customHeight="1" s="104">
      <c r="A1140" s="194" t="n">
        <v>46022</v>
      </c>
      <c r="B1140" s="195" t="inlineStr">
        <is>
          <t>Amazon US</t>
        </is>
      </c>
      <c r="C1140" s="195" t="inlineStr">
        <is>
          <t>Advertising cost</t>
        </is>
      </c>
      <c r="D1140" s="195" t="inlineStr">
        <is>
          <t>Sponsored Products</t>
        </is>
      </c>
      <c r="E1140" s="196" t="n">
        <v>-14717.29</v>
      </c>
      <c r="F1140" s="204" t="n">
        <v>-0.06596761586</v>
      </c>
      <c r="H1140" s="196" t="n">
        <v>-14717.29</v>
      </c>
      <c r="J1140" s="200" t="inlineStr">
        <is>
          <t>Dec</t>
        </is>
      </c>
      <c r="K1140" s="199" t="n">
        <v>2025</v>
      </c>
      <c r="L1140" s="199" t="n">
        <v>2025</v>
      </c>
    </row>
    <row r="1141" ht="15" customHeight="1" s="104">
      <c r="A1141" s="194" t="n">
        <v>46022</v>
      </c>
      <c r="B1141" s="195" t="inlineStr">
        <is>
          <t>Amazon US</t>
        </is>
      </c>
      <c r="C1141" s="195" t="inlineStr">
        <is>
          <t>Advertising cost</t>
        </is>
      </c>
      <c r="D1141" s="195" t="inlineStr">
        <is>
          <t>Sponsored Brands Video</t>
        </is>
      </c>
      <c r="E1141" s="196" t="n">
        <v>-2147.6</v>
      </c>
      <c r="F1141" s="204" t="n">
        <v>-0.009626232263</v>
      </c>
      <c r="H1141" s="196" t="n">
        <v>-2147.6</v>
      </c>
      <c r="J1141" s="200" t="inlineStr">
        <is>
          <t>Dec</t>
        </is>
      </c>
      <c r="K1141" s="199" t="n">
        <v>2025</v>
      </c>
      <c r="L1141" s="199" t="n">
        <v>2025</v>
      </c>
    </row>
    <row r="1142" ht="15" customHeight="1" s="104">
      <c r="A1142" s="194" t="n">
        <v>46022</v>
      </c>
      <c r="B1142" s="195" t="inlineStr">
        <is>
          <t>Amazon US</t>
        </is>
      </c>
      <c r="C1142" s="195" t="inlineStr">
        <is>
          <t>Advertising cost</t>
        </is>
      </c>
      <c r="D1142" s="195" t="inlineStr">
        <is>
          <t>Sponsored Display</t>
        </is>
      </c>
      <c r="E1142" s="198" t="n">
        <v>0</v>
      </c>
      <c r="F1142" s="201" t="n">
        <v>0</v>
      </c>
      <c r="H1142" s="198" t="n">
        <v>0</v>
      </c>
      <c r="J1142" s="200" t="inlineStr">
        <is>
          <t>Dec</t>
        </is>
      </c>
      <c r="K1142" s="199" t="n">
        <v>2025</v>
      </c>
      <c r="L1142" s="199" t="n">
        <v>2025</v>
      </c>
    </row>
    <row r="1143" ht="15" customHeight="1" s="104">
      <c r="A1143" s="194" t="n">
        <v>46022</v>
      </c>
      <c r="B1143" s="195" t="inlineStr">
        <is>
          <t>Amazon US</t>
        </is>
      </c>
      <c r="C1143" s="195" t="inlineStr">
        <is>
          <t>Advertising cost</t>
        </is>
      </c>
      <c r="D1143" s="195" t="inlineStr">
        <is>
          <t>Sponsored Brands</t>
        </is>
      </c>
      <c r="E1143" s="198" t="n">
        <v>0</v>
      </c>
      <c r="F1143" s="201" t="n">
        <v>0</v>
      </c>
      <c r="H1143" s="198" t="n">
        <v>0</v>
      </c>
      <c r="J1143" s="200" t="inlineStr">
        <is>
          <t>Dec</t>
        </is>
      </c>
      <c r="K1143" s="199" t="n">
        <v>2025</v>
      </c>
      <c r="L1143" s="199" t="n">
        <v>2025</v>
      </c>
    </row>
    <row r="1144" ht="15" customHeight="1" s="104">
      <c r="A1144" s="194" t="n">
        <v>46022</v>
      </c>
      <c r="B1144" s="195" t="inlineStr">
        <is>
          <t>Amazon US</t>
        </is>
      </c>
      <c r="C1144" s="195" t="inlineStr">
        <is>
          <t>Refund cost</t>
        </is>
      </c>
      <c r="D1144" s="195" t="inlineStr">
        <is>
          <t>Refunded amount</t>
        </is>
      </c>
      <c r="E1144" s="196" t="n">
        <v>-16414.68</v>
      </c>
      <c r="F1144" s="204" t="n">
        <v>-0.07357586245</v>
      </c>
      <c r="H1144" s="196" t="n">
        <v>-16414.68</v>
      </c>
      <c r="J1144" s="200" t="inlineStr">
        <is>
          <t>Dec</t>
        </is>
      </c>
      <c r="K1144" s="199" t="n">
        <v>2025</v>
      </c>
      <c r="L1144" s="199" t="n">
        <v>2025</v>
      </c>
    </row>
    <row r="1145" ht="15" customHeight="1" s="104">
      <c r="A1145" s="194" t="n">
        <v>46022</v>
      </c>
      <c r="B1145" s="195" t="inlineStr">
        <is>
          <t>Amazon US</t>
        </is>
      </c>
      <c r="C1145" s="195" t="inlineStr">
        <is>
          <t>Refund cost</t>
        </is>
      </c>
      <c r="D1145" s="195" t="inlineStr">
        <is>
          <t>Refund commission</t>
        </is>
      </c>
      <c r="E1145" s="196" t="n">
        <v>-489.16</v>
      </c>
      <c r="F1145" s="204" t="n">
        <v>-0.002192572068</v>
      </c>
      <c r="H1145" s="196" t="n">
        <v>-489.16</v>
      </c>
      <c r="J1145" s="200" t="inlineStr">
        <is>
          <t>Dec</t>
        </is>
      </c>
      <c r="K1145" s="199" t="n">
        <v>2025</v>
      </c>
      <c r="L1145" s="199" t="n">
        <v>2025</v>
      </c>
    </row>
    <row r="1146" ht="15" customHeight="1" s="104">
      <c r="A1146" s="194" t="n">
        <v>46022</v>
      </c>
      <c r="B1146" s="195" t="inlineStr">
        <is>
          <t>Amazon US</t>
        </is>
      </c>
      <c r="C1146" s="195" t="inlineStr">
        <is>
          <t>Refund cost</t>
        </is>
      </c>
      <c r="D1146" s="195" t="inlineStr">
        <is>
          <t>Promotion</t>
        </is>
      </c>
      <c r="E1146" s="196" t="n">
        <v>67.8</v>
      </c>
      <c r="F1146" s="204" t="n">
        <v>0.0003039013538</v>
      </c>
      <c r="H1146" s="196" t="n">
        <v>67.8</v>
      </c>
      <c r="J1146" s="200" t="inlineStr">
        <is>
          <t>Dec</t>
        </is>
      </c>
      <c r="K1146" s="199" t="n">
        <v>2025</v>
      </c>
      <c r="L1146" s="199" t="n">
        <v>2025</v>
      </c>
    </row>
    <row r="1147" ht="15" customHeight="1" s="104">
      <c r="A1147" s="194" t="n">
        <v>46022</v>
      </c>
      <c r="B1147" s="195" t="inlineStr">
        <is>
          <t>Amazon US</t>
        </is>
      </c>
      <c r="C1147" s="195" t="inlineStr">
        <is>
          <t>Refund cost</t>
        </is>
      </c>
      <c r="D1147" s="195" t="inlineStr">
        <is>
          <t>Refunded referral fee</t>
        </is>
      </c>
      <c r="E1147" s="196" t="n">
        <v>2452.56</v>
      </c>
      <c r="F1147" s="204" t="n">
        <v>0.01099316083</v>
      </c>
      <c r="H1147" s="196" t="n">
        <v>2452.56</v>
      </c>
      <c r="J1147" s="200" t="inlineStr">
        <is>
          <t>Dec</t>
        </is>
      </c>
      <c r="K1147" s="199" t="n">
        <v>2025</v>
      </c>
      <c r="L1147" s="199" t="n">
        <v>2025</v>
      </c>
    </row>
    <row r="1148" ht="15" customHeight="1" s="104">
      <c r="A1148" s="194" t="n">
        <v>46022</v>
      </c>
      <c r="B1148" s="195" t="inlineStr">
        <is>
          <t>Amazon US</t>
        </is>
      </c>
      <c r="C1148" s="195" t="inlineStr">
        <is>
          <t>Refund cost</t>
        </is>
      </c>
      <c r="D1148" s="195" t="inlineStr">
        <is>
          <t>Value of returned items</t>
        </is>
      </c>
      <c r="E1148" s="196" t="n">
        <v>1780.41</v>
      </c>
      <c r="F1148" s="204" t="n">
        <v>0.007980368869</v>
      </c>
      <c r="H1148" s="196" t="n">
        <v>1780.41</v>
      </c>
      <c r="J1148" s="200" t="inlineStr">
        <is>
          <t>Dec</t>
        </is>
      </c>
      <c r="K1148" s="199" t="n">
        <v>2025</v>
      </c>
      <c r="L1148" s="199" t="n">
        <v>2025</v>
      </c>
    </row>
    <row r="1149" ht="15" customHeight="1" s="104">
      <c r="A1149" s="194" t="n">
        <v>46022</v>
      </c>
      <c r="B1149" s="195" t="inlineStr">
        <is>
          <t>Amazon US</t>
        </is>
      </c>
      <c r="C1149" s="195" t="inlineStr">
        <is>
          <t>Amazon fees</t>
        </is>
      </c>
      <c r="D1149" s="195" t="inlineStr">
        <is>
          <t>FBA per unit fulfilment fee</t>
        </is>
      </c>
      <c r="E1149" s="196" t="n">
        <v>-45723.87</v>
      </c>
      <c r="F1149" s="204" t="n">
        <v>-0.204949056</v>
      </c>
      <c r="H1149" s="196" t="n">
        <v>-45723.87</v>
      </c>
      <c r="J1149" s="200" t="inlineStr">
        <is>
          <t>Dec</t>
        </is>
      </c>
      <c r="K1149" s="199" t="n">
        <v>2025</v>
      </c>
      <c r="L1149" s="199" t="n">
        <v>2025</v>
      </c>
    </row>
    <row r="1150" ht="15" customHeight="1" s="104">
      <c r="A1150" s="194" t="n">
        <v>46022</v>
      </c>
      <c r="B1150" s="195" t="inlineStr">
        <is>
          <t>Amazon US</t>
        </is>
      </c>
      <c r="C1150" s="195" t="inlineStr">
        <is>
          <t>Amazon fees</t>
        </is>
      </c>
      <c r="D1150" s="195" t="inlineStr">
        <is>
          <t>Referral fee</t>
        </is>
      </c>
      <c r="E1150" s="196" t="n">
        <v>-33358.95</v>
      </c>
      <c r="F1150" s="204" t="n">
        <v>-0.1495255172</v>
      </c>
      <c r="H1150" s="196" t="n">
        <v>-33358.95</v>
      </c>
      <c r="J1150" s="200" t="inlineStr">
        <is>
          <t>Dec</t>
        </is>
      </c>
      <c r="K1150" s="199" t="n">
        <v>2025</v>
      </c>
      <c r="L1150" s="199" t="n">
        <v>2025</v>
      </c>
    </row>
    <row r="1151" ht="15" customHeight="1" s="104">
      <c r="A1151" s="194" t="n">
        <v>46022</v>
      </c>
      <c r="B1151" s="195" t="inlineStr">
        <is>
          <t>Amazon US</t>
        </is>
      </c>
      <c r="C1151" s="195" t="inlineStr">
        <is>
          <t>Amazon fees</t>
        </is>
      </c>
      <c r="D1151" s="195" t="inlineStr">
        <is>
          <t>FBA storage fee</t>
        </is>
      </c>
      <c r="E1151" s="196" t="n">
        <v>-6962.63</v>
      </c>
      <c r="F1151" s="204" t="n">
        <v>-0.03120874164</v>
      </c>
      <c r="H1151" s="196" t="n">
        <v>-6962.63</v>
      </c>
      <c r="J1151" s="200" t="inlineStr">
        <is>
          <t>Dec</t>
        </is>
      </c>
      <c r="K1151" s="199" t="n">
        <v>2025</v>
      </c>
      <c r="L1151" s="199" t="n">
        <v>2025</v>
      </c>
    </row>
    <row r="1152" ht="15" customHeight="1" s="104">
      <c r="A1152" s="194" t="n">
        <v>46022</v>
      </c>
      <c r="B1152" s="195" t="inlineStr">
        <is>
          <t>Amazon US</t>
        </is>
      </c>
      <c r="C1152" s="195" t="inlineStr">
        <is>
          <t>Amazon fees</t>
        </is>
      </c>
      <c r="D1152" s="195" t="inlineStr">
        <is>
          <t>FBA disposal fee</t>
        </is>
      </c>
      <c r="E1152" s="196" t="n">
        <v>-747.08</v>
      </c>
      <c r="F1152" s="204" t="n">
        <v>-0.003348652262</v>
      </c>
      <c r="H1152" s="196" t="n">
        <v>-747.08</v>
      </c>
      <c r="J1152" s="200" t="inlineStr">
        <is>
          <t>Dec</t>
        </is>
      </c>
      <c r="K1152" s="199" t="n">
        <v>2025</v>
      </c>
      <c r="L1152" s="199" t="n">
        <v>2025</v>
      </c>
    </row>
    <row r="1153" ht="15" customHeight="1" s="104">
      <c r="A1153" s="194" t="n">
        <v>46022</v>
      </c>
      <c r="B1153" s="195" t="inlineStr">
        <is>
          <t>Amazon US</t>
        </is>
      </c>
      <c r="C1153" s="195" t="inlineStr">
        <is>
          <t>Amazon fees</t>
        </is>
      </c>
      <c r="D1153" s="195" t="inlineStr">
        <is>
          <t>Hrr non apparel rollup</t>
        </is>
      </c>
      <c r="E1153" s="196" t="n">
        <v>-438.96</v>
      </c>
      <c r="F1153" s="204" t="n">
        <v>-0.001967559561</v>
      </c>
      <c r="H1153" s="196" t="n">
        <v>-438.96</v>
      </c>
      <c r="J1153" s="200" t="inlineStr">
        <is>
          <t>Dec</t>
        </is>
      </c>
      <c r="K1153" s="199" t="n">
        <v>2025</v>
      </c>
      <c r="L1153" s="199" t="n">
        <v>2025</v>
      </c>
    </row>
    <row r="1154" ht="15" customHeight="1" s="104">
      <c r="A1154" s="194" t="n">
        <v>46022</v>
      </c>
      <c r="B1154" s="195" t="inlineStr">
        <is>
          <t>Amazon US</t>
        </is>
      </c>
      <c r="C1154" s="195" t="inlineStr">
        <is>
          <t>Amazon fees</t>
        </is>
      </c>
      <c r="D1154" s="195" t="inlineStr">
        <is>
          <t>Compensated clawback</t>
        </is>
      </c>
      <c r="E1154" s="196" t="n">
        <v>-288.6</v>
      </c>
      <c r="F1154" s="204" t="n">
        <v>-0.001293597798</v>
      </c>
      <c r="H1154" s="196" t="n">
        <v>-288.6</v>
      </c>
      <c r="J1154" s="200" t="inlineStr">
        <is>
          <t>Dec</t>
        </is>
      </c>
      <c r="K1154" s="199" t="n">
        <v>2025</v>
      </c>
      <c r="L1154" s="199" t="n">
        <v>2025</v>
      </c>
    </row>
    <row r="1155" ht="15" customHeight="1" s="104">
      <c r="A1155" s="194" t="n">
        <v>46022</v>
      </c>
      <c r="B1155" s="195" t="inlineStr">
        <is>
          <t>Amazon US</t>
        </is>
      </c>
      <c r="C1155" s="195" t="inlineStr">
        <is>
          <t>Amazon fees</t>
        </is>
      </c>
      <c r="D1155" s="195" t="inlineStr">
        <is>
          <t>AWD storage fees</t>
        </is>
      </c>
      <c r="E1155" s="196" t="n">
        <v>-108.12</v>
      </c>
      <c r="F1155" s="204" t="n">
        <v>-0.0004846285306</v>
      </c>
      <c r="H1155" s="196" t="n">
        <v>-108.12</v>
      </c>
      <c r="J1155" s="200" t="inlineStr">
        <is>
          <t>Dec</t>
        </is>
      </c>
      <c r="K1155" s="199" t="n">
        <v>2025</v>
      </c>
      <c r="L1155" s="199" t="n">
        <v>2025</v>
      </c>
    </row>
    <row r="1156" ht="15" customHeight="1" s="104">
      <c r="A1156" s="194" t="n">
        <v>46022</v>
      </c>
      <c r="B1156" s="195" t="inlineStr">
        <is>
          <t>Amazon US</t>
        </is>
      </c>
      <c r="C1156" s="195" t="inlineStr">
        <is>
          <t>Amazon fees</t>
        </is>
      </c>
      <c r="D1156" s="195" t="inlineStr">
        <is>
          <t>FBA inbound convenience fee</t>
        </is>
      </c>
      <c r="E1156" s="196" t="n">
        <v>-101.04</v>
      </c>
      <c r="F1156" s="204" t="n">
        <v>-0.0004528936989</v>
      </c>
      <c r="H1156" s="196" t="n">
        <v>-101.04</v>
      </c>
      <c r="J1156" s="200" t="inlineStr">
        <is>
          <t>Dec</t>
        </is>
      </c>
      <c r="K1156" s="199" t="n">
        <v>2025</v>
      </c>
      <c r="L1156" s="199" t="n">
        <v>2025</v>
      </c>
    </row>
    <row r="1157" ht="15" customHeight="1" s="104">
      <c r="A1157" s="194" t="n">
        <v>46022</v>
      </c>
      <c r="B1157" s="195" t="inlineStr">
        <is>
          <t>Amazon US</t>
        </is>
      </c>
      <c r="C1157" s="195" t="inlineStr">
        <is>
          <t>Amazon fees</t>
        </is>
      </c>
      <c r="D1157" s="195" t="inlineStr">
        <is>
          <t>Long term storage fee</t>
        </is>
      </c>
      <c r="E1157" s="196" t="n">
        <v>-94.76000000000001</v>
      </c>
      <c r="F1157" s="204" t="n">
        <v>-0.000424744724</v>
      </c>
      <c r="H1157" s="196" t="n">
        <v>-94.76000000000001</v>
      </c>
      <c r="J1157" s="200" t="inlineStr">
        <is>
          <t>Dec</t>
        </is>
      </c>
      <c r="K1157" s="199" t="n">
        <v>2025</v>
      </c>
      <c r="L1157" s="199" t="n">
        <v>2025</v>
      </c>
    </row>
    <row r="1158" ht="15" customHeight="1" s="104">
      <c r="A1158" s="194" t="n">
        <v>46022</v>
      </c>
      <c r="B1158" s="195" t="inlineStr">
        <is>
          <t>Amazon US</t>
        </is>
      </c>
      <c r="C1158" s="195" t="inlineStr">
        <is>
          <t>Amazon fees</t>
        </is>
      </c>
      <c r="D1158" s="195" t="inlineStr">
        <is>
          <t>AWD transportation fee</t>
        </is>
      </c>
      <c r="E1158" s="196" t="n">
        <v>-57.79</v>
      </c>
      <c r="F1158" s="204" t="n">
        <v>-0.0002590333221</v>
      </c>
      <c r="H1158" s="196" t="n">
        <v>-57.79</v>
      </c>
      <c r="J1158" s="200" t="inlineStr">
        <is>
          <t>Dec</t>
        </is>
      </c>
      <c r="K1158" s="199" t="n">
        <v>2025</v>
      </c>
      <c r="L1158" s="199" t="n">
        <v>2025</v>
      </c>
    </row>
    <row r="1159" ht="15" customHeight="1" s="104">
      <c r="A1159" s="194" t="n">
        <v>46022</v>
      </c>
      <c r="B1159" s="195" t="inlineStr">
        <is>
          <t>Amazon US</t>
        </is>
      </c>
      <c r="C1159" s="195" t="inlineStr">
        <is>
          <t>Amazon fees</t>
        </is>
      </c>
      <c r="D1159" s="195" t="inlineStr">
        <is>
          <t>Get paid faster fee</t>
        </is>
      </c>
      <c r="E1159" s="196" t="n">
        <v>-44.02</v>
      </c>
      <c r="F1159" s="204" t="n">
        <v>-0.0001973117639</v>
      </c>
      <c r="H1159" s="196" t="n">
        <v>-44.02</v>
      </c>
      <c r="J1159" s="200" t="inlineStr">
        <is>
          <t>Dec</t>
        </is>
      </c>
      <c r="K1159" s="199" t="n">
        <v>2025</v>
      </c>
      <c r="L1159" s="199" t="n">
        <v>2025</v>
      </c>
    </row>
    <row r="1160" ht="15" customHeight="1" s="104">
      <c r="A1160" s="194" t="n">
        <v>46022</v>
      </c>
      <c r="B1160" s="195" t="inlineStr">
        <is>
          <t>Amazon US</t>
        </is>
      </c>
      <c r="C1160" s="195" t="inlineStr">
        <is>
          <t>Amazon fees</t>
        </is>
      </c>
      <c r="D1160" s="195" t="inlineStr">
        <is>
          <t>Subscription</t>
        </is>
      </c>
      <c r="E1160" s="196" t="n">
        <v>-39.98</v>
      </c>
      <c r="F1160" s="204" t="n">
        <v>-0.0001792031877</v>
      </c>
      <c r="H1160" s="196" t="n">
        <v>-39.98</v>
      </c>
      <c r="J1160" s="200" t="inlineStr">
        <is>
          <t>Dec</t>
        </is>
      </c>
      <c r="K1160" s="199" t="n">
        <v>2025</v>
      </c>
      <c r="L1160" s="199" t="n">
        <v>2025</v>
      </c>
    </row>
    <row r="1161" ht="15" customHeight="1" s="104">
      <c r="A1161" s="194" t="n">
        <v>46022</v>
      </c>
      <c r="B1161" s="195" t="inlineStr">
        <is>
          <t>Amazon US</t>
        </is>
      </c>
      <c r="C1161" s="195" t="inlineStr">
        <is>
          <t>Amazon fees</t>
        </is>
      </c>
      <c r="D1161" s="195" t="inlineStr">
        <is>
          <t>AWD processing fee</t>
        </is>
      </c>
      <c r="E1161" s="196" t="n">
        <v>-37.8</v>
      </c>
      <c r="F1161" s="204" t="n">
        <v>-0.0001694317282</v>
      </c>
      <c r="H1161" s="196" t="n">
        <v>-37.8</v>
      </c>
      <c r="J1161" s="200" t="inlineStr">
        <is>
          <t>Dec</t>
        </is>
      </c>
      <c r="K1161" s="199" t="n">
        <v>2025</v>
      </c>
      <c r="L1161" s="199" t="n">
        <v>2025</v>
      </c>
    </row>
    <row r="1162" ht="15" customHeight="1" s="104">
      <c r="A1162" s="194" t="n">
        <v>46022</v>
      </c>
      <c r="B1162" s="195" t="inlineStr">
        <is>
          <t>Amazon US</t>
        </is>
      </c>
      <c r="C1162" s="195" t="inlineStr">
        <is>
          <t>Amazon fees</t>
        </is>
      </c>
      <c r="D1162" s="195" t="inlineStr">
        <is>
          <t xml:space="preserve">Adjustment FBA per unit fulfillment fee
</t>
        </is>
      </c>
      <c r="E1162" s="197" t="n">
        <v>0.08</v>
      </c>
      <c r="F1162" s="204" t="n">
        <v>3.585856682e-07</v>
      </c>
      <c r="H1162" s="197" t="n">
        <v>0.08</v>
      </c>
      <c r="J1162" s="200" t="inlineStr">
        <is>
          <t>Dec</t>
        </is>
      </c>
      <c r="K1162" s="199" t="n">
        <v>2025</v>
      </c>
      <c r="L1162" s="199" t="n">
        <v>2025</v>
      </c>
    </row>
    <row r="1163" ht="15" customHeight="1" s="104">
      <c r="A1163" s="194" t="n">
        <v>46022</v>
      </c>
      <c r="B1163" s="195" t="inlineStr">
        <is>
          <t>Amazon US</t>
        </is>
      </c>
      <c r="C1163" s="195" t="inlineStr">
        <is>
          <t>Amazon fees</t>
        </is>
      </c>
      <c r="D1163" s="195" t="inlineStr">
        <is>
          <t>Free replacement refund items</t>
        </is>
      </c>
      <c r="E1163" s="196" t="n">
        <v>6.29</v>
      </c>
      <c r="F1163" s="204" t="n">
        <v>2.819379816e-05</v>
      </c>
      <c r="H1163" s="196" t="n">
        <v>6.29</v>
      </c>
      <c r="J1163" s="200" t="inlineStr">
        <is>
          <t>Dec</t>
        </is>
      </c>
      <c r="K1163" s="199" t="n">
        <v>2025</v>
      </c>
      <c r="L1163" s="199" t="n">
        <v>2025</v>
      </c>
    </row>
    <row r="1164" ht="15" customHeight="1" s="104">
      <c r="A1164" s="194" t="n">
        <v>46022</v>
      </c>
      <c r="B1164" s="195" t="inlineStr">
        <is>
          <t>Amazon US</t>
        </is>
      </c>
      <c r="C1164" s="195" t="inlineStr">
        <is>
          <t>Amazon fees</t>
        </is>
      </c>
      <c r="D1164" s="195" t="inlineStr">
        <is>
          <t>Warehouse lost</t>
        </is>
      </c>
      <c r="E1164" s="196" t="n">
        <v>59.23</v>
      </c>
      <c r="F1164" s="204" t="n">
        <v>0.0002654878641</v>
      </c>
      <c r="H1164" s="196" t="n">
        <v>59.23</v>
      </c>
      <c r="J1164" s="200" t="inlineStr">
        <is>
          <t>Dec</t>
        </is>
      </c>
      <c r="K1164" s="199" t="n">
        <v>2025</v>
      </c>
      <c r="L1164" s="199" t="n">
        <v>2025</v>
      </c>
    </row>
    <row r="1165" ht="15" customHeight="1" s="104">
      <c r="A1165" s="194" t="n">
        <v>46022</v>
      </c>
      <c r="B1165" s="195" t="inlineStr">
        <is>
          <t>Amazon US</t>
        </is>
      </c>
      <c r="C1165" s="195" t="inlineStr">
        <is>
          <t>Amazon fees</t>
        </is>
      </c>
      <c r="D1165" s="195" t="inlineStr">
        <is>
          <t>Missing from inbound</t>
        </is>
      </c>
      <c r="E1165" s="196" t="n">
        <v>230.96</v>
      </c>
      <c r="F1165" s="204" t="n">
        <v>0.001035236824</v>
      </c>
      <c r="H1165" s="196" t="n">
        <v>230.96</v>
      </c>
      <c r="J1165" s="200" t="inlineStr">
        <is>
          <t>Dec</t>
        </is>
      </c>
      <c r="K1165" s="199" t="n">
        <v>2025</v>
      </c>
      <c r="L1165" s="199" t="n">
        <v>2025</v>
      </c>
    </row>
    <row r="1166" ht="15" customHeight="1" s="104">
      <c r="A1166" s="194" t="n">
        <v>46022</v>
      </c>
      <c r="B1166" s="195" t="inlineStr">
        <is>
          <t>Amazon US</t>
        </is>
      </c>
      <c r="C1166" s="195" t="inlineStr">
        <is>
          <t>Amazon fees</t>
        </is>
      </c>
      <c r="D1166" s="195" t="inlineStr">
        <is>
          <t>Warehouse damage</t>
        </is>
      </c>
      <c r="E1166" s="196" t="n">
        <v>297.14</v>
      </c>
      <c r="F1166" s="204" t="n">
        <v>0.001331876818</v>
      </c>
      <c r="H1166" s="196" t="n">
        <v>297.14</v>
      </c>
      <c r="J1166" s="200" t="inlineStr">
        <is>
          <t>Dec</t>
        </is>
      </c>
      <c r="K1166" s="199" t="n">
        <v>2025</v>
      </c>
      <c r="L1166" s="199" t="n">
        <v>2025</v>
      </c>
    </row>
    <row r="1167" ht="15" customHeight="1" s="104">
      <c r="A1167" s="194" t="n">
        <v>46022</v>
      </c>
      <c r="B1167" s="195" t="inlineStr">
        <is>
          <t>Amazon US</t>
        </is>
      </c>
      <c r="C1167" s="195" t="inlineStr">
        <is>
          <t>Amazon fees</t>
        </is>
      </c>
      <c r="D1167" s="195" t="inlineStr">
        <is>
          <t>Reversal reimbursement</t>
        </is>
      </c>
      <c r="E1167" s="196" t="n">
        <v>394.66</v>
      </c>
      <c r="F1167" s="204" t="n">
        <v>0.001768992748</v>
      </c>
      <c r="H1167" s="196" t="n">
        <v>394.66</v>
      </c>
      <c r="J1167" s="200" t="inlineStr">
        <is>
          <t>Dec</t>
        </is>
      </c>
      <c r="K1167" s="199" t="n">
        <v>2025</v>
      </c>
      <c r="L1167" s="199" t="n">
        <v>2025</v>
      </c>
    </row>
    <row r="1168" ht="15" customHeight="1" s="104">
      <c r="A1168" s="194" t="n">
        <v>46022</v>
      </c>
      <c r="B1168" s="195" t="inlineStr">
        <is>
          <t>Amazon US</t>
        </is>
      </c>
      <c r="C1168" s="195" t="inlineStr">
        <is>
          <t>Cost of goods</t>
        </is>
      </c>
      <c r="D1168" s="195" t="inlineStr">
        <is>
          <t>Lost/damaged by Amazon</t>
        </is>
      </c>
      <c r="E1168" s="196" t="n">
        <v>-428.42</v>
      </c>
      <c r="F1168" s="204" t="n">
        <v>-0.0019203159</v>
      </c>
      <c r="H1168" s="196" t="n">
        <v>-428.42</v>
      </c>
      <c r="J1168" s="200" t="inlineStr">
        <is>
          <t>Dec</t>
        </is>
      </c>
      <c r="K1168" s="199" t="n">
        <v>2025</v>
      </c>
      <c r="L1168" s="199" t="n">
        <v>2025</v>
      </c>
    </row>
    <row r="1169" ht="15" customHeight="1" s="104">
      <c r="A1169" s="194" t="n">
        <v>46022</v>
      </c>
      <c r="B1169" s="195" t="inlineStr">
        <is>
          <t>Amazon US</t>
        </is>
      </c>
      <c r="C1169" s="195" t="inlineStr">
        <is>
          <t>Cost of goods</t>
        </is>
      </c>
      <c r="D1169" s="195" t="inlineStr">
        <is>
          <t>Cost of goods sold</t>
        </is>
      </c>
      <c r="E1169" s="196" t="n">
        <v>-59781.04</v>
      </c>
      <c r="F1169" s="204" t="n">
        <v>-0.2679578022</v>
      </c>
      <c r="H1169" s="196" t="n">
        <v>-59781.04</v>
      </c>
      <c r="J1169" s="200" t="inlineStr">
        <is>
          <t>Dec</t>
        </is>
      </c>
      <c r="K1169" s="199" t="n">
        <v>2025</v>
      </c>
      <c r="L1169" s="199" t="n">
        <v>2025</v>
      </c>
    </row>
    <row r="1170" ht="15" customHeight="1" s="104">
      <c r="A1170" s="194" t="n">
        <v>46022</v>
      </c>
      <c r="B1170" s="195" t="inlineStr">
        <is>
          <t>Amazon CA</t>
        </is>
      </c>
      <c r="C1170" s="195" t="inlineStr">
        <is>
          <t>Advertising cost</t>
        </is>
      </c>
      <c r="D1170" s="195" t="inlineStr">
        <is>
          <t>Sponsored Products</t>
        </is>
      </c>
      <c r="E1170" s="196" t="n">
        <v>-1380.82</v>
      </c>
      <c r="F1170" s="204" t="n">
        <v>-0.08952220291</v>
      </c>
      <c r="H1170" s="196" t="n">
        <v>-1380.82</v>
      </c>
      <c r="J1170" s="200" t="inlineStr">
        <is>
          <t>Dec</t>
        </is>
      </c>
      <c r="K1170" s="199" t="n">
        <v>2025</v>
      </c>
      <c r="L1170" s="199" t="n">
        <v>2025</v>
      </c>
    </row>
    <row r="1171" ht="15" customHeight="1" s="104">
      <c r="A1171" s="194" t="n">
        <v>46022</v>
      </c>
      <c r="B1171" s="195" t="inlineStr">
        <is>
          <t>Amazon CA</t>
        </is>
      </c>
      <c r="C1171" s="195" t="inlineStr">
        <is>
          <t>Advertising cost</t>
        </is>
      </c>
      <c r="D1171" s="195" t="inlineStr">
        <is>
          <t>Sponsored Brands Video</t>
        </is>
      </c>
      <c r="E1171" s="198" t="n">
        <v>0</v>
      </c>
      <c r="F1171" s="201" t="n">
        <v>0</v>
      </c>
      <c r="H1171" s="198" t="n">
        <v>0</v>
      </c>
      <c r="J1171" s="200" t="inlineStr">
        <is>
          <t>Dec</t>
        </is>
      </c>
      <c r="K1171" s="199" t="n">
        <v>2025</v>
      </c>
      <c r="L1171" s="199" t="n">
        <v>2025</v>
      </c>
    </row>
    <row r="1172" ht="15" customHeight="1" s="104">
      <c r="A1172" s="194" t="n">
        <v>46022</v>
      </c>
      <c r="B1172" s="195" t="inlineStr">
        <is>
          <t>Amazon CA</t>
        </is>
      </c>
      <c r="C1172" s="195" t="inlineStr">
        <is>
          <t>Advertising cost</t>
        </is>
      </c>
      <c r="D1172" s="195" t="inlineStr">
        <is>
          <t>Sponsored Display</t>
        </is>
      </c>
      <c r="E1172" s="198" t="n">
        <v>0</v>
      </c>
      <c r="F1172" s="201" t="n">
        <v>0</v>
      </c>
      <c r="H1172" s="198" t="n">
        <v>0</v>
      </c>
      <c r="J1172" s="200" t="inlineStr">
        <is>
          <t>Dec</t>
        </is>
      </c>
      <c r="K1172" s="199" t="n">
        <v>2025</v>
      </c>
      <c r="L1172" s="199" t="n">
        <v>2025</v>
      </c>
    </row>
    <row r="1173" ht="15" customHeight="1" s="104">
      <c r="A1173" s="194" t="n">
        <v>46022</v>
      </c>
      <c r="B1173" s="195" t="inlineStr">
        <is>
          <t>Amazon CA</t>
        </is>
      </c>
      <c r="C1173" s="195" t="inlineStr">
        <is>
          <t>Advertising cost</t>
        </is>
      </c>
      <c r="D1173" s="195" t="inlineStr">
        <is>
          <t>Sponsored Brands</t>
        </is>
      </c>
      <c r="E1173" s="198" t="n">
        <v>0</v>
      </c>
      <c r="F1173" s="201" t="n">
        <v>0</v>
      </c>
      <c r="H1173" s="198" t="n">
        <v>0</v>
      </c>
      <c r="J1173" s="200" t="inlineStr">
        <is>
          <t>Dec</t>
        </is>
      </c>
      <c r="K1173" s="199" t="n">
        <v>2025</v>
      </c>
      <c r="L1173" s="199" t="n">
        <v>2025</v>
      </c>
    </row>
    <row r="1174" ht="15" customHeight="1" s="104">
      <c r="A1174" s="194" t="n">
        <v>46022</v>
      </c>
      <c r="B1174" s="195" t="inlineStr">
        <is>
          <t>Amazon CA</t>
        </is>
      </c>
      <c r="C1174" s="195" t="inlineStr">
        <is>
          <t>Refund cost</t>
        </is>
      </c>
      <c r="D1174" s="195" t="inlineStr">
        <is>
          <t>Refunded amount</t>
        </is>
      </c>
      <c r="E1174" s="196" t="n">
        <v>-3371.67</v>
      </c>
      <c r="F1174" s="204" t="n">
        <v>-0.2185942598</v>
      </c>
      <c r="H1174" s="196" t="n">
        <v>-3371.67</v>
      </c>
      <c r="J1174" s="200" t="inlineStr">
        <is>
          <t>Dec</t>
        </is>
      </c>
      <c r="K1174" s="199" t="n">
        <v>2025</v>
      </c>
      <c r="L1174" s="199" t="n">
        <v>2025</v>
      </c>
    </row>
    <row r="1175" ht="15" customHeight="1" s="104">
      <c r="A1175" s="194" t="n">
        <v>46022</v>
      </c>
      <c r="B1175" s="195" t="inlineStr">
        <is>
          <t>Amazon CA</t>
        </is>
      </c>
      <c r="C1175" s="195" t="inlineStr">
        <is>
          <t>Refund cost</t>
        </is>
      </c>
      <c r="D1175" s="195" t="inlineStr">
        <is>
          <t>Refund commission</t>
        </is>
      </c>
      <c r="E1175" s="196" t="n">
        <v>-101.16</v>
      </c>
      <c r="F1175" s="204" t="n">
        <v>-0.006558469639</v>
      </c>
      <c r="H1175" s="196" t="n">
        <v>-101.16</v>
      </c>
      <c r="J1175" s="200" t="inlineStr">
        <is>
          <t>Dec</t>
        </is>
      </c>
      <c r="K1175" s="199" t="n">
        <v>2025</v>
      </c>
      <c r="L1175" s="199" t="n">
        <v>2025</v>
      </c>
    </row>
    <row r="1176" ht="15" customHeight="1" s="104">
      <c r="A1176" s="194" t="n">
        <v>46022</v>
      </c>
      <c r="B1176" s="195" t="inlineStr">
        <is>
          <t>Amazon CA</t>
        </is>
      </c>
      <c r="C1176" s="195" t="inlineStr">
        <is>
          <t>Refund cost</t>
        </is>
      </c>
      <c r="D1176" s="195" t="inlineStr">
        <is>
          <t>Refunded referral fee</t>
        </is>
      </c>
      <c r="E1176" s="196" t="n">
        <v>505.83</v>
      </c>
      <c r="F1176" s="204" t="n">
        <v>0.03279429317</v>
      </c>
      <c r="H1176" s="196" t="n">
        <v>505.83</v>
      </c>
      <c r="J1176" s="200" t="inlineStr">
        <is>
          <t>Dec</t>
        </is>
      </c>
      <c r="K1176" s="199" t="n">
        <v>2025</v>
      </c>
      <c r="L1176" s="199" t="n">
        <v>2025</v>
      </c>
    </row>
    <row r="1177" ht="15" customHeight="1" s="104">
      <c r="A1177" s="194" t="n">
        <v>46022</v>
      </c>
      <c r="B1177" s="195" t="inlineStr">
        <is>
          <t>Amazon CA</t>
        </is>
      </c>
      <c r="C1177" s="195" t="inlineStr">
        <is>
          <t>Refund cost</t>
        </is>
      </c>
      <c r="D1177" s="195" t="inlineStr">
        <is>
          <t>Value of returned items</t>
        </is>
      </c>
      <c r="E1177" s="196" t="n">
        <v>286.94</v>
      </c>
      <c r="F1177" s="204" t="n">
        <v>0.01860307709</v>
      </c>
      <c r="H1177" s="196" t="n">
        <v>286.94</v>
      </c>
      <c r="J1177" s="200" t="inlineStr">
        <is>
          <t>Dec</t>
        </is>
      </c>
      <c r="K1177" s="199" t="n">
        <v>2025</v>
      </c>
      <c r="L1177" s="199" t="n">
        <v>2025</v>
      </c>
    </row>
    <row r="1178" ht="15" customHeight="1" s="104">
      <c r="A1178" s="194" t="n">
        <v>46022</v>
      </c>
      <c r="B1178" s="195" t="inlineStr">
        <is>
          <t>Amazon CA</t>
        </is>
      </c>
      <c r="C1178" s="195" t="inlineStr">
        <is>
          <t>Amazon fees</t>
        </is>
      </c>
      <c r="D1178" s="195" t="inlineStr">
        <is>
          <t>FBA per unit fulfilment fee</t>
        </is>
      </c>
      <c r="E1178" s="196" t="n">
        <v>-3527.35</v>
      </c>
      <c r="F1178" s="204" t="n">
        <v>-0.2286874049</v>
      </c>
      <c r="H1178" s="196" t="n">
        <v>-3527.35</v>
      </c>
      <c r="J1178" s="200" t="inlineStr">
        <is>
          <t>Dec</t>
        </is>
      </c>
      <c r="K1178" s="199" t="n">
        <v>2025</v>
      </c>
      <c r="L1178" s="199" t="n">
        <v>2025</v>
      </c>
    </row>
    <row r="1179" ht="15" customHeight="1" s="104">
      <c r="A1179" s="194" t="n">
        <v>46022</v>
      </c>
      <c r="B1179" s="195" t="inlineStr">
        <is>
          <t>Amazon CA</t>
        </is>
      </c>
      <c r="C1179" s="195" t="inlineStr">
        <is>
          <t>Amazon fees</t>
        </is>
      </c>
      <c r="D1179" s="195" t="inlineStr">
        <is>
          <t>Referral fee</t>
        </is>
      </c>
      <c r="E1179" s="196" t="n">
        <v>-2324.8</v>
      </c>
      <c r="F1179" s="204" t="n">
        <v>-0.1507229163</v>
      </c>
      <c r="H1179" s="196" t="n">
        <v>-2324.8</v>
      </c>
      <c r="J1179" s="200" t="inlineStr">
        <is>
          <t>Dec</t>
        </is>
      </c>
      <c r="K1179" s="199" t="n">
        <v>2025</v>
      </c>
      <c r="L1179" s="199" t="n">
        <v>2025</v>
      </c>
    </row>
    <row r="1180" ht="15" customHeight="1" s="104">
      <c r="A1180" s="194" t="n">
        <v>46022</v>
      </c>
      <c r="B1180" s="195" t="inlineStr">
        <is>
          <t>Amazon CA</t>
        </is>
      </c>
      <c r="C1180" s="195" t="inlineStr">
        <is>
          <t>Amazon fees</t>
        </is>
      </c>
      <c r="D1180" s="195" t="inlineStr">
        <is>
          <t>FBA storage fee</t>
        </is>
      </c>
      <c r="E1180" s="196" t="n">
        <v>-746.61</v>
      </c>
      <c r="F1180" s="204" t="n">
        <v>-0.0484046957</v>
      </c>
      <c r="H1180" s="196" t="n">
        <v>-746.61</v>
      </c>
      <c r="J1180" s="200" t="inlineStr">
        <is>
          <t>Dec</t>
        </is>
      </c>
      <c r="K1180" s="199" t="n">
        <v>2025</v>
      </c>
      <c r="L1180" s="199" t="n">
        <v>2025</v>
      </c>
    </row>
    <row r="1181" ht="15" customHeight="1" s="104">
      <c r="A1181" s="194" t="n">
        <v>46022</v>
      </c>
      <c r="B1181" s="195" t="inlineStr">
        <is>
          <t>Amazon CA</t>
        </is>
      </c>
      <c r="C1181" s="195" t="inlineStr">
        <is>
          <t>Amazon fees</t>
        </is>
      </c>
      <c r="D1181" s="195" t="inlineStr">
        <is>
          <t>Long term storage fee</t>
        </is>
      </c>
      <c r="E1181" s="196" t="n">
        <v>-323.34</v>
      </c>
      <c r="F1181" s="204" t="n">
        <v>-0.0209629851</v>
      </c>
      <c r="H1181" s="196" t="n">
        <v>-323.34</v>
      </c>
      <c r="J1181" s="200" t="inlineStr">
        <is>
          <t>Dec</t>
        </is>
      </c>
      <c r="K1181" s="199" t="n">
        <v>2025</v>
      </c>
      <c r="L1181" s="199" t="n">
        <v>2025</v>
      </c>
    </row>
    <row r="1182" ht="15" customHeight="1" s="104">
      <c r="A1182" s="194" t="n">
        <v>46022</v>
      </c>
      <c r="B1182" s="195" t="inlineStr">
        <is>
          <t>Amazon CA</t>
        </is>
      </c>
      <c r="C1182" s="195" t="inlineStr">
        <is>
          <t>Amazon fees</t>
        </is>
      </c>
      <c r="D1182" s="195" t="inlineStr">
        <is>
          <t>Digital services fee</t>
        </is>
      </c>
      <c r="E1182" s="198" t="n">
        <v>0</v>
      </c>
      <c r="F1182" s="201" t="n">
        <v>0</v>
      </c>
      <c r="H1182" s="198" t="n">
        <v>0</v>
      </c>
      <c r="J1182" s="200" t="inlineStr">
        <is>
          <t>Dec</t>
        </is>
      </c>
      <c r="K1182" s="199" t="n">
        <v>2025</v>
      </c>
      <c r="L1182" s="199" t="n">
        <v>2025</v>
      </c>
    </row>
    <row r="1183" ht="15" customHeight="1" s="104">
      <c r="A1183" s="194" t="n">
        <v>46022</v>
      </c>
      <c r="B1183" s="195" t="inlineStr">
        <is>
          <t>Amazon CA</t>
        </is>
      </c>
      <c r="C1183" s="195" t="inlineStr">
        <is>
          <t>Amazon fees</t>
        </is>
      </c>
      <c r="D1183" s="195" t="inlineStr">
        <is>
          <t>FBA disposal fee</t>
        </is>
      </c>
      <c r="E1183" s="196" t="n">
        <v>-76.19</v>
      </c>
      <c r="F1183" s="204" t="n">
        <v>-0.004939598673</v>
      </c>
      <c r="H1183" s="196" t="n">
        <v>-76.19</v>
      </c>
      <c r="J1183" s="200" t="inlineStr">
        <is>
          <t>Dec</t>
        </is>
      </c>
      <c r="K1183" s="199" t="n">
        <v>2025</v>
      </c>
      <c r="L1183" s="199" t="n">
        <v>2025</v>
      </c>
    </row>
    <row r="1184" ht="15" customHeight="1" s="104">
      <c r="A1184" s="194" t="n">
        <v>46022</v>
      </c>
      <c r="B1184" s="195" t="inlineStr">
        <is>
          <t>Amazon CA</t>
        </is>
      </c>
      <c r="C1184" s="195" t="inlineStr">
        <is>
          <t>Amazon fees</t>
        </is>
      </c>
      <c r="D1184" s="195" t="inlineStr">
        <is>
          <t>Reversal reimbursement</t>
        </is>
      </c>
      <c r="E1184" s="196" t="n">
        <v>44.58</v>
      </c>
      <c r="F1184" s="204" t="n">
        <v>0.002890238993</v>
      </c>
      <c r="H1184" s="196" t="n">
        <v>44.58</v>
      </c>
      <c r="J1184" s="200" t="inlineStr">
        <is>
          <t>Dec</t>
        </is>
      </c>
      <c r="K1184" s="199" t="n">
        <v>2025</v>
      </c>
      <c r="L1184" s="199" t="n">
        <v>2025</v>
      </c>
    </row>
    <row r="1185" ht="15" customHeight="1" s="104">
      <c r="A1185" s="194" t="n">
        <v>46022</v>
      </c>
      <c r="B1185" s="195" t="inlineStr">
        <is>
          <t>Amazon CA</t>
        </is>
      </c>
      <c r="C1185" s="195" t="inlineStr">
        <is>
          <t>Cost of goods</t>
        </is>
      </c>
      <c r="D1185" s="195" t="inlineStr">
        <is>
          <t>Cost of goods sold</t>
        </is>
      </c>
      <c r="E1185" s="196" t="n">
        <v>-4685.64</v>
      </c>
      <c r="F1185" s="204" t="n">
        <v>-0.3037824009</v>
      </c>
      <c r="H1185" s="196" t="n">
        <v>-4685.64</v>
      </c>
      <c r="J1185" s="200" t="inlineStr">
        <is>
          <t>Dec</t>
        </is>
      </c>
      <c r="K1185" s="199" t="n">
        <v>2025</v>
      </c>
      <c r="L1185" s="199" t="n">
        <v>2025</v>
      </c>
    </row>
    <row r="1186" ht="15" customHeight="1" s="104">
      <c r="A1186" s="194" t="n">
        <v>46022</v>
      </c>
      <c r="B1186" s="195" t="inlineStr">
        <is>
          <t>Tiktok</t>
        </is>
      </c>
      <c r="C1186" s="195" t="inlineStr">
        <is>
          <t>Tiktok Shipping</t>
        </is>
      </c>
      <c r="D1186" s="195" t="inlineStr">
        <is>
          <t>TikTok Shop shipping fee</t>
        </is>
      </c>
      <c r="E1186" s="198" t="n">
        <v>0</v>
      </c>
      <c r="F1186" s="201" t="n">
        <v>0</v>
      </c>
      <c r="H1186" s="198" t="n">
        <v>0</v>
      </c>
      <c r="J1186" s="200" t="inlineStr">
        <is>
          <t>Dec</t>
        </is>
      </c>
      <c r="K1186" s="199" t="n">
        <v>2025</v>
      </c>
      <c r="L1186" s="199" t="n">
        <v>2025</v>
      </c>
    </row>
    <row r="1187" ht="15" customHeight="1" s="104">
      <c r="A1187" s="194" t="n">
        <v>46022</v>
      </c>
      <c r="B1187" s="195" t="inlineStr">
        <is>
          <t>Tiktok</t>
        </is>
      </c>
      <c r="C1187" s="195" t="inlineStr">
        <is>
          <t>Tiktok Shipping</t>
        </is>
      </c>
      <c r="D1187" s="195" t="inlineStr">
        <is>
          <t>Fulfilled by TikTok Shop (FBT) shipping fee</t>
        </is>
      </c>
      <c r="E1187" s="198" t="n">
        <v>0</v>
      </c>
      <c r="F1187" s="201" t="n">
        <v>0</v>
      </c>
      <c r="H1187" s="198" t="n">
        <v>0</v>
      </c>
      <c r="J1187" s="200" t="inlineStr">
        <is>
          <t>Dec</t>
        </is>
      </c>
      <c r="K1187" s="199" t="n">
        <v>2025</v>
      </c>
      <c r="L1187" s="199" t="n">
        <v>2025</v>
      </c>
    </row>
    <row r="1188" ht="15" customHeight="1" s="104">
      <c r="A1188" s="194" t="n">
        <v>46022</v>
      </c>
      <c r="B1188" s="195" t="inlineStr">
        <is>
          <t>Tiktok</t>
        </is>
      </c>
      <c r="C1188" s="195" t="inlineStr">
        <is>
          <t>Tiktok Shipping</t>
        </is>
      </c>
      <c r="D1188" s="195" t="inlineStr">
        <is>
          <t>Signature confirmation service fee</t>
        </is>
      </c>
      <c r="E1188" s="198" t="n">
        <v>0</v>
      </c>
      <c r="F1188" s="201" t="n">
        <v>0</v>
      </c>
      <c r="H1188" s="198" t="n">
        <v>0</v>
      </c>
      <c r="J1188" s="200" t="inlineStr">
        <is>
          <t>Dec</t>
        </is>
      </c>
      <c r="K1188" s="199" t="n">
        <v>2025</v>
      </c>
      <c r="L1188" s="199" t="n">
        <v>2025</v>
      </c>
    </row>
    <row r="1189" ht="15" customHeight="1" s="104">
      <c r="A1189" s="194" t="n">
        <v>46022</v>
      </c>
      <c r="B1189" s="195" t="inlineStr">
        <is>
          <t>Tiktok</t>
        </is>
      </c>
      <c r="C1189" s="195" t="inlineStr">
        <is>
          <t>Tiktok Shipping</t>
        </is>
      </c>
      <c r="D1189" s="195" t="inlineStr">
        <is>
          <t>Shipping insurance fee</t>
        </is>
      </c>
      <c r="E1189" s="198" t="n">
        <v>0</v>
      </c>
      <c r="F1189" s="201" t="n">
        <v>0</v>
      </c>
      <c r="H1189" s="198" t="n">
        <v>0</v>
      </c>
      <c r="J1189" s="200" t="inlineStr">
        <is>
          <t>Dec</t>
        </is>
      </c>
      <c r="K1189" s="199" t="n">
        <v>2025</v>
      </c>
      <c r="L1189" s="199" t="n">
        <v>2025</v>
      </c>
    </row>
    <row r="1190" ht="15" customHeight="1" s="104">
      <c r="A1190" s="194" t="n">
        <v>46022</v>
      </c>
      <c r="B1190" s="195" t="inlineStr">
        <is>
          <t>Tiktok</t>
        </is>
      </c>
      <c r="C1190" s="195" t="inlineStr">
        <is>
          <t>Tiktok Shipping</t>
        </is>
      </c>
      <c r="D1190" s="195" t="inlineStr">
        <is>
          <t>Customer-paid shipping fee</t>
        </is>
      </c>
      <c r="E1190" s="198" t="n">
        <v>0</v>
      </c>
      <c r="F1190" s="201" t="n">
        <v>0</v>
      </c>
      <c r="H1190" s="198" t="n">
        <v>0</v>
      </c>
      <c r="J1190" s="200" t="inlineStr">
        <is>
          <t>Dec</t>
        </is>
      </c>
      <c r="K1190" s="199" t="n">
        <v>2025</v>
      </c>
      <c r="L1190" s="199" t="n">
        <v>2025</v>
      </c>
    </row>
    <row r="1191" ht="15" customHeight="1" s="104">
      <c r="A1191" s="194" t="n">
        <v>46022</v>
      </c>
      <c r="B1191" s="195" t="inlineStr">
        <is>
          <t>Tiktok</t>
        </is>
      </c>
      <c r="C1191" s="195" t="inlineStr">
        <is>
          <t>Tiktok Shipping</t>
        </is>
      </c>
      <c r="D1191" s="195" t="inlineStr">
        <is>
          <t>Customer-paid shipping fee refund</t>
        </is>
      </c>
      <c r="E1191" s="198" t="n">
        <v>0</v>
      </c>
      <c r="F1191" s="201" t="n">
        <v>0</v>
      </c>
      <c r="H1191" s="198" t="n">
        <v>0</v>
      </c>
      <c r="J1191" s="200" t="inlineStr">
        <is>
          <t>Dec</t>
        </is>
      </c>
      <c r="K1191" s="199" t="n">
        <v>2025</v>
      </c>
      <c r="L1191" s="199" t="n">
        <v>2025</v>
      </c>
    </row>
    <row r="1192" ht="15" customHeight="1" s="104">
      <c r="A1192" s="194" t="n">
        <v>46022</v>
      </c>
      <c r="B1192" s="195" t="inlineStr">
        <is>
          <t>Tiktok</t>
        </is>
      </c>
      <c r="C1192" s="195" t="inlineStr">
        <is>
          <t>Tiktok Shipping</t>
        </is>
      </c>
      <c r="D1192" s="195" t="inlineStr">
        <is>
          <t>TikTok Shop shipping incentive</t>
        </is>
      </c>
      <c r="E1192" s="198" t="n">
        <v>0</v>
      </c>
      <c r="F1192" s="201" t="n">
        <v>0</v>
      </c>
      <c r="H1192" s="198" t="n">
        <v>0</v>
      </c>
      <c r="J1192" s="200" t="inlineStr">
        <is>
          <t>Dec</t>
        </is>
      </c>
      <c r="K1192" s="199" t="n">
        <v>2025</v>
      </c>
      <c r="L1192" s="199" t="n">
        <v>2025</v>
      </c>
    </row>
    <row r="1193" ht="15" customHeight="1" s="104">
      <c r="A1193" s="194" t="n">
        <v>46022</v>
      </c>
      <c r="B1193" s="195" t="inlineStr">
        <is>
          <t>Tiktok</t>
        </is>
      </c>
      <c r="C1193" s="195" t="inlineStr">
        <is>
          <t>Tiktok Shipping</t>
        </is>
      </c>
      <c r="D1193" s="195" t="inlineStr">
        <is>
          <t>TikTok Shop shipping incentive refund</t>
        </is>
      </c>
      <c r="E1193" s="198" t="n">
        <v>0</v>
      </c>
      <c r="F1193" s="201" t="n">
        <v>0</v>
      </c>
      <c r="H1193" s="198" t="n">
        <v>0</v>
      </c>
      <c r="J1193" s="200" t="inlineStr">
        <is>
          <t>Dec</t>
        </is>
      </c>
      <c r="K1193" s="199" t="n">
        <v>2025</v>
      </c>
      <c r="L1193" s="199" t="n">
        <v>2025</v>
      </c>
    </row>
    <row r="1194" ht="15" customHeight="1" s="104">
      <c r="A1194" s="194" t="n">
        <v>46022</v>
      </c>
      <c r="B1194" s="195" t="inlineStr">
        <is>
          <t>Tiktok</t>
        </is>
      </c>
      <c r="C1194" s="195" t="inlineStr">
        <is>
          <t>Tiktok Shipping</t>
        </is>
      </c>
      <c r="D1194" s="195" t="inlineStr">
        <is>
          <t>Shipping fee subsidy</t>
        </is>
      </c>
      <c r="E1194" s="198" t="n">
        <v>0</v>
      </c>
      <c r="F1194" s="201" t="n">
        <v>0</v>
      </c>
      <c r="H1194" s="198" t="n">
        <v>0</v>
      </c>
      <c r="J1194" s="200" t="inlineStr">
        <is>
          <t>Dec</t>
        </is>
      </c>
      <c r="K1194" s="199" t="n">
        <v>2025</v>
      </c>
      <c r="L1194" s="199" t="n">
        <v>2025</v>
      </c>
    </row>
    <row r="1195" ht="15" customHeight="1" s="104">
      <c r="A1195" s="194" t="n">
        <v>46022</v>
      </c>
      <c r="B1195" s="195" t="inlineStr">
        <is>
          <t>Tiktok</t>
        </is>
      </c>
      <c r="C1195" s="195" t="inlineStr">
        <is>
          <t>Tiktok Shipping</t>
        </is>
      </c>
      <c r="D1195" s="195" t="inlineStr">
        <is>
          <t>Return shipping fee</t>
        </is>
      </c>
      <c r="E1195" s="196" t="n">
        <v>-147.3</v>
      </c>
      <c r="F1195" s="204" t="n">
        <v>-0.01525956805</v>
      </c>
      <c r="H1195" s="196" t="n">
        <v>-147.3</v>
      </c>
      <c r="J1195" s="200" t="inlineStr">
        <is>
          <t>Dec</t>
        </is>
      </c>
      <c r="K1195" s="199" t="n">
        <v>2025</v>
      </c>
      <c r="L1195" s="199" t="n">
        <v>2025</v>
      </c>
    </row>
    <row r="1196" ht="15" customHeight="1" s="104">
      <c r="A1196" s="194" t="n">
        <v>46022</v>
      </c>
      <c r="B1196" s="195" t="inlineStr">
        <is>
          <t>Tiktok</t>
        </is>
      </c>
      <c r="C1196" s="195" t="inlineStr">
        <is>
          <t>Tiktok Shipping</t>
        </is>
      </c>
      <c r="D1196" s="195" t="inlineStr">
        <is>
          <t>FBT fulfillment fee</t>
        </is>
      </c>
      <c r="E1196" s="198" t="n">
        <v>0</v>
      </c>
      <c r="F1196" s="201" t="n">
        <v>0</v>
      </c>
      <c r="H1196" s="198" t="n">
        <v>0</v>
      </c>
      <c r="J1196" s="200" t="inlineStr">
        <is>
          <t>Dec</t>
        </is>
      </c>
      <c r="K1196" s="199" t="n">
        <v>2025</v>
      </c>
      <c r="L1196" s="199" t="n">
        <v>2025</v>
      </c>
    </row>
    <row r="1197" ht="15" customHeight="1" s="104">
      <c r="A1197" s="194" t="n">
        <v>46022</v>
      </c>
      <c r="B1197" s="195" t="inlineStr">
        <is>
          <t>Tiktok</t>
        </is>
      </c>
      <c r="C1197" s="195" t="inlineStr">
        <is>
          <t>Tiktok Shipping</t>
        </is>
      </c>
      <c r="D1197" s="195" t="inlineStr">
        <is>
          <t>Customer shipping fee offset</t>
        </is>
      </c>
      <c r="E1197" s="198" t="n">
        <v>0</v>
      </c>
      <c r="F1197" s="201" t="n">
        <v>0</v>
      </c>
      <c r="H1197" s="198" t="n">
        <v>0</v>
      </c>
      <c r="J1197" s="200" t="inlineStr">
        <is>
          <t>Dec</t>
        </is>
      </c>
      <c r="K1197" s="199" t="n">
        <v>2025</v>
      </c>
      <c r="L1197" s="199" t="n">
        <v>2025</v>
      </c>
    </row>
    <row r="1198" ht="15" customHeight="1" s="104">
      <c r="A1198" s="194" t="n">
        <v>46022</v>
      </c>
      <c r="B1198" s="195" t="inlineStr">
        <is>
          <t>Tiktok</t>
        </is>
      </c>
      <c r="C1198" s="195" t="inlineStr">
        <is>
          <t>Tiktok Shipping</t>
        </is>
      </c>
      <c r="D1198" s="195" t="inlineStr">
        <is>
          <t>Co-funded free shipping reimbursement</t>
        </is>
      </c>
      <c r="E1198" s="198" t="n">
        <v>0</v>
      </c>
      <c r="F1198" s="201" t="n">
        <v>0</v>
      </c>
      <c r="H1198" s="198" t="n">
        <v>0</v>
      </c>
      <c r="J1198" s="200" t="inlineStr">
        <is>
          <t>Dec</t>
        </is>
      </c>
      <c r="K1198" s="199" t="n">
        <v>2025</v>
      </c>
      <c r="L1198" s="199" t="n">
        <v>2025</v>
      </c>
    </row>
    <row r="1199" ht="15" customHeight="1" s="104">
      <c r="A1199" s="194" t="n">
        <v>46022</v>
      </c>
      <c r="B1199" s="195" t="inlineStr">
        <is>
          <t>Tiktok</t>
        </is>
      </c>
      <c r="C1199" s="195" t="inlineStr">
        <is>
          <t>Tiktok Shipping</t>
        </is>
      </c>
      <c r="D1199" s="195" t="inlineStr">
        <is>
          <t>Return shipping fee reimbursement</t>
        </is>
      </c>
      <c r="E1199" s="196" t="n">
        <v>77.09999999999999</v>
      </c>
      <c r="F1199" s="204" t="n">
        <v>0.007987187349999999</v>
      </c>
      <c r="H1199" s="196" t="n">
        <v>77.09999999999999</v>
      </c>
      <c r="J1199" s="200" t="inlineStr">
        <is>
          <t>Dec</t>
        </is>
      </c>
      <c r="K1199" s="199" t="n">
        <v>2025</v>
      </c>
      <c r="L1199" s="199" t="n">
        <v>2025</v>
      </c>
    </row>
    <row r="1200" ht="15" customHeight="1" s="104">
      <c r="A1200" s="194" t="n">
        <v>46022</v>
      </c>
      <c r="B1200" s="195" t="inlineStr">
        <is>
          <t>Tiktok</t>
        </is>
      </c>
      <c r="C1200" s="195" t="inlineStr">
        <is>
          <t>MCF Shipping fees</t>
        </is>
      </c>
      <c r="D1200" s="195" t="inlineStr">
        <is>
          <t>MCF Shipping fees</t>
        </is>
      </c>
      <c r="E1200" s="196" t="n">
        <v>-3869.84</v>
      </c>
      <c r="F1200" s="204" t="n">
        <v>-0.4008967198</v>
      </c>
      <c r="H1200" s="196" t="n">
        <v>-3869.84</v>
      </c>
      <c r="J1200" s="200" t="inlineStr">
        <is>
          <t>Dec</t>
        </is>
      </c>
      <c r="K1200" s="199" t="n">
        <v>2025</v>
      </c>
      <c r="L1200" s="199" t="n">
        <v>2025</v>
      </c>
    </row>
    <row r="1201" ht="15" customHeight="1" s="104">
      <c r="A1201" s="194" t="n">
        <v>46022</v>
      </c>
      <c r="B1201" s="195" t="inlineStr">
        <is>
          <t>Tiktok</t>
        </is>
      </c>
      <c r="C1201" s="195" t="inlineStr">
        <is>
          <t>Fees</t>
        </is>
      </c>
      <c r="D1201" s="195" t="inlineStr">
        <is>
          <t>Transaction fee</t>
        </is>
      </c>
      <c r="E1201" s="198" t="n">
        <v>0</v>
      </c>
      <c r="F1201" s="201" t="n">
        <v>0</v>
      </c>
      <c r="H1201" s="198" t="n">
        <v>0</v>
      </c>
      <c r="J1201" s="200" t="inlineStr">
        <is>
          <t>Dec</t>
        </is>
      </c>
      <c r="K1201" s="199" t="n">
        <v>2025</v>
      </c>
      <c r="L1201" s="199" t="n">
        <v>2025</v>
      </c>
    </row>
    <row r="1202" ht="15" customHeight="1" s="104">
      <c r="A1202" s="194" t="n">
        <v>46022</v>
      </c>
      <c r="B1202" s="195" t="inlineStr">
        <is>
          <t>Tiktok</t>
        </is>
      </c>
      <c r="C1202" s="195" t="inlineStr">
        <is>
          <t>Fees</t>
        </is>
      </c>
      <c r="D1202" s="195" t="inlineStr">
        <is>
          <t>Referral fee</t>
        </is>
      </c>
      <c r="E1202" s="196" t="n">
        <v>-578.8099999999999</v>
      </c>
      <c r="F1202" s="204" t="n">
        <v>-0.05996191842</v>
      </c>
      <c r="H1202" s="196" t="n">
        <v>-578.8099999999999</v>
      </c>
      <c r="J1202" s="200" t="inlineStr">
        <is>
          <t>Dec</t>
        </is>
      </c>
      <c r="K1202" s="199" t="n">
        <v>2025</v>
      </c>
      <c r="L1202" s="199" t="n">
        <v>2025</v>
      </c>
    </row>
    <row r="1203" ht="15" customHeight="1" s="104">
      <c r="A1203" s="194" t="n">
        <v>46022</v>
      </c>
      <c r="B1203" s="195" t="inlineStr">
        <is>
          <t>Tiktok</t>
        </is>
      </c>
      <c r="C1203" s="195" t="inlineStr">
        <is>
          <t>Fees</t>
        </is>
      </c>
      <c r="D1203" s="195" t="inlineStr">
        <is>
          <t>Refund administration fee</t>
        </is>
      </c>
      <c r="E1203" s="196" t="n">
        <v>-9.779999999999999</v>
      </c>
      <c r="F1203" s="204" t="n">
        <v>-0.00101316073</v>
      </c>
      <c r="H1203" s="196" t="n">
        <v>-9.779999999999999</v>
      </c>
      <c r="J1203" s="200" t="inlineStr">
        <is>
          <t>Dec</t>
        </is>
      </c>
      <c r="K1203" s="199" t="n">
        <v>2025</v>
      </c>
      <c r="L1203" s="199" t="n">
        <v>2025</v>
      </c>
    </row>
    <row r="1204" ht="15" customHeight="1" s="104">
      <c r="A1204" s="194" t="n">
        <v>46022</v>
      </c>
      <c r="B1204" s="195" t="inlineStr">
        <is>
          <t>Tiktok</t>
        </is>
      </c>
      <c r="C1204" s="195" t="inlineStr">
        <is>
          <t>Fees</t>
        </is>
      </c>
      <c r="D1204" s="195" t="inlineStr">
        <is>
          <t>Affiliate commission</t>
        </is>
      </c>
      <c r="E1204" s="196" t="n">
        <v>-436.45</v>
      </c>
      <c r="F1204" s="204" t="n">
        <v>-0.04521411049</v>
      </c>
      <c r="H1204" s="196" t="n">
        <v>-436.45</v>
      </c>
      <c r="J1204" s="200" t="inlineStr">
        <is>
          <t>Dec</t>
        </is>
      </c>
      <c r="K1204" s="199" t="n">
        <v>2025</v>
      </c>
      <c r="L1204" s="199" t="n">
        <v>2025</v>
      </c>
    </row>
    <row r="1205" ht="15" customHeight="1" s="104">
      <c r="A1205" s="194" t="n">
        <v>46022</v>
      </c>
      <c r="B1205" s="195" t="inlineStr">
        <is>
          <t>Tiktok</t>
        </is>
      </c>
      <c r="C1205" s="195" t="inlineStr">
        <is>
          <t>Fees</t>
        </is>
      </c>
      <c r="D1205" s="195" t="inlineStr">
        <is>
          <t>Affiliate partner commission</t>
        </is>
      </c>
      <c r="E1205" s="198" t="n">
        <v>0</v>
      </c>
      <c r="F1205" s="201" t="n">
        <v>0</v>
      </c>
      <c r="H1205" s="198" t="n">
        <v>0</v>
      </c>
      <c r="J1205" s="200" t="inlineStr">
        <is>
          <t>Dec</t>
        </is>
      </c>
      <c r="K1205" s="199" t="n">
        <v>2025</v>
      </c>
      <c r="L1205" s="199" t="n">
        <v>2025</v>
      </c>
    </row>
    <row r="1206" ht="15" customHeight="1" s="104">
      <c r="A1206" s="194" t="n">
        <v>46022</v>
      </c>
      <c r="B1206" s="195" t="inlineStr">
        <is>
          <t>Tiktok</t>
        </is>
      </c>
      <c r="C1206" s="195" t="inlineStr">
        <is>
          <t>Fees</t>
        </is>
      </c>
      <c r="D1206" s="195" t="inlineStr">
        <is>
          <t>Affiliate Shop Ads commission</t>
        </is>
      </c>
      <c r="E1206" s="196" t="n">
        <v>-60.85</v>
      </c>
      <c r="F1206" s="204" t="n">
        <v>-0.006303765891</v>
      </c>
      <c r="H1206" s="196" t="n">
        <v>-60.85</v>
      </c>
      <c r="J1206" s="200" t="inlineStr">
        <is>
          <t>Dec</t>
        </is>
      </c>
      <c r="K1206" s="199" t="n">
        <v>2025</v>
      </c>
      <c r="L1206" s="199" t="n">
        <v>2025</v>
      </c>
    </row>
    <row r="1207" ht="15" customHeight="1" s="104">
      <c r="A1207" s="194" t="n">
        <v>46022</v>
      </c>
      <c r="B1207" s="195" t="inlineStr">
        <is>
          <t>Tiktok</t>
        </is>
      </c>
      <c r="C1207" s="195" t="inlineStr">
        <is>
          <t>Fees</t>
        </is>
      </c>
      <c r="D1207" s="195" t="inlineStr">
        <is>
          <t>Co-funded promotion service fee</t>
        </is>
      </c>
      <c r="E1207" s="198" t="n">
        <v>0</v>
      </c>
      <c r="F1207" s="201" t="n">
        <v>0</v>
      </c>
      <c r="H1207" s="198" t="n">
        <v>0</v>
      </c>
      <c r="J1207" s="200" t="inlineStr">
        <is>
          <t>Dec</t>
        </is>
      </c>
      <c r="K1207" s="199" t="n">
        <v>2025</v>
      </c>
      <c r="L1207" s="199" t="n">
        <v>2025</v>
      </c>
    </row>
    <row r="1208" ht="15" customHeight="1" s="104">
      <c r="A1208" s="194" t="n">
        <v>46022</v>
      </c>
      <c r="B1208" s="195" t="inlineStr">
        <is>
          <t>Tiktok</t>
        </is>
      </c>
      <c r="C1208" s="195" t="inlineStr">
        <is>
          <t>Fees</t>
        </is>
      </c>
      <c r="D1208" s="195" t="inlineStr">
        <is>
          <t>Sales tax on referral fees</t>
        </is>
      </c>
      <c r="E1208" s="196" t="n">
        <v>-48.47</v>
      </c>
      <c r="F1208" s="204" t="n">
        <v>-0.005021257728</v>
      </c>
      <c r="H1208" s="196" t="n">
        <v>-48.47</v>
      </c>
      <c r="J1208" s="200" t="inlineStr">
        <is>
          <t>Dec</t>
        </is>
      </c>
      <c r="K1208" s="199" t="n">
        <v>2025</v>
      </c>
      <c r="L1208" s="199" t="n">
        <v>2025</v>
      </c>
    </row>
    <row r="1209" ht="15" customHeight="1" s="104">
      <c r="A1209" s="194" t="n">
        <v>46022</v>
      </c>
      <c r="B1209" s="195" t="inlineStr">
        <is>
          <t>Tiktok</t>
        </is>
      </c>
      <c r="C1209" s="195" t="inlineStr">
        <is>
          <t xml:space="preserve">Adjustments
</t>
        </is>
      </c>
      <c r="D1209" s="195" t="inlineStr">
        <is>
          <t>Logistics adjustment</t>
        </is>
      </c>
      <c r="E1209" s="198" t="n">
        <v>0</v>
      </c>
      <c r="F1209" s="201" t="n">
        <v>0</v>
      </c>
      <c r="H1209" s="198" t="n">
        <v>0</v>
      </c>
      <c r="J1209" s="200" t="inlineStr">
        <is>
          <t>Dec</t>
        </is>
      </c>
      <c r="K1209" s="199" t="n">
        <v>2025</v>
      </c>
      <c r="L1209" s="199" t="n">
        <v>2025</v>
      </c>
    </row>
    <row r="1210" ht="15" customHeight="1" s="104">
      <c r="A1210" s="194" t="n">
        <v>46022</v>
      </c>
      <c r="B1210" s="195" t="inlineStr">
        <is>
          <t>Tiktok</t>
        </is>
      </c>
      <c r="C1210" s="195" t="inlineStr">
        <is>
          <t xml:space="preserve">Adjustments
</t>
        </is>
      </c>
      <c r="D1210" s="195" t="inlineStr">
        <is>
          <t>Logistics reimbursement</t>
        </is>
      </c>
      <c r="E1210" s="198" t="n">
        <v>0</v>
      </c>
      <c r="F1210" s="201" t="n">
        <v>0</v>
      </c>
      <c r="H1210" s="198" t="n">
        <v>0</v>
      </c>
      <c r="J1210" s="200" t="inlineStr">
        <is>
          <t>Dec</t>
        </is>
      </c>
      <c r="K1210" s="199" t="n">
        <v>2025</v>
      </c>
      <c r="L1210" s="199" t="n">
        <v>2025</v>
      </c>
    </row>
    <row r="1211" ht="15" customHeight="1" s="104">
      <c r="A1211" s="194" t="n">
        <v>46022</v>
      </c>
      <c r="B1211" s="195" t="inlineStr">
        <is>
          <t>Tiktok</t>
        </is>
      </c>
      <c r="C1211" s="195" t="inlineStr">
        <is>
          <t xml:space="preserve">Adjustments
</t>
        </is>
      </c>
      <c r="D1211" s="195" t="inlineStr">
        <is>
          <t>Logistics deduction</t>
        </is>
      </c>
      <c r="E1211" s="198" t="n">
        <v>0</v>
      </c>
      <c r="F1211" s="201" t="n">
        <v>0</v>
      </c>
      <c r="H1211" s="198" t="n">
        <v>0</v>
      </c>
      <c r="J1211" s="200" t="inlineStr">
        <is>
          <t>Dec</t>
        </is>
      </c>
      <c r="K1211" s="199" t="n">
        <v>2025</v>
      </c>
      <c r="L1211" s="199" t="n">
        <v>2025</v>
      </c>
    </row>
    <row r="1212" ht="15" customHeight="1" s="104">
      <c r="A1212" s="194" t="n">
        <v>46022</v>
      </c>
      <c r="B1212" s="195" t="inlineStr">
        <is>
          <t>Tiktok</t>
        </is>
      </c>
      <c r="C1212" s="195" t="inlineStr">
        <is>
          <t xml:space="preserve">Adjustments
</t>
        </is>
      </c>
      <c r="D1212" s="195" t="inlineStr">
        <is>
          <t>TikTok Shop reimbursement</t>
        </is>
      </c>
      <c r="E1212" s="198" t="n">
        <v>0</v>
      </c>
      <c r="F1212" s="201" t="n">
        <v>0</v>
      </c>
      <c r="H1212" s="198" t="n">
        <v>0</v>
      </c>
      <c r="J1212" s="200" t="inlineStr">
        <is>
          <t>Dec</t>
        </is>
      </c>
      <c r="K1212" s="199" t="n">
        <v>2025</v>
      </c>
      <c r="L1212" s="199" t="n">
        <v>2025</v>
      </c>
    </row>
    <row r="1213" ht="15" customHeight="1" s="104">
      <c r="A1213" s="194" t="n">
        <v>46022</v>
      </c>
      <c r="B1213" s="195" t="inlineStr">
        <is>
          <t>Tiktok</t>
        </is>
      </c>
      <c r="C1213" s="195" t="inlineStr">
        <is>
          <t xml:space="preserve">Adjustments
</t>
        </is>
      </c>
      <c r="D1213" s="195" t="inlineStr">
        <is>
          <t>Policy violation deduction</t>
        </is>
      </c>
      <c r="E1213" s="198" t="n">
        <v>0</v>
      </c>
      <c r="F1213" s="201" t="n">
        <v>0</v>
      </c>
      <c r="H1213" s="198" t="n">
        <v>0</v>
      </c>
      <c r="J1213" s="200" t="inlineStr">
        <is>
          <t>Dec</t>
        </is>
      </c>
      <c r="K1213" s="199" t="n">
        <v>2025</v>
      </c>
      <c r="L1213" s="199" t="n">
        <v>2025</v>
      </c>
    </row>
    <row r="1214" ht="15" customHeight="1" s="104">
      <c r="A1214" s="194" t="n">
        <v>46022</v>
      </c>
      <c r="B1214" s="195" t="inlineStr">
        <is>
          <t>Tiktok</t>
        </is>
      </c>
      <c r="C1214" s="195" t="inlineStr">
        <is>
          <t xml:space="preserve">Adjustments
</t>
        </is>
      </c>
      <c r="D1214" s="195" t="inlineStr">
        <is>
          <t>TikTok fees adjustment</t>
        </is>
      </c>
      <c r="E1214" s="198" t="n">
        <v>0</v>
      </c>
      <c r="F1214" s="201" t="n">
        <v>0</v>
      </c>
      <c r="H1214" s="198" t="n">
        <v>0</v>
      </c>
      <c r="J1214" s="200" t="inlineStr">
        <is>
          <t>Dec</t>
        </is>
      </c>
      <c r="K1214" s="199" t="n">
        <v>2025</v>
      </c>
      <c r="L1214" s="199" t="n">
        <v>2025</v>
      </c>
    </row>
    <row r="1215" ht="15" customHeight="1" s="104">
      <c r="A1215" s="194" t="n">
        <v>46022</v>
      </c>
      <c r="B1215" s="195" t="inlineStr">
        <is>
          <t>Tiktok</t>
        </is>
      </c>
      <c r="C1215" s="195" t="inlineStr">
        <is>
          <t xml:space="preserve">Adjustments
</t>
        </is>
      </c>
      <c r="D1215" s="195" t="inlineStr">
        <is>
          <t>Promotion adjustment</t>
        </is>
      </c>
      <c r="E1215" s="198" t="n">
        <v>0</v>
      </c>
      <c r="F1215" s="201" t="n">
        <v>0</v>
      </c>
      <c r="H1215" s="198" t="n">
        <v>0</v>
      </c>
      <c r="J1215" s="200" t="inlineStr">
        <is>
          <t>Dec</t>
        </is>
      </c>
      <c r="K1215" s="199" t="n">
        <v>2025</v>
      </c>
      <c r="L1215" s="199" t="n">
        <v>2025</v>
      </c>
    </row>
    <row r="1216" ht="15" customHeight="1" s="104">
      <c r="A1216" s="194" t="n">
        <v>46022</v>
      </c>
      <c r="B1216" s="195" t="inlineStr">
        <is>
          <t>Tiktok</t>
        </is>
      </c>
      <c r="C1216" s="195" t="inlineStr">
        <is>
          <t xml:space="preserve">Adjustments
</t>
        </is>
      </c>
      <c r="D1216" s="195" t="inlineStr">
        <is>
          <t>Adjustment from settlement account</t>
        </is>
      </c>
      <c r="E1216" s="198" t="n">
        <v>0</v>
      </c>
      <c r="F1216" s="201" t="n">
        <v>0</v>
      </c>
      <c r="H1216" s="198" t="n">
        <v>0</v>
      </c>
      <c r="J1216" s="200" t="inlineStr">
        <is>
          <t>Dec</t>
        </is>
      </c>
      <c r="K1216" s="199" t="n">
        <v>2025</v>
      </c>
      <c r="L1216" s="199" t="n">
        <v>2025</v>
      </c>
    </row>
    <row r="1217" ht="15" customHeight="1" s="104">
      <c r="A1217" s="194" t="n">
        <v>46022</v>
      </c>
      <c r="B1217" s="195" t="inlineStr">
        <is>
          <t>Tiktok</t>
        </is>
      </c>
      <c r="C1217" s="195" t="inlineStr">
        <is>
          <t xml:space="preserve">Adjustments
</t>
        </is>
      </c>
      <c r="D1217" s="195" t="inlineStr">
        <is>
          <t>Chargeback</t>
        </is>
      </c>
      <c r="E1217" s="198" t="n">
        <v>0</v>
      </c>
      <c r="F1217" s="201" t="n">
        <v>0</v>
      </c>
      <c r="H1217" s="198" t="n">
        <v>0</v>
      </c>
      <c r="J1217" s="200" t="inlineStr">
        <is>
          <t>Dec</t>
        </is>
      </c>
      <c r="K1217" s="199" t="n">
        <v>2025</v>
      </c>
      <c r="L1217" s="199" t="n">
        <v>2025</v>
      </c>
    </row>
    <row r="1218" ht="15" customHeight="1" s="104">
      <c r="A1218" s="194" t="n">
        <v>46022</v>
      </c>
      <c r="B1218" s="195" t="inlineStr">
        <is>
          <t>Tiktok</t>
        </is>
      </c>
      <c r="C1218" s="195" t="inlineStr">
        <is>
          <t xml:space="preserve">Adjustments
</t>
        </is>
      </c>
      <c r="D1218" s="195" t="inlineStr">
        <is>
          <t>Other adjustment</t>
        </is>
      </c>
      <c r="E1218" s="198" t="n">
        <v>0</v>
      </c>
      <c r="F1218" s="201" t="n">
        <v>0</v>
      </c>
      <c r="H1218" s="198" t="n">
        <v>0</v>
      </c>
      <c r="J1218" s="200" t="inlineStr">
        <is>
          <t>Dec</t>
        </is>
      </c>
      <c r="K1218" s="199" t="n">
        <v>2025</v>
      </c>
      <c r="L1218" s="199" t="n">
        <v>2025</v>
      </c>
    </row>
    <row r="1219" ht="15" customHeight="1" s="104">
      <c r="A1219" s="194" t="n">
        <v>46022</v>
      </c>
      <c r="B1219" s="195" t="inlineStr">
        <is>
          <t>Tiktok</t>
        </is>
      </c>
      <c r="C1219" s="195" t="inlineStr">
        <is>
          <t xml:space="preserve">Adjustments
</t>
        </is>
      </c>
      <c r="D1219" s="195" t="inlineStr">
        <is>
          <t>Top up ads balance using GMV payments</t>
        </is>
      </c>
      <c r="E1219" s="198" t="n">
        <v>0</v>
      </c>
      <c r="F1219" s="201" t="n">
        <v>0</v>
      </c>
      <c r="H1219" s="198" t="n">
        <v>0</v>
      </c>
      <c r="J1219" s="200" t="inlineStr">
        <is>
          <t>Dec</t>
        </is>
      </c>
      <c r="K1219" s="199" t="n">
        <v>2025</v>
      </c>
      <c r="L1219" s="199" t="n">
        <v>2025</v>
      </c>
    </row>
    <row r="1220" ht="15" customHeight="1" s="104">
      <c r="A1220" s="194" t="n">
        <v>46022</v>
      </c>
      <c r="B1220" s="195" t="inlineStr">
        <is>
          <t>Tiktok</t>
        </is>
      </c>
      <c r="C1220" s="195" t="inlineStr">
        <is>
          <t xml:space="preserve">Adjustments
</t>
        </is>
      </c>
      <c r="D1220" s="195" t="inlineStr">
        <is>
          <t>FBT warehouse service fee</t>
        </is>
      </c>
      <c r="E1220" s="196" t="n">
        <v>-4.01</v>
      </c>
      <c r="F1220" s="204" t="n">
        <v>-0.0004154166183</v>
      </c>
      <c r="H1220" s="196" t="n">
        <v>-4.01</v>
      </c>
      <c r="J1220" s="200" t="inlineStr">
        <is>
          <t>Dec</t>
        </is>
      </c>
      <c r="K1220" s="199" t="n">
        <v>2025</v>
      </c>
      <c r="L1220" s="199" t="n">
        <v>2025</v>
      </c>
    </row>
    <row r="1221" ht="15" customHeight="1" s="104">
      <c r="A1221" s="194" t="n">
        <v>46022</v>
      </c>
      <c r="B1221" s="195" t="inlineStr">
        <is>
          <t>Tiktok</t>
        </is>
      </c>
      <c r="C1221" s="195" t="inlineStr">
        <is>
          <t xml:space="preserve">Adjustments
</t>
        </is>
      </c>
      <c r="D1221" s="195" t="inlineStr">
        <is>
          <t>Co-funded creator activity</t>
        </is>
      </c>
      <c r="E1221" s="198" t="n">
        <v>0</v>
      </c>
      <c r="F1221" s="201" t="n">
        <v>0</v>
      </c>
      <c r="H1221" s="198" t="n">
        <v>0</v>
      </c>
      <c r="J1221" s="200" t="inlineStr">
        <is>
          <t>Dec</t>
        </is>
      </c>
      <c r="K1221" s="199" t="n">
        <v>2025</v>
      </c>
      <c r="L1221" s="199" t="n">
        <v>2025</v>
      </c>
    </row>
    <row r="1222" ht="15" customHeight="1" s="104">
      <c r="A1222" s="194" t="n">
        <v>46022</v>
      </c>
      <c r="B1222" s="195" t="inlineStr">
        <is>
          <t>Tiktok</t>
        </is>
      </c>
      <c r="C1222" s="195" t="inlineStr">
        <is>
          <t xml:space="preserve">Adjustments
</t>
        </is>
      </c>
      <c r="D1222" s="195" t="inlineStr">
        <is>
          <t>Rebate</t>
        </is>
      </c>
      <c r="E1222" s="198" t="n">
        <v>0</v>
      </c>
      <c r="F1222" s="201" t="n">
        <v>0</v>
      </c>
      <c r="H1222" s="198" t="n">
        <v>0</v>
      </c>
      <c r="J1222" s="200" t="inlineStr">
        <is>
          <t>Dec</t>
        </is>
      </c>
      <c r="K1222" s="199" t="n">
        <v>2025</v>
      </c>
      <c r="L1222" s="199" t="n">
        <v>2025</v>
      </c>
    </row>
    <row r="1223" ht="15" customHeight="1" s="104">
      <c r="A1223" s="194" t="n">
        <v>46022</v>
      </c>
      <c r="B1223" s="195" t="inlineStr">
        <is>
          <t>Tiktok</t>
        </is>
      </c>
      <c r="C1223" s="195" t="inlineStr">
        <is>
          <t>Cost of goods</t>
        </is>
      </c>
      <c r="D1223" s="195" t="inlineStr">
        <is>
          <t>Cost of goods sold</t>
        </is>
      </c>
      <c r="E1223" s="196" t="n">
        <v>-3239.22</v>
      </c>
      <c r="F1223" s="204" t="n">
        <v>-0.3355675358</v>
      </c>
      <c r="H1223" s="196" t="n">
        <v>-3239.22</v>
      </c>
      <c r="J1223" s="200" t="inlineStr">
        <is>
          <t>Dec</t>
        </is>
      </c>
      <c r="K1223" s="199" t="n">
        <v>2025</v>
      </c>
      <c r="L1223" s="199" t="n">
        <v>2025</v>
      </c>
    </row>
    <row r="1224" ht="15" customHeight="1" s="104">
      <c r="A1224" s="194" t="n">
        <v>46022</v>
      </c>
      <c r="B1224" s="195" t="inlineStr">
        <is>
          <t>Tiktok</t>
        </is>
      </c>
      <c r="C1224" s="195" t="inlineStr">
        <is>
          <t>Advertising cost</t>
        </is>
      </c>
      <c r="D1224" s="195" t="inlineStr">
        <is>
          <t>Advertising Cost</t>
        </is>
      </c>
      <c r="E1224" s="196" t="n">
        <v>-1365.5</v>
      </c>
      <c r="F1224" s="204" t="n">
        <v>-0.1414592001</v>
      </c>
      <c r="H1224" s="196" t="n">
        <v>-1365.5</v>
      </c>
      <c r="J1224" s="200" t="inlineStr">
        <is>
          <t>Dec</t>
        </is>
      </c>
      <c r="K1224" s="199" t="n">
        <v>2025</v>
      </c>
      <c r="L1224" s="199" t="n">
        <v>2025</v>
      </c>
    </row>
    <row r="1225" ht="15" customHeight="1" s="104">
      <c r="A1225" s="194" t="n">
        <v>46022</v>
      </c>
      <c r="B1225" s="195" t="inlineStr">
        <is>
          <t>Walmart</t>
        </is>
      </c>
      <c r="C1225" s="195" t="inlineStr">
        <is>
          <t>Advertising cost</t>
        </is>
      </c>
      <c r="D1225" s="195" t="inlineStr">
        <is>
          <t>Advertising Cost</t>
        </is>
      </c>
      <c r="E1225" s="196" t="n">
        <v>-280.95</v>
      </c>
      <c r="F1225" s="204" t="n">
        <v>-0.08730279573999999</v>
      </c>
      <c r="H1225" s="196" t="n">
        <v>-280.95</v>
      </c>
      <c r="J1225" s="200" t="inlineStr">
        <is>
          <t>Dec</t>
        </is>
      </c>
      <c r="K1225" s="199" t="n">
        <v>2025</v>
      </c>
      <c r="L1225" s="199" t="n">
        <v>2025</v>
      </c>
    </row>
    <row r="1226" ht="15" customHeight="1" s="104">
      <c r="A1226" s="194" t="n">
        <v>46022</v>
      </c>
      <c r="B1226" s="195" t="inlineStr">
        <is>
          <t>Walmart</t>
        </is>
      </c>
      <c r="C1226" s="195" t="inlineStr">
        <is>
          <t>Shipping Cost</t>
        </is>
      </c>
      <c r="D1226" s="195" t="inlineStr">
        <is>
          <t>WFS Fulfillment fee</t>
        </is>
      </c>
      <c r="E1226" s="196" t="n">
        <v>-432.35</v>
      </c>
      <c r="F1226" s="204" t="n">
        <v>-0.1343490434</v>
      </c>
      <c r="H1226" s="196" t="n">
        <v>-432.35</v>
      </c>
      <c r="J1226" s="200" t="inlineStr">
        <is>
          <t>Dec</t>
        </is>
      </c>
      <c r="K1226" s="199" t="n">
        <v>2025</v>
      </c>
      <c r="L1226" s="199" t="n">
        <v>2025</v>
      </c>
    </row>
    <row r="1227" ht="15" customHeight="1" s="104">
      <c r="A1227" s="194" t="n">
        <v>46022</v>
      </c>
      <c r="B1227" s="195" t="inlineStr">
        <is>
          <t>Walmart</t>
        </is>
      </c>
      <c r="C1227" s="195" t="inlineStr">
        <is>
          <t>Shipping Cost</t>
        </is>
      </c>
      <c r="D1227" s="195" t="inlineStr">
        <is>
          <t>WFS Shipping Reversal fee</t>
        </is>
      </c>
      <c r="E1227" s="196" t="n">
        <v>-62.91</v>
      </c>
      <c r="F1227" s="204" t="n">
        <v>-0.01954874134</v>
      </c>
      <c r="H1227" s="196" t="n">
        <v>-62.91</v>
      </c>
      <c r="J1227" s="200" t="inlineStr">
        <is>
          <t>Dec</t>
        </is>
      </c>
      <c r="K1227" s="199" t="n">
        <v>2025</v>
      </c>
      <c r="L1227" s="199" t="n">
        <v>2025</v>
      </c>
    </row>
    <row r="1228" ht="15" customHeight="1" s="104">
      <c r="A1228" s="194" t="n">
        <v>46022</v>
      </c>
      <c r="B1228" s="195" t="inlineStr">
        <is>
          <t>Walmart</t>
        </is>
      </c>
      <c r="C1228" s="195" t="inlineStr">
        <is>
          <t>Shipping Cost</t>
        </is>
      </c>
      <c r="D1228" s="195" t="inlineStr">
        <is>
          <t>MCF Shipping fees</t>
        </is>
      </c>
      <c r="E1228" s="196" t="n">
        <v>-222.72</v>
      </c>
      <c r="F1228" s="204" t="n">
        <v>-0.06920832414</v>
      </c>
      <c r="H1228" s="196" t="n">
        <v>-222.72</v>
      </c>
      <c r="J1228" s="200" t="inlineStr">
        <is>
          <t>Dec</t>
        </is>
      </c>
      <c r="K1228" s="199" t="n">
        <v>2025</v>
      </c>
      <c r="L1228" s="199" t="n">
        <v>2025</v>
      </c>
    </row>
    <row r="1229" ht="15" customHeight="1" s="104">
      <c r="A1229" s="194" t="n">
        <v>46022</v>
      </c>
      <c r="B1229" s="195" t="inlineStr">
        <is>
          <t>Walmart</t>
        </is>
      </c>
      <c r="C1229" s="195" t="inlineStr">
        <is>
          <t>Fees</t>
        </is>
      </c>
      <c r="D1229" s="195" t="inlineStr">
        <is>
          <t>Commission on product</t>
        </is>
      </c>
      <c r="E1229" s="196" t="n">
        <v>-576.88</v>
      </c>
      <c r="F1229" s="204" t="n">
        <v>-0.1792604976</v>
      </c>
      <c r="H1229" s="196" t="n">
        <v>-576.88</v>
      </c>
      <c r="J1229" s="200" t="inlineStr">
        <is>
          <t>Dec</t>
        </is>
      </c>
      <c r="K1229" s="199" t="n">
        <v>2025</v>
      </c>
      <c r="L1229" s="199" t="n">
        <v>2025</v>
      </c>
    </row>
    <row r="1230" ht="15" customHeight="1" s="104">
      <c r="A1230" s="194" t="n">
        <v>46022</v>
      </c>
      <c r="B1230" s="195" t="inlineStr">
        <is>
          <t>Walmart</t>
        </is>
      </c>
      <c r="C1230" s="195" t="inlineStr">
        <is>
          <t>Fees</t>
        </is>
      </c>
      <c r="D1230" s="195" t="inlineStr">
        <is>
          <t>Storage fee</t>
        </is>
      </c>
      <c r="E1230" s="196" t="n">
        <v>-55.22</v>
      </c>
      <c r="F1230" s="204" t="n">
        <v>-0.01715913999</v>
      </c>
      <c r="H1230" s="196" t="n">
        <v>-55.22</v>
      </c>
      <c r="J1230" s="200" t="inlineStr">
        <is>
          <t>Dec</t>
        </is>
      </c>
      <c r="K1230" s="199" t="n">
        <v>2025</v>
      </c>
      <c r="L1230" s="199" t="n">
        <v>2025</v>
      </c>
    </row>
    <row r="1231" ht="15" customHeight="1" s="104">
      <c r="A1231" s="194" t="n">
        <v>46022</v>
      </c>
      <c r="B1231" s="195" t="inlineStr">
        <is>
          <t>Walmart</t>
        </is>
      </c>
      <c r="C1231" s="195" t="inlineStr">
        <is>
          <t>Fees</t>
        </is>
      </c>
      <c r="D1231" s="195" t="inlineStr">
        <is>
          <t>Refund product tax</t>
        </is>
      </c>
      <c r="E1231" s="198" t="n">
        <v>0</v>
      </c>
      <c r="F1231" s="201" t="n">
        <v>0</v>
      </c>
      <c r="H1231" s="198" t="n">
        <v>0</v>
      </c>
      <c r="J1231" s="200" t="inlineStr">
        <is>
          <t>Dec</t>
        </is>
      </c>
      <c r="K1231" s="199" t="n">
        <v>2025</v>
      </c>
      <c r="L1231" s="199" t="n">
        <v>2025</v>
      </c>
    </row>
    <row r="1232" ht="15" customHeight="1" s="104">
      <c r="A1232" s="194" t="n">
        <v>46022</v>
      </c>
      <c r="B1232" s="195" t="inlineStr">
        <is>
          <t>Walmart</t>
        </is>
      </c>
      <c r="C1232" s="195" t="inlineStr">
        <is>
          <t>Fees</t>
        </is>
      </c>
      <c r="D1232" s="195" t="inlineStr">
        <is>
          <t>Refund commission on product</t>
        </is>
      </c>
      <c r="E1232" s="196" t="n">
        <v>5.7</v>
      </c>
      <c r="F1232" s="204" t="n">
        <v>0.001771225968</v>
      </c>
      <c r="H1232" s="196" t="n">
        <v>5.7</v>
      </c>
      <c r="J1232" s="200" t="inlineStr">
        <is>
          <t>Dec</t>
        </is>
      </c>
      <c r="K1232" s="199" t="n">
        <v>2025</v>
      </c>
      <c r="L1232" s="199" t="n">
        <v>2025</v>
      </c>
    </row>
    <row r="1233" ht="15" customHeight="1" s="104">
      <c r="A1233" s="194" t="n">
        <v>46022</v>
      </c>
      <c r="B1233" s="195" t="inlineStr">
        <is>
          <t>Walmart</t>
        </is>
      </c>
      <c r="C1233" s="195" t="inlineStr">
        <is>
          <t>Fees</t>
        </is>
      </c>
      <c r="D1233" s="195" t="inlineStr">
        <is>
          <t>Total Walmart funded savings</t>
        </is>
      </c>
      <c r="E1233" s="196" t="n">
        <v>15</v>
      </c>
      <c r="F1233" s="204" t="n">
        <v>0.004661120969</v>
      </c>
      <c r="H1233" s="196" t="n">
        <v>15</v>
      </c>
      <c r="J1233" s="200" t="inlineStr">
        <is>
          <t>Dec</t>
        </is>
      </c>
      <c r="K1233" s="199" t="n">
        <v>2025</v>
      </c>
      <c r="L1233" s="199" t="n">
        <v>2025</v>
      </c>
    </row>
    <row r="1234" ht="15" customHeight="1" s="104">
      <c r="A1234" s="194" t="n">
        <v>46022</v>
      </c>
      <c r="B1234" s="195" t="inlineStr">
        <is>
          <t>Walmart</t>
        </is>
      </c>
      <c r="C1234" s="195" t="inlineStr">
        <is>
          <t>Fees</t>
        </is>
      </c>
      <c r="D1234" s="195" t="inlineStr">
        <is>
          <t>Lost inventory</t>
        </is>
      </c>
      <c r="E1234" s="196" t="n">
        <v>53.08</v>
      </c>
      <c r="F1234" s="204" t="n">
        <v>0.0164941534</v>
      </c>
      <c r="H1234" s="196" t="n">
        <v>53.08</v>
      </c>
      <c r="J1234" s="200" t="inlineStr">
        <is>
          <t>Dec</t>
        </is>
      </c>
      <c r="K1234" s="199" t="n">
        <v>2025</v>
      </c>
      <c r="L1234" s="199" t="n">
        <v>2025</v>
      </c>
    </row>
    <row r="1235" ht="15" customHeight="1" s="104">
      <c r="A1235" s="194" t="n">
        <v>46022</v>
      </c>
      <c r="B1235" s="195" t="inlineStr">
        <is>
          <t>Walmart</t>
        </is>
      </c>
      <c r="C1235" s="195" t="inlineStr">
        <is>
          <t>Fees</t>
        </is>
      </c>
      <c r="D1235" s="195" t="inlineStr">
        <is>
          <t>RC inventory disposal fee</t>
        </is>
      </c>
      <c r="E1235" s="196" t="n">
        <v>-1.5</v>
      </c>
      <c r="F1235" s="204" t="n">
        <v>-0.0004661120969</v>
      </c>
      <c r="H1235" s="196" t="n">
        <v>-1.5</v>
      </c>
      <c r="J1235" s="200" t="inlineStr">
        <is>
          <t>Dec</t>
        </is>
      </c>
      <c r="K1235" s="199" t="n">
        <v>2025</v>
      </c>
      <c r="L1235" s="199" t="n">
        <v>2025</v>
      </c>
    </row>
    <row r="1236" ht="15" customHeight="1" s="104">
      <c r="A1236" s="194" t="n">
        <v>46022</v>
      </c>
      <c r="B1236" s="195" t="inlineStr">
        <is>
          <t>Walmart</t>
        </is>
      </c>
      <c r="C1236" s="195" t="inlineStr">
        <is>
          <t>Cost of goods</t>
        </is>
      </c>
      <c r="D1236" s="195" t="inlineStr">
        <is>
          <t>Cost of goods sold</t>
        </is>
      </c>
      <c r="E1236" s="196" t="n">
        <v>-1270.92</v>
      </c>
      <c r="F1236" s="204" t="n">
        <v>-0.3949274574</v>
      </c>
      <c r="H1236" s="196" t="n">
        <v>-1270.92</v>
      </c>
      <c r="J1236" s="200" t="inlineStr">
        <is>
          <t>Dec</t>
        </is>
      </c>
      <c r="K1236" s="199" t="n">
        <v>2025</v>
      </c>
      <c r="L1236" s="199" t="n">
        <v>2025</v>
      </c>
    </row>
    <row r="1237" ht="15" customHeight="1" s="104">
      <c r="A1237" s="194" t="n">
        <v>46022</v>
      </c>
      <c r="B1237" s="195" t="inlineStr">
        <is>
          <t>Walmart</t>
        </is>
      </c>
      <c r="C1237" s="195" t="inlineStr">
        <is>
          <t>Cost of goods</t>
        </is>
      </c>
      <c r="D1237" s="195" t="inlineStr">
        <is>
          <t>Value of returned items</t>
        </is>
      </c>
      <c r="E1237" s="196" t="n">
        <v>181.72</v>
      </c>
      <c r="F1237" s="204" t="n">
        <v>0.05646792683</v>
      </c>
      <c r="H1237" s="196" t="n">
        <v>181.72</v>
      </c>
      <c r="J1237" s="200" t="inlineStr">
        <is>
          <t>Dec</t>
        </is>
      </c>
      <c r="K1237" s="199" t="n">
        <v>2025</v>
      </c>
      <c r="L1237" s="199" t="n">
        <v>2025</v>
      </c>
    </row>
    <row r="1238" ht="15" customHeight="1" s="104">
      <c r="A1238" s="194" t="n">
        <v>46022</v>
      </c>
      <c r="B1238" s="195" t="inlineStr">
        <is>
          <t>Shopify</t>
        </is>
      </c>
      <c r="C1238" s="195" t="inlineStr">
        <is>
          <t>Payment fees</t>
        </is>
      </c>
      <c r="D1238" s="195" t="inlineStr">
        <is>
          <t>Shopify Payments fee</t>
        </is>
      </c>
      <c r="E1238" s="196" t="n">
        <v>-18.27</v>
      </c>
      <c r="F1238" s="204" t="n">
        <v>-0.02725401277</v>
      </c>
      <c r="H1238" s="196" t="n">
        <v>-18.27</v>
      </c>
      <c r="J1238" s="200" t="inlineStr">
        <is>
          <t>Dec</t>
        </is>
      </c>
      <c r="K1238" s="199" t="n">
        <v>2025</v>
      </c>
      <c r="L1238" s="199" t="n">
        <v>2025</v>
      </c>
    </row>
    <row r="1239" ht="15" customHeight="1" s="104">
      <c r="A1239" s="194" t="n">
        <v>46022</v>
      </c>
      <c r="B1239" s="195" t="inlineStr">
        <is>
          <t>Shopify</t>
        </is>
      </c>
      <c r="C1239" s="195" t="inlineStr">
        <is>
          <t>Cost of goods</t>
        </is>
      </c>
      <c r="D1239" s="195" t="inlineStr">
        <is>
          <t>Cost of goods sold</t>
        </is>
      </c>
      <c r="E1239" s="196" t="n">
        <v>-238.3</v>
      </c>
      <c r="F1239" s="204" t="n">
        <v>-0.3554806373</v>
      </c>
      <c r="H1239" s="196" t="n">
        <v>-238.3</v>
      </c>
      <c r="J1239" s="200" t="inlineStr">
        <is>
          <t>Dec</t>
        </is>
      </c>
      <c r="K1239" s="199" t="n">
        <v>2025</v>
      </c>
      <c r="L1239" s="199" t="n">
        <v>2025</v>
      </c>
    </row>
    <row r="1240" ht="15" customHeight="1" s="104">
      <c r="A1240" s="194" t="n">
        <v>46022</v>
      </c>
      <c r="B1240" s="195" t="inlineStr">
        <is>
          <t>Shopify</t>
        </is>
      </c>
      <c r="C1240" s="195" t="inlineStr">
        <is>
          <t>Tax</t>
        </is>
      </c>
      <c r="D1240" s="195" t="inlineStr">
        <is>
          <t>New Jersey State Tax</t>
        </is>
      </c>
      <c r="F1240" s="201" t="n">
        <v>0</v>
      </c>
      <c r="J1240" s="200" t="inlineStr">
        <is>
          <t>Dec</t>
        </is>
      </c>
      <c r="K1240" s="199" t="n">
        <v>2025</v>
      </c>
      <c r="L1240" s="199" t="n">
        <v>2025</v>
      </c>
    </row>
    <row r="1241" ht="15" customHeight="1" s="104">
      <c r="A1241" s="194" t="n">
        <v>46022</v>
      </c>
      <c r="B1241" s="195" t="inlineStr">
        <is>
          <t>Shopify</t>
        </is>
      </c>
      <c r="C1241" s="195" t="inlineStr">
        <is>
          <t>Tax</t>
        </is>
      </c>
      <c r="D1241" s="195" t="inlineStr">
        <is>
          <t>Galveston City Tax</t>
        </is>
      </c>
      <c r="F1241" s="201" t="n">
        <v>0</v>
      </c>
      <c r="J1241" s="200" t="inlineStr">
        <is>
          <t>Dec</t>
        </is>
      </c>
      <c r="K1241" s="199" t="n">
        <v>2025</v>
      </c>
      <c r="L1241" s="199" t="n">
        <v>2025</v>
      </c>
    </row>
    <row r="1242" ht="15" customHeight="1" s="104">
      <c r="A1242" s="194" t="n">
        <v>46022</v>
      </c>
      <c r="B1242" s="195" t="inlineStr">
        <is>
          <t>Shopify</t>
        </is>
      </c>
      <c r="C1242" s="195" t="inlineStr">
        <is>
          <t>Tax</t>
        </is>
      </c>
      <c r="D1242" s="195" t="inlineStr">
        <is>
          <t>Texas State Tax</t>
        </is>
      </c>
      <c r="F1242" s="201" t="n">
        <v>0</v>
      </c>
      <c r="J1242" s="200" t="inlineStr">
        <is>
          <t>Dec</t>
        </is>
      </c>
      <c r="K1242" s="199" t="n">
        <v>2025</v>
      </c>
      <c r="L1242" s="199" t="n">
        <v>2025</v>
      </c>
    </row>
    <row r="1243" ht="15" customHeight="1" s="104">
      <c r="A1243" s="194" t="n">
        <v>46022</v>
      </c>
      <c r="B1243" s="195" t="inlineStr">
        <is>
          <t>Shopify</t>
        </is>
      </c>
      <c r="C1243" s="195" t="inlineStr">
        <is>
          <t>Tax</t>
        </is>
      </c>
      <c r="D1243" s="195" t="inlineStr">
        <is>
          <t xml:space="preserve">New York  City Tax </t>
        </is>
      </c>
      <c r="F1243" s="201" t="n">
        <v>0</v>
      </c>
      <c r="J1243" s="200" t="inlineStr">
        <is>
          <t>Dec</t>
        </is>
      </c>
      <c r="K1243" s="199" t="n">
        <v>2025</v>
      </c>
      <c r="L1243" s="199" t="n">
        <v>2025</v>
      </c>
    </row>
    <row r="1244" ht="15" customHeight="1" s="104">
      <c r="A1244" s="194" t="n">
        <v>46022</v>
      </c>
      <c r="B1244" s="195" t="inlineStr">
        <is>
          <t>Shopify</t>
        </is>
      </c>
      <c r="C1244" s="195" t="inlineStr">
        <is>
          <t>Tax</t>
        </is>
      </c>
      <c r="D1244" s="195" t="inlineStr">
        <is>
          <t>Metropolitan Commuter Transportation District</t>
        </is>
      </c>
      <c r="F1244" s="201" t="n">
        <v>0</v>
      </c>
      <c r="J1244" s="200" t="inlineStr">
        <is>
          <t>Dec</t>
        </is>
      </c>
      <c r="K1244" s="199" t="n">
        <v>2025</v>
      </c>
      <c r="L1244" s="199" t="n">
        <v>2025</v>
      </c>
    </row>
    <row r="1245" ht="15" customHeight="1" s="104">
      <c r="A1245" s="194" t="n">
        <v>46022</v>
      </c>
      <c r="B1245" s="195" t="inlineStr">
        <is>
          <t>Shopify</t>
        </is>
      </c>
      <c r="C1245" s="195" t="inlineStr">
        <is>
          <t>MCF Shipping fees</t>
        </is>
      </c>
      <c r="D1245" s="195" t="inlineStr">
        <is>
          <t>MCF Shipping fees</t>
        </is>
      </c>
      <c r="E1245" s="196" t="n">
        <v>-246.68</v>
      </c>
      <c r="F1245" s="204" t="n">
        <v>-0.3679813831</v>
      </c>
      <c r="H1245" s="196" t="n">
        <v>-246.68</v>
      </c>
      <c r="J1245" s="200" t="inlineStr">
        <is>
          <t>Dec</t>
        </is>
      </c>
      <c r="K1245" s="199" t="n">
        <v>2025</v>
      </c>
      <c r="L1245" s="199" t="n">
        <v>2025</v>
      </c>
    </row>
    <row r="1246" ht="15" customHeight="1" s="104">
      <c r="A1246" s="194" t="n">
        <v>46022</v>
      </c>
      <c r="B1246" s="195" t="inlineStr">
        <is>
          <t>Shopify</t>
        </is>
      </c>
      <c r="C1246" s="195" t="inlineStr">
        <is>
          <t>Shipping Cost</t>
        </is>
      </c>
      <c r="D1246" s="195" t="inlineStr">
        <is>
          <t>Shipping Cost</t>
        </is>
      </c>
      <c r="E1246" s="196" t="n">
        <v>-17.97</v>
      </c>
      <c r="F1246" s="204" t="n">
        <v>-0.02680649203</v>
      </c>
      <c r="H1246" s="196" t="n">
        <v>-17.97</v>
      </c>
      <c r="J1246" s="200" t="inlineStr">
        <is>
          <t>Dec</t>
        </is>
      </c>
      <c r="K1246" s="199" t="n">
        <v>2025</v>
      </c>
      <c r="L1246" s="199" t="n">
        <v>2025</v>
      </c>
    </row>
    <row r="1247" ht="15" customHeight="1" s="104">
      <c r="A1247" s="194" t="n">
        <v>46022</v>
      </c>
      <c r="B1247" s="195" t="inlineStr">
        <is>
          <t>Shopify</t>
        </is>
      </c>
      <c r="C1247" s="195" t="inlineStr">
        <is>
          <t>Advertising cost</t>
        </is>
      </c>
      <c r="D1247" s="195" t="inlineStr">
        <is>
          <t>Advertising Cost</t>
        </is>
      </c>
      <c r="E1247" s="196" t="n">
        <v>-271.55</v>
      </c>
      <c r="F1247" s="204" t="n">
        <v>-0.4050808521</v>
      </c>
      <c r="H1247" s="196" t="n">
        <v>-271.55</v>
      </c>
      <c r="J1247" s="200" t="inlineStr">
        <is>
          <t>Dec</t>
        </is>
      </c>
      <c r="K1247" s="199" t="n">
        <v>2025</v>
      </c>
      <c r="L1247" s="199" t="n">
        <v>2025</v>
      </c>
    </row>
    <row r="1248" ht="15" customHeight="1" s="104">
      <c r="A1248" s="194" t="n">
        <v>46053</v>
      </c>
      <c r="B1248" s="195" t="inlineStr">
        <is>
          <t>Amazon US</t>
        </is>
      </c>
      <c r="C1248" s="195" t="inlineStr">
        <is>
          <t>Advertising cost</t>
        </is>
      </c>
      <c r="D1248" s="195" t="inlineStr">
        <is>
          <t>Sponsored Products</t>
        </is>
      </c>
      <c r="E1248" s="196" t="n">
        <v>-7702.45</v>
      </c>
      <c r="F1248" s="204" t="n">
        <v>-0.1002405398</v>
      </c>
      <c r="H1248" s="196" t="n">
        <v>-7702.45</v>
      </c>
      <c r="J1248" s="200" t="inlineStr">
        <is>
          <t>Jan</t>
        </is>
      </c>
      <c r="K1248" s="199" t="n">
        <v>2026</v>
      </c>
      <c r="L1248" s="199" t="n">
        <v>2026</v>
      </c>
    </row>
    <row r="1249" ht="15" customHeight="1" s="104">
      <c r="A1249" s="194" t="n">
        <v>46053</v>
      </c>
      <c r="B1249" s="195" t="inlineStr">
        <is>
          <t>Amazon US</t>
        </is>
      </c>
      <c r="C1249" s="195" t="inlineStr">
        <is>
          <t>Advertising cost</t>
        </is>
      </c>
      <c r="D1249" s="195" t="inlineStr">
        <is>
          <t>Sponsored Brands Video</t>
        </is>
      </c>
      <c r="E1249" s="196" t="n">
        <v>-944.98</v>
      </c>
      <c r="F1249" s="204" t="n">
        <v>-0.01229807468</v>
      </c>
      <c r="H1249" s="196" t="n">
        <v>-944.98</v>
      </c>
      <c r="J1249" s="200" t="inlineStr">
        <is>
          <t>Jan</t>
        </is>
      </c>
      <c r="K1249" s="199" t="n">
        <v>2026</v>
      </c>
      <c r="L1249" s="199" t="n">
        <v>2026</v>
      </c>
    </row>
    <row r="1250" ht="15" customHeight="1" s="104">
      <c r="A1250" s="194" t="n">
        <v>46053</v>
      </c>
      <c r="B1250" s="195" t="inlineStr">
        <is>
          <t>Amazon US</t>
        </is>
      </c>
      <c r="C1250" s="195" t="inlineStr">
        <is>
          <t>Advertising cost</t>
        </is>
      </c>
      <c r="D1250" s="195" t="inlineStr">
        <is>
          <t>Sponsored Display</t>
        </is>
      </c>
      <c r="E1250" s="198" t="n">
        <v>0</v>
      </c>
      <c r="F1250" s="201" t="n">
        <v>0</v>
      </c>
      <c r="H1250" s="198" t="n">
        <v>0</v>
      </c>
      <c r="J1250" s="200" t="inlineStr">
        <is>
          <t>Jan</t>
        </is>
      </c>
      <c r="K1250" s="199" t="n">
        <v>2026</v>
      </c>
      <c r="L1250" s="199" t="n">
        <v>2026</v>
      </c>
    </row>
    <row r="1251" ht="15" customHeight="1" s="104">
      <c r="A1251" s="194" t="n">
        <v>46053</v>
      </c>
      <c r="B1251" s="195" t="inlineStr">
        <is>
          <t>Amazon US</t>
        </is>
      </c>
      <c r="C1251" s="195" t="inlineStr">
        <is>
          <t>Advertising cost</t>
        </is>
      </c>
      <c r="D1251" s="195" t="inlineStr">
        <is>
          <t>Sponsored Brands</t>
        </is>
      </c>
      <c r="E1251" s="198" t="n">
        <v>0</v>
      </c>
      <c r="F1251" s="201" t="n">
        <v>0</v>
      </c>
      <c r="H1251" s="198" t="n">
        <v>0</v>
      </c>
      <c r="J1251" s="200" t="inlineStr">
        <is>
          <t>Jan</t>
        </is>
      </c>
      <c r="K1251" s="199" t="n">
        <v>2026</v>
      </c>
      <c r="L1251" s="199" t="n">
        <v>2026</v>
      </c>
    </row>
    <row r="1252" ht="15" customHeight="1" s="104">
      <c r="A1252" s="194" t="n">
        <v>46053</v>
      </c>
      <c r="B1252" s="195" t="inlineStr">
        <is>
          <t>Amazon US</t>
        </is>
      </c>
      <c r="C1252" s="195" t="inlineStr">
        <is>
          <t>Refund cost</t>
        </is>
      </c>
      <c r="D1252" s="195" t="inlineStr">
        <is>
          <t>Refunded amount</t>
        </is>
      </c>
      <c r="E1252" s="196" t="n">
        <v>-16993.28</v>
      </c>
      <c r="F1252" s="204" t="n">
        <v>-0.2211524334</v>
      </c>
      <c r="H1252" s="196" t="n">
        <v>-16993.28</v>
      </c>
      <c r="J1252" s="200" t="inlineStr">
        <is>
          <t>Jan</t>
        </is>
      </c>
      <c r="K1252" s="199" t="n">
        <v>2026</v>
      </c>
      <c r="L1252" s="199" t="n">
        <v>2026</v>
      </c>
    </row>
    <row r="1253" ht="15" customHeight="1" s="104">
      <c r="A1253" s="194" t="n">
        <v>46053</v>
      </c>
      <c r="B1253" s="195" t="inlineStr">
        <is>
          <t>Amazon US</t>
        </is>
      </c>
      <c r="C1253" s="195" t="inlineStr">
        <is>
          <t>Refund cost</t>
        </is>
      </c>
      <c r="D1253" s="195" t="inlineStr">
        <is>
          <t>Refund commission</t>
        </is>
      </c>
      <c r="E1253" s="196" t="n">
        <v>-508.95</v>
      </c>
      <c r="F1253" s="204" t="n">
        <v>-0.006623531829</v>
      </c>
      <c r="H1253" s="196" t="n">
        <v>-508.95</v>
      </c>
      <c r="J1253" s="200" t="inlineStr">
        <is>
          <t>Jan</t>
        </is>
      </c>
      <c r="K1253" s="199" t="n">
        <v>2026</v>
      </c>
      <c r="L1253" s="199" t="n">
        <v>2026</v>
      </c>
    </row>
    <row r="1254" ht="15" customHeight="1" s="104">
      <c r="A1254" s="194" t="n">
        <v>46053</v>
      </c>
      <c r="B1254" s="195" t="inlineStr">
        <is>
          <t>Amazon US</t>
        </is>
      </c>
      <c r="C1254" s="195" t="inlineStr">
        <is>
          <t>Refund cost</t>
        </is>
      </c>
      <c r="D1254" s="195" t="inlineStr">
        <is>
          <t>Promotion</t>
        </is>
      </c>
      <c r="E1254" s="196" t="n">
        <v>31.8</v>
      </c>
      <c r="F1254" s="204" t="n">
        <v>0.000413848732</v>
      </c>
      <c r="H1254" s="196" t="n">
        <v>31.8</v>
      </c>
      <c r="J1254" s="200" t="inlineStr">
        <is>
          <t>Jan</t>
        </is>
      </c>
      <c r="K1254" s="199" t="n">
        <v>2026</v>
      </c>
      <c r="L1254" s="199" t="n">
        <v>2026</v>
      </c>
    </row>
    <row r="1255" ht="15" customHeight="1" s="104">
      <c r="A1255" s="194" t="n">
        <v>46053</v>
      </c>
      <c r="B1255" s="195" t="inlineStr">
        <is>
          <t>Amazon US</t>
        </is>
      </c>
      <c r="C1255" s="195" t="inlineStr">
        <is>
          <t>Refund cost</t>
        </is>
      </c>
      <c r="D1255" s="195" t="inlineStr">
        <is>
          <t>Restocking Deduction Principal</t>
        </is>
      </c>
      <c r="E1255" s="196" t="n">
        <v>18</v>
      </c>
      <c r="F1255" s="204" t="n">
        <v>0.0002342539993</v>
      </c>
      <c r="H1255" s="196" t="n">
        <v>18</v>
      </c>
      <c r="J1255" s="200" t="inlineStr">
        <is>
          <t>Jan</t>
        </is>
      </c>
      <c r="K1255" s="199" t="n">
        <v>2026</v>
      </c>
      <c r="L1255" s="199" t="n">
        <v>2026</v>
      </c>
    </row>
    <row r="1256" ht="15" customHeight="1" s="104">
      <c r="A1256" s="194" t="n">
        <v>46053</v>
      </c>
      <c r="B1256" s="195" t="inlineStr">
        <is>
          <t>Amazon US</t>
        </is>
      </c>
      <c r="C1256" s="195" t="inlineStr">
        <is>
          <t>Refund cost</t>
        </is>
      </c>
      <c r="D1256" s="195" t="inlineStr">
        <is>
          <t>Refunded referral fee</t>
        </is>
      </c>
      <c r="E1256" s="196" t="n">
        <v>2544.8</v>
      </c>
      <c r="F1256" s="204" t="n">
        <v>0.03311830985</v>
      </c>
      <c r="H1256" s="196" t="n">
        <v>2544.8</v>
      </c>
      <c r="J1256" s="200" t="inlineStr">
        <is>
          <t>Jan</t>
        </is>
      </c>
      <c r="K1256" s="199" t="n">
        <v>2026</v>
      </c>
      <c r="L1256" s="199" t="n">
        <v>2026</v>
      </c>
    </row>
    <row r="1257" ht="15" customHeight="1" s="104">
      <c r="A1257" s="194" t="n">
        <v>46053</v>
      </c>
      <c r="B1257" s="195" t="inlineStr">
        <is>
          <t>Amazon US</t>
        </is>
      </c>
      <c r="C1257" s="195" t="inlineStr">
        <is>
          <t>Refund cost</t>
        </is>
      </c>
      <c r="D1257" s="195" t="inlineStr">
        <is>
          <t>Value of returned items</t>
        </is>
      </c>
      <c r="E1257" s="196" t="n">
        <v>2715.62</v>
      </c>
      <c r="F1257" s="204" t="n">
        <v>0.03534138031</v>
      </c>
      <c r="H1257" s="196" t="n">
        <v>2715.62</v>
      </c>
      <c r="J1257" s="200" t="inlineStr">
        <is>
          <t>Jan</t>
        </is>
      </c>
      <c r="K1257" s="199" t="n">
        <v>2026</v>
      </c>
      <c r="L1257" s="199" t="n">
        <v>2026</v>
      </c>
    </row>
    <row r="1258" ht="15" customHeight="1" s="104">
      <c r="A1258" s="194" t="n">
        <v>46053</v>
      </c>
      <c r="B1258" s="195" t="inlineStr">
        <is>
          <t>Amazon US</t>
        </is>
      </c>
      <c r="C1258" s="195" t="inlineStr">
        <is>
          <t>Amazon fees</t>
        </is>
      </c>
      <c r="D1258" s="195" t="inlineStr">
        <is>
          <t>FBA per unit fulfilment fee</t>
        </is>
      </c>
      <c r="E1258" s="196" t="n">
        <v>-15115.78</v>
      </c>
      <c r="F1258" s="204" t="n">
        <v>-0.1967184398</v>
      </c>
      <c r="H1258" s="196" t="n">
        <v>-15115.78</v>
      </c>
      <c r="J1258" s="200" t="inlineStr">
        <is>
          <t>Jan</t>
        </is>
      </c>
      <c r="K1258" s="199" t="n">
        <v>2026</v>
      </c>
      <c r="L1258" s="199" t="n">
        <v>2026</v>
      </c>
    </row>
    <row r="1259" ht="15" customHeight="1" s="104">
      <c r="A1259" s="194" t="n">
        <v>46053</v>
      </c>
      <c r="B1259" s="195" t="inlineStr">
        <is>
          <t>Amazon US</t>
        </is>
      </c>
      <c r="C1259" s="195" t="inlineStr">
        <is>
          <t>Amazon fees</t>
        </is>
      </c>
      <c r="D1259" s="195" t="inlineStr">
        <is>
          <t>Referral fee</t>
        </is>
      </c>
      <c r="E1259" s="196" t="n">
        <v>-11485.49</v>
      </c>
      <c r="F1259" s="204" t="n">
        <v>-0.1494734426</v>
      </c>
      <c r="H1259" s="196" t="n">
        <v>-11485.49</v>
      </c>
      <c r="J1259" s="200" t="inlineStr">
        <is>
          <t>Jan</t>
        </is>
      </c>
      <c r="K1259" s="199" t="n">
        <v>2026</v>
      </c>
      <c r="L1259" s="199" t="n">
        <v>2026</v>
      </c>
    </row>
    <row r="1260" ht="15" customHeight="1" s="104">
      <c r="A1260" s="194" t="n">
        <v>46053</v>
      </c>
      <c r="B1260" s="195" t="inlineStr">
        <is>
          <t>Amazon US</t>
        </is>
      </c>
      <c r="C1260" s="195" t="inlineStr">
        <is>
          <t>Amazon fees</t>
        </is>
      </c>
      <c r="D1260" s="195" t="inlineStr">
        <is>
          <t>FBA storage fee</t>
        </is>
      </c>
      <c r="E1260" s="196" t="n">
        <v>-6818.47</v>
      </c>
      <c r="F1260" s="204" t="n">
        <v>-0.08873632591</v>
      </c>
      <c r="H1260" s="196" t="n">
        <v>-6818.47</v>
      </c>
      <c r="J1260" s="200" t="inlineStr">
        <is>
          <t>Jan</t>
        </is>
      </c>
      <c r="K1260" s="199" t="n">
        <v>2026</v>
      </c>
      <c r="L1260" s="199" t="n">
        <v>2026</v>
      </c>
    </row>
    <row r="1261" ht="15" customHeight="1" s="104">
      <c r="A1261" s="194" t="n">
        <v>46053</v>
      </c>
      <c r="B1261" s="195" t="inlineStr">
        <is>
          <t>Amazon US</t>
        </is>
      </c>
      <c r="C1261" s="195" t="inlineStr">
        <is>
          <t>Amazon fees</t>
        </is>
      </c>
      <c r="D1261" s="195" t="inlineStr">
        <is>
          <t>FBA disposal fee</t>
        </is>
      </c>
      <c r="E1261" s="196" t="n">
        <v>-1002.77</v>
      </c>
      <c r="F1261" s="204" t="n">
        <v>-0.01305016016</v>
      </c>
      <c r="H1261" s="196" t="n">
        <v>-1002.77</v>
      </c>
      <c r="J1261" s="200" t="inlineStr">
        <is>
          <t>Jan</t>
        </is>
      </c>
      <c r="K1261" s="199" t="n">
        <v>2026</v>
      </c>
      <c r="L1261" s="199" t="n">
        <v>2026</v>
      </c>
    </row>
    <row r="1262" ht="15" customHeight="1" s="104">
      <c r="A1262" s="194" t="n">
        <v>46053</v>
      </c>
      <c r="B1262" s="195" t="inlineStr">
        <is>
          <t>Amazon US</t>
        </is>
      </c>
      <c r="C1262" s="195" t="inlineStr">
        <is>
          <t>Amazon fees</t>
        </is>
      </c>
      <c r="D1262" s="195" t="inlineStr">
        <is>
          <t>Hrr non apparel rollup</t>
        </is>
      </c>
      <c r="E1262" s="196" t="n">
        <v>-252.5</v>
      </c>
      <c r="F1262" s="204" t="n">
        <v>-0.003286063045</v>
      </c>
      <c r="H1262" s="196" t="n">
        <v>-252.5</v>
      </c>
      <c r="J1262" s="200" t="inlineStr">
        <is>
          <t>Jan</t>
        </is>
      </c>
      <c r="K1262" s="199" t="n">
        <v>2026</v>
      </c>
      <c r="L1262" s="199" t="n">
        <v>2026</v>
      </c>
    </row>
    <row r="1263" ht="15" customHeight="1" s="104">
      <c r="A1263" s="194" t="n">
        <v>46053</v>
      </c>
      <c r="B1263" s="195" t="inlineStr">
        <is>
          <t>Amazon US</t>
        </is>
      </c>
      <c r="C1263" s="195" t="inlineStr">
        <is>
          <t>Amazon fees</t>
        </is>
      </c>
      <c r="D1263" s="195" t="inlineStr">
        <is>
          <t>AWD transportation fee</t>
        </is>
      </c>
      <c r="E1263" s="196" t="n">
        <v>-101.26</v>
      </c>
      <c r="F1263" s="204" t="n">
        <v>-0.001317808887</v>
      </c>
      <c r="H1263" s="196" t="n">
        <v>-101.26</v>
      </c>
      <c r="J1263" s="200" t="inlineStr">
        <is>
          <t>Jan</t>
        </is>
      </c>
      <c r="K1263" s="199" t="n">
        <v>2026</v>
      </c>
      <c r="L1263" s="199" t="n">
        <v>2026</v>
      </c>
    </row>
    <row r="1264" ht="15" customHeight="1" s="104">
      <c r="A1264" s="194" t="n">
        <v>46053</v>
      </c>
      <c r="B1264" s="195" t="inlineStr">
        <is>
          <t>Amazon US</t>
        </is>
      </c>
      <c r="C1264" s="195" t="inlineStr">
        <is>
          <t>Amazon fees</t>
        </is>
      </c>
      <c r="D1264" s="195" t="inlineStr">
        <is>
          <t>Missing from inbound clawback</t>
        </is>
      </c>
      <c r="E1264" s="196" t="n">
        <v>-51.05</v>
      </c>
      <c r="F1264" s="204" t="n">
        <v>-0.0006643703701</v>
      </c>
      <c r="H1264" s="196" t="n">
        <v>-51.05</v>
      </c>
      <c r="J1264" s="200" t="inlineStr">
        <is>
          <t>Jan</t>
        </is>
      </c>
      <c r="K1264" s="199" t="n">
        <v>2026</v>
      </c>
      <c r="L1264" s="199" t="n">
        <v>2026</v>
      </c>
    </row>
    <row r="1265" ht="15" customHeight="1" s="104">
      <c r="A1265" s="194" t="n">
        <v>46053</v>
      </c>
      <c r="B1265" s="195" t="inlineStr">
        <is>
          <t>Amazon US</t>
        </is>
      </c>
      <c r="C1265" s="195" t="inlineStr">
        <is>
          <t>Amazon fees</t>
        </is>
      </c>
      <c r="D1265" s="195" t="inlineStr">
        <is>
          <t>Compensated clawback</t>
        </is>
      </c>
      <c r="E1265" s="196" t="n">
        <v>-89.53</v>
      </c>
      <c r="F1265" s="204" t="n">
        <v>-0.001165153364</v>
      </c>
      <c r="H1265" s="196" t="n">
        <v>-89.53</v>
      </c>
      <c r="J1265" s="200" t="inlineStr">
        <is>
          <t>Jan</t>
        </is>
      </c>
      <c r="K1265" s="199" t="n">
        <v>2026</v>
      </c>
      <c r="L1265" s="199" t="n">
        <v>2026</v>
      </c>
    </row>
    <row r="1266" ht="15" customHeight="1" s="104">
      <c r="A1266" s="194" t="n">
        <v>46053</v>
      </c>
      <c r="B1266" s="195" t="inlineStr">
        <is>
          <t>Amazon US</t>
        </is>
      </c>
      <c r="C1266" s="195" t="inlineStr">
        <is>
          <t>Amazon fees</t>
        </is>
      </c>
      <c r="D1266" s="195" t="inlineStr">
        <is>
          <t>AWD storage fees</t>
        </is>
      </c>
      <c r="E1266" s="196" t="n">
        <v>-96.84</v>
      </c>
      <c r="F1266" s="204" t="n">
        <v>-0.001260286516</v>
      </c>
      <c r="H1266" s="196" t="n">
        <v>-96.84</v>
      </c>
      <c r="J1266" s="200" t="inlineStr">
        <is>
          <t>Jan</t>
        </is>
      </c>
      <c r="K1266" s="199" t="n">
        <v>2026</v>
      </c>
      <c r="L1266" s="199" t="n">
        <v>2026</v>
      </c>
    </row>
    <row r="1267" ht="15" customHeight="1" s="104">
      <c r="A1267" s="194" t="n">
        <v>46053</v>
      </c>
      <c r="B1267" s="195" t="inlineStr">
        <is>
          <t>Amazon US</t>
        </is>
      </c>
      <c r="C1267" s="195" t="inlineStr">
        <is>
          <t>Amazon fees</t>
        </is>
      </c>
      <c r="D1267" s="195" t="inlineStr">
        <is>
          <t>FBA inbound convenience fee</t>
        </is>
      </c>
      <c r="F1267" s="201" t="n">
        <v>0</v>
      </c>
      <c r="J1267" s="200" t="inlineStr">
        <is>
          <t>Jan</t>
        </is>
      </c>
      <c r="K1267" s="199" t="n">
        <v>2026</v>
      </c>
      <c r="L1267" s="199" t="n">
        <v>2026</v>
      </c>
    </row>
    <row r="1268" ht="15" customHeight="1" s="104">
      <c r="A1268" s="194" t="n">
        <v>46053</v>
      </c>
      <c r="B1268" s="195" t="inlineStr">
        <is>
          <t>Amazon US</t>
        </is>
      </c>
      <c r="C1268" s="195" t="inlineStr">
        <is>
          <t>Amazon fees</t>
        </is>
      </c>
      <c r="D1268" s="195" t="inlineStr">
        <is>
          <t>Long term storage fee</t>
        </is>
      </c>
      <c r="E1268" s="196" t="n">
        <v>-66.86</v>
      </c>
      <c r="F1268" s="204" t="n">
        <v>-0.0008701234662</v>
      </c>
      <c r="H1268" s="196" t="n">
        <v>-66.86</v>
      </c>
      <c r="J1268" s="200" t="inlineStr">
        <is>
          <t>Jan</t>
        </is>
      </c>
      <c r="K1268" s="199" t="n">
        <v>2026</v>
      </c>
      <c r="L1268" s="199" t="n">
        <v>2026</v>
      </c>
    </row>
    <row r="1269" ht="15" customHeight="1" s="104">
      <c r="A1269" s="194" t="n">
        <v>46053</v>
      </c>
      <c r="B1269" s="195" t="inlineStr">
        <is>
          <t>Amazon US</t>
        </is>
      </c>
      <c r="C1269" s="195" t="inlineStr">
        <is>
          <t>Amazon fees</t>
        </is>
      </c>
      <c r="D1269" s="195" t="inlineStr">
        <is>
          <t>Get paid faster fee</t>
        </is>
      </c>
      <c r="E1269" s="196" t="n">
        <v>-24.28</v>
      </c>
      <c r="F1269" s="204" t="n">
        <v>-0.0003159826168</v>
      </c>
      <c r="H1269" s="196" t="n">
        <v>-24.28</v>
      </c>
      <c r="J1269" s="200" t="inlineStr">
        <is>
          <t>Jan</t>
        </is>
      </c>
      <c r="K1269" s="199" t="n">
        <v>2026</v>
      </c>
      <c r="L1269" s="199" t="n">
        <v>2026</v>
      </c>
    </row>
    <row r="1270" ht="15" customHeight="1" s="104">
      <c r="A1270" s="194" t="n">
        <v>46053</v>
      </c>
      <c r="B1270" s="195" t="inlineStr">
        <is>
          <t>Amazon US</t>
        </is>
      </c>
      <c r="C1270" s="195" t="inlineStr">
        <is>
          <t>Amazon fees</t>
        </is>
      </c>
      <c r="D1270" s="195" t="inlineStr">
        <is>
          <t>Subscription</t>
        </is>
      </c>
      <c r="E1270" s="196" t="n">
        <v>-40</v>
      </c>
      <c r="F1270" s="204" t="n">
        <v>-0.0005205644428</v>
      </c>
      <c r="H1270" s="196" t="n">
        <v>-40</v>
      </c>
      <c r="J1270" s="200" t="inlineStr">
        <is>
          <t>Jan</t>
        </is>
      </c>
      <c r="K1270" s="199" t="n">
        <v>2026</v>
      </c>
      <c r="L1270" s="199" t="n">
        <v>2026</v>
      </c>
    </row>
    <row r="1271" ht="15" customHeight="1" s="104">
      <c r="A1271" s="194" t="n">
        <v>46053</v>
      </c>
      <c r="B1271" s="195" t="inlineStr">
        <is>
          <t>Amazon US</t>
        </is>
      </c>
      <c r="C1271" s="195" t="inlineStr">
        <is>
          <t>Amazon fees</t>
        </is>
      </c>
      <c r="D1271" s="195" t="inlineStr">
        <is>
          <t>AWD processing fee</t>
        </is>
      </c>
      <c r="E1271" s="196" t="n">
        <v>-66.90000000000001</v>
      </c>
      <c r="F1271" s="204" t="n">
        <v>-0.0008706440306</v>
      </c>
      <c r="H1271" s="196" t="n">
        <v>-66.90000000000001</v>
      </c>
      <c r="J1271" s="200" t="inlineStr">
        <is>
          <t>Jan</t>
        </is>
      </c>
      <c r="K1271" s="199" t="n">
        <v>2026</v>
      </c>
      <c r="L1271" s="199" t="n">
        <v>2026</v>
      </c>
    </row>
    <row r="1272" ht="15" customHeight="1" s="104">
      <c r="A1272" s="194" t="n">
        <v>46053</v>
      </c>
      <c r="B1272" s="195" t="inlineStr">
        <is>
          <t>Amazon US</t>
        </is>
      </c>
      <c r="C1272" s="195" t="inlineStr">
        <is>
          <t>Amazon fees</t>
        </is>
      </c>
      <c r="E1272" s="196" t="n">
        <v>15.04</v>
      </c>
      <c r="F1272" s="204" t="n">
        <v>0.0001957322305</v>
      </c>
      <c r="H1272" s="196" t="n">
        <v>15.04</v>
      </c>
      <c r="J1272" s="200" t="inlineStr">
        <is>
          <t>Jan</t>
        </is>
      </c>
      <c r="K1272" s="199" t="n">
        <v>2026</v>
      </c>
      <c r="L1272" s="199" t="n">
        <v>2026</v>
      </c>
    </row>
    <row r="1273" ht="15" customHeight="1" s="104">
      <c r="A1273" s="194" t="n">
        <v>46053</v>
      </c>
      <c r="B1273" s="195" t="inlineStr">
        <is>
          <t>Amazon US</t>
        </is>
      </c>
      <c r="C1273" s="195" t="inlineStr">
        <is>
          <t>Amazon fees</t>
        </is>
      </c>
      <c r="D1273" s="195" t="inlineStr">
        <is>
          <t>Sponsored Products</t>
        </is>
      </c>
      <c r="F1273" s="201" t="n">
        <v>0</v>
      </c>
      <c r="J1273" s="200" t="inlineStr">
        <is>
          <t>Jan</t>
        </is>
      </c>
      <c r="K1273" s="199" t="n">
        <v>2026</v>
      </c>
      <c r="L1273" s="199" t="n">
        <v>2026</v>
      </c>
    </row>
    <row r="1274" ht="15" customHeight="1" s="104">
      <c r="A1274" s="194" t="n">
        <v>46053</v>
      </c>
      <c r="B1274" s="195" t="inlineStr">
        <is>
          <t>Amazon US</t>
        </is>
      </c>
      <c r="C1274" s="195" t="inlineStr">
        <is>
          <t>Amazon fees</t>
        </is>
      </c>
      <c r="D1274" s="195" t="inlineStr">
        <is>
          <t xml:space="preserve">Adjustment FBA per unit fulfillment fee
</t>
        </is>
      </c>
      <c r="F1274" s="201" t="n">
        <v>0</v>
      </c>
      <c r="J1274" s="200" t="inlineStr">
        <is>
          <t>Jan</t>
        </is>
      </c>
      <c r="K1274" s="199" t="n">
        <v>2026</v>
      </c>
      <c r="L1274" s="199" t="n">
        <v>2026</v>
      </c>
    </row>
    <row r="1275" ht="15" customHeight="1" s="104">
      <c r="A1275" s="194" t="n">
        <v>46053</v>
      </c>
      <c r="B1275" s="195" t="inlineStr">
        <is>
          <t>Amazon US</t>
        </is>
      </c>
      <c r="C1275" s="195" t="inlineStr">
        <is>
          <t>Amazon fees</t>
        </is>
      </c>
      <c r="D1275" s="195" t="inlineStr">
        <is>
          <t>Free replacement refund items</t>
        </is>
      </c>
      <c r="E1275" s="196" t="n">
        <v>114.5</v>
      </c>
      <c r="F1275" s="204" t="n">
        <v>0.001490115718</v>
      </c>
      <c r="H1275" s="196" t="n">
        <v>114.5</v>
      </c>
      <c r="J1275" s="200" t="inlineStr">
        <is>
          <t>Jan</t>
        </is>
      </c>
      <c r="K1275" s="199" t="n">
        <v>2026</v>
      </c>
      <c r="L1275" s="199" t="n">
        <v>2026</v>
      </c>
    </row>
    <row r="1276" ht="15" customHeight="1" s="104">
      <c r="A1276" s="194" t="n">
        <v>46053</v>
      </c>
      <c r="B1276" s="195" t="inlineStr">
        <is>
          <t>Amazon US</t>
        </is>
      </c>
      <c r="C1276" s="195" t="inlineStr">
        <is>
          <t>Amazon fees</t>
        </is>
      </c>
      <c r="D1276" s="195" t="inlineStr">
        <is>
          <t>Warehouse lost</t>
        </is>
      </c>
      <c r="E1276" s="196" t="n">
        <v>57.88</v>
      </c>
      <c r="F1276" s="204" t="n">
        <v>0.0007532567488</v>
      </c>
      <c r="H1276" s="196" t="n">
        <v>57.88</v>
      </c>
      <c r="J1276" s="200" t="inlineStr">
        <is>
          <t>Jan</t>
        </is>
      </c>
      <c r="K1276" s="199" t="n">
        <v>2026</v>
      </c>
      <c r="L1276" s="199" t="n">
        <v>2026</v>
      </c>
    </row>
    <row r="1277" ht="15" customHeight="1" s="104">
      <c r="A1277" s="194" t="n">
        <v>46053</v>
      </c>
      <c r="B1277" s="195" t="inlineStr">
        <is>
          <t>Amazon US</t>
        </is>
      </c>
      <c r="C1277" s="195" t="inlineStr">
        <is>
          <t>Amazon fees</t>
        </is>
      </c>
      <c r="D1277" s="195" t="inlineStr">
        <is>
          <t>Missing from inbound</t>
        </is>
      </c>
      <c r="E1277" s="196" t="n">
        <v>442.44</v>
      </c>
      <c r="F1277" s="204" t="n">
        <v>0.005757963302</v>
      </c>
      <c r="H1277" s="196" t="n">
        <v>442.44</v>
      </c>
      <c r="J1277" s="200" t="inlineStr">
        <is>
          <t>Jan</t>
        </is>
      </c>
      <c r="K1277" s="199" t="n">
        <v>2026</v>
      </c>
      <c r="L1277" s="199" t="n">
        <v>2026</v>
      </c>
    </row>
    <row r="1278" ht="15" customHeight="1" s="104">
      <c r="A1278" s="194" t="n">
        <v>46053</v>
      </c>
      <c r="B1278" s="195" t="inlineStr">
        <is>
          <t>Amazon US</t>
        </is>
      </c>
      <c r="C1278" s="195" t="inlineStr">
        <is>
          <t>Amazon fees</t>
        </is>
      </c>
      <c r="D1278" s="195" t="inlineStr">
        <is>
          <t>Warehouse damage</t>
        </is>
      </c>
      <c r="E1278" s="196" t="n">
        <v>175.75</v>
      </c>
      <c r="F1278" s="204" t="n">
        <v>0.002287230021</v>
      </c>
      <c r="H1278" s="196" t="n">
        <v>175.75</v>
      </c>
      <c r="J1278" s="200" t="inlineStr">
        <is>
          <t>Jan</t>
        </is>
      </c>
      <c r="K1278" s="199" t="n">
        <v>2026</v>
      </c>
      <c r="L1278" s="199" t="n">
        <v>2026</v>
      </c>
    </row>
    <row r="1279" ht="15" customHeight="1" s="104">
      <c r="A1279" s="194" t="n">
        <v>46053</v>
      </c>
      <c r="B1279" s="195" t="inlineStr">
        <is>
          <t>Amazon US</t>
        </is>
      </c>
      <c r="C1279" s="195" t="inlineStr">
        <is>
          <t>Amazon fees</t>
        </is>
      </c>
      <c r="D1279" s="195" t="inlineStr">
        <is>
          <t>Reversal reimbursement</t>
        </is>
      </c>
      <c r="E1279" s="196" t="n">
        <v>462.76</v>
      </c>
      <c r="F1279" s="204" t="n">
        <v>0.006022410039</v>
      </c>
      <c r="H1279" s="196" t="n">
        <v>462.76</v>
      </c>
      <c r="J1279" s="200" t="inlineStr">
        <is>
          <t>Jan</t>
        </is>
      </c>
      <c r="K1279" s="199" t="n">
        <v>2026</v>
      </c>
      <c r="L1279" s="199" t="n">
        <v>2026</v>
      </c>
    </row>
    <row r="1280" ht="15" customHeight="1" s="104">
      <c r="A1280" s="194" t="n">
        <v>46053</v>
      </c>
      <c r="B1280" s="195" t="inlineStr">
        <is>
          <t>Amazon US</t>
        </is>
      </c>
      <c r="C1280" s="195" t="inlineStr">
        <is>
          <t>Cost of goods</t>
        </is>
      </c>
      <c r="D1280" s="195" t="inlineStr">
        <is>
          <t>Lost/damaged by Amazon</t>
        </is>
      </c>
      <c r="E1280" s="196" t="n">
        <v>-644.05</v>
      </c>
      <c r="F1280" s="204" t="n">
        <v>-0.008381738235</v>
      </c>
      <c r="H1280" s="196" t="n">
        <v>-644.05</v>
      </c>
      <c r="J1280" s="200" t="inlineStr">
        <is>
          <t>Jan</t>
        </is>
      </c>
      <c r="K1280" s="199" t="n">
        <v>2026</v>
      </c>
      <c r="L1280" s="199" t="n">
        <v>2026</v>
      </c>
    </row>
    <row r="1281" ht="15" customHeight="1" s="104">
      <c r="A1281" s="194" t="n">
        <v>46053</v>
      </c>
      <c r="B1281" s="195" t="inlineStr">
        <is>
          <t>Amazon US</t>
        </is>
      </c>
      <c r="C1281" s="195" t="inlineStr">
        <is>
          <t>Cost of goods</t>
        </is>
      </c>
      <c r="D1281" s="195" t="inlineStr">
        <is>
          <t>Cost of goods sold</t>
        </is>
      </c>
      <c r="E1281" s="196" t="n">
        <v>-21047.02</v>
      </c>
      <c r="F1281" s="204" t="n">
        <v>-0.273908256</v>
      </c>
      <c r="H1281" s="196" t="n">
        <v>-21047.02</v>
      </c>
      <c r="J1281" s="200" t="inlineStr">
        <is>
          <t>Jan</t>
        </is>
      </c>
      <c r="K1281" s="199" t="n">
        <v>2026</v>
      </c>
      <c r="L1281" s="199" t="n">
        <v>2026</v>
      </c>
    </row>
    <row r="1282" ht="15" customHeight="1" s="104">
      <c r="A1282" s="194" t="n">
        <v>46053</v>
      </c>
      <c r="B1282" s="195" t="inlineStr">
        <is>
          <t>Amazon CA</t>
        </is>
      </c>
      <c r="C1282" s="195" t="inlineStr">
        <is>
          <t>Advertising cost</t>
        </is>
      </c>
      <c r="D1282" s="195" t="inlineStr">
        <is>
          <t>Sponsored Products</t>
        </is>
      </c>
      <c r="E1282" s="196" t="n">
        <v>-901</v>
      </c>
      <c r="F1282" s="204" t="n">
        <v>-0.1213131441</v>
      </c>
      <c r="H1282" s="196" t="n">
        <v>-901</v>
      </c>
      <c r="J1282" s="200" t="inlineStr">
        <is>
          <t>Jan</t>
        </is>
      </c>
      <c r="K1282" s="199" t="n">
        <v>2026</v>
      </c>
      <c r="L1282" s="199" t="n">
        <v>2026</v>
      </c>
    </row>
    <row r="1283" ht="15" customHeight="1" s="104">
      <c r="A1283" s="194" t="n">
        <v>46053</v>
      </c>
      <c r="B1283" s="195" t="inlineStr">
        <is>
          <t>Amazon CA</t>
        </is>
      </c>
      <c r="C1283" s="195" t="inlineStr">
        <is>
          <t>Advertising cost</t>
        </is>
      </c>
      <c r="D1283" s="195" t="inlineStr">
        <is>
          <t>Sponsored Brands Video</t>
        </is>
      </c>
      <c r="E1283" s="198" t="n">
        <v>0</v>
      </c>
      <c r="F1283" s="201" t="n">
        <v>0</v>
      </c>
      <c r="H1283" s="198" t="n">
        <v>0</v>
      </c>
      <c r="J1283" s="200" t="inlineStr">
        <is>
          <t>Jan</t>
        </is>
      </c>
      <c r="K1283" s="199" t="n">
        <v>2026</v>
      </c>
      <c r="L1283" s="199" t="n">
        <v>2026</v>
      </c>
    </row>
    <row r="1284" ht="15" customHeight="1" s="104">
      <c r="A1284" s="194" t="n">
        <v>46053</v>
      </c>
      <c r="B1284" s="195" t="inlineStr">
        <is>
          <t>Amazon CA</t>
        </is>
      </c>
      <c r="C1284" s="195" t="inlineStr">
        <is>
          <t>Advertising cost</t>
        </is>
      </c>
      <c r="D1284" s="195" t="inlineStr">
        <is>
          <t>Sponsored Display</t>
        </is>
      </c>
      <c r="E1284" s="198" t="n">
        <v>0</v>
      </c>
      <c r="F1284" s="201" t="n">
        <v>0</v>
      </c>
      <c r="H1284" s="198" t="n">
        <v>0</v>
      </c>
      <c r="J1284" s="200" t="inlineStr">
        <is>
          <t>Jan</t>
        </is>
      </c>
      <c r="K1284" s="199" t="n">
        <v>2026</v>
      </c>
      <c r="L1284" s="199" t="n">
        <v>2026</v>
      </c>
    </row>
    <row r="1285" ht="15" customHeight="1" s="104">
      <c r="A1285" s="194" t="n">
        <v>46053</v>
      </c>
      <c r="B1285" s="195" t="inlineStr">
        <is>
          <t>Amazon CA</t>
        </is>
      </c>
      <c r="C1285" s="195" t="inlineStr">
        <is>
          <t>Advertising cost</t>
        </is>
      </c>
      <c r="D1285" s="195" t="inlineStr">
        <is>
          <t>Sponsored Brands</t>
        </is>
      </c>
      <c r="E1285" s="198" t="n">
        <v>0</v>
      </c>
      <c r="F1285" s="201" t="n">
        <v>0</v>
      </c>
      <c r="H1285" s="198" t="n">
        <v>0</v>
      </c>
      <c r="J1285" s="200" t="inlineStr">
        <is>
          <t>Jan</t>
        </is>
      </c>
      <c r="K1285" s="199" t="n">
        <v>2026</v>
      </c>
      <c r="L1285" s="199" t="n">
        <v>2026</v>
      </c>
    </row>
    <row r="1286" ht="15" customHeight="1" s="104">
      <c r="A1286" s="194" t="n">
        <v>46053</v>
      </c>
      <c r="B1286" s="195" t="inlineStr">
        <is>
          <t>Amazon CA</t>
        </is>
      </c>
      <c r="C1286" s="195" t="inlineStr">
        <is>
          <t>Refund cost</t>
        </is>
      </c>
      <c r="D1286" s="195" t="inlineStr">
        <is>
          <t>Refunded amount</t>
        </is>
      </c>
      <c r="E1286" s="196" t="n">
        <v>-1439.74</v>
      </c>
      <c r="F1286" s="204" t="n">
        <v>-0.193850595</v>
      </c>
      <c r="H1286" s="196" t="n">
        <v>-1439.74</v>
      </c>
      <c r="J1286" s="200" t="inlineStr">
        <is>
          <t>Jan</t>
        </is>
      </c>
      <c r="K1286" s="199" t="n">
        <v>2026</v>
      </c>
      <c r="L1286" s="199" t="n">
        <v>2026</v>
      </c>
    </row>
    <row r="1287" ht="15" customHeight="1" s="104">
      <c r="A1287" s="194" t="n">
        <v>46053</v>
      </c>
      <c r="B1287" s="195" t="inlineStr">
        <is>
          <t>Amazon CA</t>
        </is>
      </c>
      <c r="C1287" s="195" t="inlineStr">
        <is>
          <t>Refund cost</t>
        </is>
      </c>
      <c r="D1287" s="195" t="inlineStr">
        <is>
          <t>Refund commission</t>
        </is>
      </c>
      <c r="E1287" s="196" t="n">
        <v>-43.21</v>
      </c>
      <c r="F1287" s="204" t="n">
        <v>-0.005817914491</v>
      </c>
      <c r="H1287" s="196" t="n">
        <v>-43.21</v>
      </c>
      <c r="J1287" s="200" t="inlineStr">
        <is>
          <t>Jan</t>
        </is>
      </c>
      <c r="K1287" s="199" t="n">
        <v>2026</v>
      </c>
      <c r="L1287" s="199" t="n">
        <v>2026</v>
      </c>
    </row>
    <row r="1288" ht="15" customHeight="1" s="104">
      <c r="A1288" s="194" t="n">
        <v>46053</v>
      </c>
      <c r="B1288" s="195" t="inlineStr">
        <is>
          <t>Amazon CA</t>
        </is>
      </c>
      <c r="C1288" s="195" t="inlineStr">
        <is>
          <t>Refund cost</t>
        </is>
      </c>
      <c r="D1288" s="195" t="inlineStr">
        <is>
          <t>Refunded referral fee</t>
        </is>
      </c>
      <c r="E1288" s="196" t="n">
        <v>216</v>
      </c>
      <c r="F1288" s="204" t="n">
        <v>0.02908284032</v>
      </c>
      <c r="H1288" s="196" t="n">
        <v>216</v>
      </c>
      <c r="J1288" s="200" t="inlineStr">
        <is>
          <t>Jan</t>
        </is>
      </c>
      <c r="K1288" s="199" t="n">
        <v>2026</v>
      </c>
      <c r="L1288" s="199" t="n">
        <v>2026</v>
      </c>
    </row>
    <row r="1289" ht="15" customHeight="1" s="104">
      <c r="A1289" s="194" t="n">
        <v>46053</v>
      </c>
      <c r="B1289" s="195" t="inlineStr">
        <is>
          <t>Amazon CA</t>
        </is>
      </c>
      <c r="C1289" s="195" t="inlineStr">
        <is>
          <t>Refund cost</t>
        </is>
      </c>
      <c r="D1289" s="195" t="inlineStr">
        <is>
          <t>Value of returned items</t>
        </is>
      </c>
      <c r="E1289" s="196" t="n">
        <v>187.6</v>
      </c>
      <c r="F1289" s="204" t="n">
        <v>0.02525898539</v>
      </c>
      <c r="H1289" s="196" t="n">
        <v>187.6</v>
      </c>
      <c r="J1289" s="200" t="inlineStr">
        <is>
          <t>Jan</t>
        </is>
      </c>
      <c r="K1289" s="199" t="n">
        <v>2026</v>
      </c>
      <c r="L1289" s="199" t="n">
        <v>2026</v>
      </c>
    </row>
    <row r="1290" ht="15" customHeight="1" s="104">
      <c r="A1290" s="194" t="n">
        <v>46053</v>
      </c>
      <c r="B1290" s="195" t="inlineStr">
        <is>
          <t>Amazon CA</t>
        </is>
      </c>
      <c r="C1290" s="195" t="inlineStr">
        <is>
          <t>Amazon fees</t>
        </is>
      </c>
      <c r="D1290" s="195" t="inlineStr">
        <is>
          <t>FBA per unit fulfilment fee</t>
        </is>
      </c>
      <c r="E1290" s="196" t="n">
        <v>-1412.23</v>
      </c>
      <c r="F1290" s="204" t="n">
        <v>-0.1901465721</v>
      </c>
      <c r="H1290" s="196" t="n">
        <v>-1412.23</v>
      </c>
      <c r="J1290" s="200" t="inlineStr">
        <is>
          <t>Jan</t>
        </is>
      </c>
      <c r="K1290" s="199" t="n">
        <v>2026</v>
      </c>
      <c r="L1290" s="199" t="n">
        <v>2026</v>
      </c>
    </row>
    <row r="1291" ht="15" customHeight="1" s="104">
      <c r="A1291" s="194" t="n">
        <v>46053</v>
      </c>
      <c r="B1291" s="195" t="inlineStr">
        <is>
          <t>Amazon CA</t>
        </is>
      </c>
      <c r="C1291" s="195" t="inlineStr">
        <is>
          <t>Amazon fees</t>
        </is>
      </c>
      <c r="D1291" s="195" t="inlineStr">
        <is>
          <t>Referral fee</t>
        </is>
      </c>
      <c r="E1291" s="196" t="n">
        <v>-1119.35</v>
      </c>
      <c r="F1291" s="204" t="n">
        <v>-0.1507123949</v>
      </c>
      <c r="H1291" s="196" t="n">
        <v>-1119.35</v>
      </c>
      <c r="J1291" s="200" t="inlineStr">
        <is>
          <t>Jan</t>
        </is>
      </c>
      <c r="K1291" s="199" t="n">
        <v>2026</v>
      </c>
      <c r="L1291" s="199" t="n">
        <v>2026</v>
      </c>
    </row>
    <row r="1292" ht="15" customHeight="1" s="104">
      <c r="A1292" s="194" t="n">
        <v>46053</v>
      </c>
      <c r="B1292" s="195" t="inlineStr">
        <is>
          <t>Amazon CA</t>
        </is>
      </c>
      <c r="C1292" s="195" t="inlineStr">
        <is>
          <t>Amazon fees</t>
        </is>
      </c>
      <c r="D1292" s="195" t="inlineStr">
        <is>
          <t>FBA storage fee</t>
        </is>
      </c>
      <c r="E1292" s="196" t="n">
        <v>-519.51</v>
      </c>
      <c r="F1292" s="204" t="n">
        <v>-0.06994827024</v>
      </c>
      <c r="H1292" s="196" t="n">
        <v>-519.51</v>
      </c>
      <c r="J1292" s="200" t="inlineStr">
        <is>
          <t>Jan</t>
        </is>
      </c>
      <c r="K1292" s="199" t="n">
        <v>2026</v>
      </c>
      <c r="L1292" s="199" t="n">
        <v>2026</v>
      </c>
    </row>
    <row r="1293" ht="15" customHeight="1" s="104">
      <c r="A1293" s="194" t="n">
        <v>46053</v>
      </c>
      <c r="B1293" s="195" t="inlineStr">
        <is>
          <t>Amazon CA</t>
        </is>
      </c>
      <c r="C1293" s="195" t="inlineStr">
        <is>
          <t>Amazon fees</t>
        </is>
      </c>
      <c r="D1293" s="195" t="inlineStr">
        <is>
          <t>Long term storage fee</t>
        </is>
      </c>
      <c r="E1293" s="196" t="n">
        <v>-359.52</v>
      </c>
      <c r="F1293" s="204" t="n">
        <v>-0.04840677199</v>
      </c>
      <c r="H1293" s="196" t="n">
        <v>-359.52</v>
      </c>
      <c r="J1293" s="200" t="inlineStr">
        <is>
          <t>Jan</t>
        </is>
      </c>
      <c r="K1293" s="199" t="n">
        <v>2026</v>
      </c>
      <c r="L1293" s="199" t="n">
        <v>2026</v>
      </c>
    </row>
    <row r="1294" ht="15" customHeight="1" s="104">
      <c r="A1294" s="194" t="n">
        <v>46053</v>
      </c>
      <c r="B1294" s="195" t="inlineStr">
        <is>
          <t>Amazon CA</t>
        </is>
      </c>
      <c r="C1294" s="195" t="inlineStr">
        <is>
          <t>Amazon fees</t>
        </is>
      </c>
      <c r="D1294" s="195" t="inlineStr">
        <is>
          <t>Digital services fee</t>
        </is>
      </c>
      <c r="F1294" s="201" t="n">
        <v>0</v>
      </c>
      <c r="J1294" s="200" t="inlineStr">
        <is>
          <t>Jan</t>
        </is>
      </c>
      <c r="K1294" s="199" t="n">
        <v>2026</v>
      </c>
      <c r="L1294" s="199" t="n">
        <v>2026</v>
      </c>
    </row>
    <row r="1295" ht="15" customHeight="1" s="104">
      <c r="A1295" s="194" t="n">
        <v>46053</v>
      </c>
      <c r="B1295" s="195" t="inlineStr">
        <is>
          <t>Amazon CA</t>
        </is>
      </c>
      <c r="C1295" s="195" t="inlineStr">
        <is>
          <t>Amazon fees</t>
        </is>
      </c>
      <c r="D1295" s="195" t="inlineStr">
        <is>
          <t>FBA disposal fee</t>
        </is>
      </c>
      <c r="E1295" s="196" t="n">
        <v>-88.5</v>
      </c>
      <c r="F1295" s="204" t="n">
        <v>-0.01191588596</v>
      </c>
      <c r="H1295" s="196" t="n">
        <v>-88.5</v>
      </c>
      <c r="J1295" s="200" t="inlineStr">
        <is>
          <t>Jan</t>
        </is>
      </c>
      <c r="K1295" s="199" t="n">
        <v>2026</v>
      </c>
      <c r="L1295" s="199" t="n">
        <v>2026</v>
      </c>
    </row>
    <row r="1296" ht="15" customHeight="1" s="104">
      <c r="A1296" s="194" t="n">
        <v>46053</v>
      </c>
      <c r="B1296" s="195" t="inlineStr">
        <is>
          <t>Amazon CA</t>
        </is>
      </c>
      <c r="C1296" s="195" t="inlineStr">
        <is>
          <t>Amazon fees</t>
        </is>
      </c>
      <c r="D1296" s="195" t="inlineStr">
        <is>
          <t>Reversal reimbursement</t>
        </is>
      </c>
      <c r="E1296" s="196" t="n">
        <v>86.8</v>
      </c>
      <c r="F1296" s="204" t="n">
        <v>0.01168699324</v>
      </c>
      <c r="H1296" s="196" t="n">
        <v>86.8</v>
      </c>
      <c r="J1296" s="200" t="inlineStr">
        <is>
          <t>Jan</t>
        </is>
      </c>
      <c r="K1296" s="199" t="n">
        <v>2026</v>
      </c>
      <c r="L1296" s="199" t="n">
        <v>2026</v>
      </c>
    </row>
    <row r="1297" ht="15" customHeight="1" s="104">
      <c r="A1297" s="194" t="n">
        <v>46053</v>
      </c>
      <c r="B1297" s="195" t="inlineStr">
        <is>
          <t>Amazon CA</t>
        </is>
      </c>
      <c r="C1297" s="195" t="inlineStr">
        <is>
          <t>Cost of goods</t>
        </is>
      </c>
      <c r="D1297" s="195" t="inlineStr">
        <is>
          <t>Cost of goods sold</t>
        </is>
      </c>
      <c r="E1297" s="196" t="n">
        <v>-2211.35</v>
      </c>
      <c r="F1297" s="204" t="n">
        <v>-0.2977423099</v>
      </c>
      <c r="H1297" s="196" t="n">
        <v>-2211.35</v>
      </c>
      <c r="J1297" s="200" t="inlineStr">
        <is>
          <t>Jan</t>
        </is>
      </c>
      <c r="K1297" s="199" t="n">
        <v>2026</v>
      </c>
      <c r="L1297" s="199" t="n">
        <v>2026</v>
      </c>
    </row>
    <row r="1298" ht="15" customHeight="1" s="104">
      <c r="A1298" s="194" t="n">
        <v>46053</v>
      </c>
      <c r="B1298" s="195" t="inlineStr">
        <is>
          <t>Shopify</t>
        </is>
      </c>
      <c r="C1298" s="195" t="inlineStr">
        <is>
          <t>Payment fees</t>
        </is>
      </c>
      <c r="D1298" s="195" t="inlineStr">
        <is>
          <t>Shopify Payments fee</t>
        </is>
      </c>
      <c r="E1298" s="196" t="n">
        <v>-278.48</v>
      </c>
      <c r="F1298" s="204" t="n">
        <v>-0.003003715923</v>
      </c>
      <c r="H1298" s="196" t="n">
        <v>-278.48</v>
      </c>
      <c r="J1298" s="200" t="inlineStr">
        <is>
          <t>Jan</t>
        </is>
      </c>
      <c r="K1298" s="199" t="n">
        <v>2026</v>
      </c>
      <c r="L1298" s="199" t="n">
        <v>2026</v>
      </c>
    </row>
    <row r="1299" ht="15" customHeight="1" s="104">
      <c r="A1299" s="194" t="n">
        <v>46053</v>
      </c>
      <c r="B1299" s="195" t="inlineStr">
        <is>
          <t>Shopify</t>
        </is>
      </c>
      <c r="C1299" s="195" t="inlineStr">
        <is>
          <t>Cost of goods</t>
        </is>
      </c>
      <c r="D1299" s="195" t="inlineStr">
        <is>
          <t>Cost of goods sold</t>
        </is>
      </c>
      <c r="E1299" s="196" t="n">
        <v>-2427.32</v>
      </c>
      <c r="F1299" s="204" t="n">
        <v>-0.02618134061</v>
      </c>
      <c r="H1299" s="196" t="n">
        <v>-2427.32</v>
      </c>
      <c r="J1299" s="200" t="inlineStr">
        <is>
          <t>Jan</t>
        </is>
      </c>
      <c r="K1299" s="199" t="n">
        <v>2026</v>
      </c>
      <c r="L1299" s="199" t="n">
        <v>2026</v>
      </c>
    </row>
    <row r="1300" ht="15" customHeight="1" s="104">
      <c r="A1300" s="194" t="n">
        <v>46053</v>
      </c>
      <c r="B1300" s="195" t="inlineStr">
        <is>
          <t>Shopify</t>
        </is>
      </c>
      <c r="C1300" s="195" t="inlineStr">
        <is>
          <t>Tax</t>
        </is>
      </c>
      <c r="D1300" s="195" t="inlineStr">
        <is>
          <t>New Jersey State Tax</t>
        </is>
      </c>
      <c r="E1300" s="196" t="n">
        <v>-36.98</v>
      </c>
      <c r="F1300" s="204" t="n">
        <v>-0.0003988703491</v>
      </c>
      <c r="H1300" s="196" t="n">
        <v>-36.98</v>
      </c>
      <c r="J1300" s="200" t="inlineStr">
        <is>
          <t>Jan</t>
        </is>
      </c>
      <c r="K1300" s="199" t="n">
        <v>2026</v>
      </c>
      <c r="L1300" s="199" t="n">
        <v>2026</v>
      </c>
    </row>
    <row r="1301" ht="15" customHeight="1" s="104">
      <c r="A1301" s="194" t="n">
        <v>46053</v>
      </c>
      <c r="B1301" s="195" t="inlineStr">
        <is>
          <t>Shopify</t>
        </is>
      </c>
      <c r="C1301" s="195" t="inlineStr">
        <is>
          <t>Tax</t>
        </is>
      </c>
      <c r="D1301" s="195" t="inlineStr">
        <is>
          <t>Galveston City Tax</t>
        </is>
      </c>
      <c r="E1301" s="196" t="n">
        <v>-30.62</v>
      </c>
      <c r="F1301" s="204" t="n">
        <v>-0.0003302706893</v>
      </c>
      <c r="H1301" s="196" t="n">
        <v>-30.62</v>
      </c>
      <c r="J1301" s="200" t="inlineStr">
        <is>
          <t>Jan</t>
        </is>
      </c>
      <c r="K1301" s="199" t="n">
        <v>2026</v>
      </c>
      <c r="L1301" s="199" t="n">
        <v>2026</v>
      </c>
    </row>
    <row r="1302" ht="15" customHeight="1" s="104">
      <c r="A1302" s="194" t="n">
        <v>46053</v>
      </c>
      <c r="B1302" s="195" t="inlineStr">
        <is>
          <t>Shopify</t>
        </is>
      </c>
      <c r="C1302" s="195" t="inlineStr">
        <is>
          <t>Tax</t>
        </is>
      </c>
      <c r="D1302" s="195" t="inlineStr">
        <is>
          <t>Texas State Tax</t>
        </is>
      </c>
      <c r="E1302" s="196" t="n">
        <v>-50.59</v>
      </c>
      <c r="F1302" s="204" t="n">
        <v>-0.0005456693067</v>
      </c>
      <c r="H1302" s="196" t="n">
        <v>-50.59</v>
      </c>
      <c r="J1302" s="200" t="inlineStr">
        <is>
          <t>Jan</t>
        </is>
      </c>
      <c r="K1302" s="199" t="n">
        <v>2026</v>
      </c>
      <c r="L1302" s="199" t="n">
        <v>2026</v>
      </c>
    </row>
    <row r="1303" ht="15" customHeight="1" s="104">
      <c r="A1303" s="194" t="n">
        <v>46053</v>
      </c>
      <c r="B1303" s="195" t="inlineStr">
        <is>
          <t>Shopify</t>
        </is>
      </c>
      <c r="C1303" s="195" t="inlineStr">
        <is>
          <t>Tax</t>
        </is>
      </c>
      <c r="D1303" s="195" t="inlineStr">
        <is>
          <t>Washington State Tax</t>
        </is>
      </c>
      <c r="E1303" s="196" t="n">
        <v>-2.27</v>
      </c>
      <c r="F1303" s="204" t="n">
        <v>-2.448446978e-05</v>
      </c>
      <c r="J1303" s="200" t="inlineStr">
        <is>
          <t>Jan</t>
        </is>
      </c>
      <c r="K1303" s="199" t="n">
        <v>2026</v>
      </c>
      <c r="L1303" s="199" t="n">
        <v>2026</v>
      </c>
    </row>
    <row r="1304" ht="15" customHeight="1" s="104">
      <c r="A1304" s="194" t="n">
        <v>46053</v>
      </c>
      <c r="B1304" s="195" t="inlineStr">
        <is>
          <t>Shopify</t>
        </is>
      </c>
      <c r="C1304" s="195" t="inlineStr">
        <is>
          <t>Tax</t>
        </is>
      </c>
      <c r="D1304" s="195" t="inlineStr">
        <is>
          <t>South Carolina State Tax</t>
        </is>
      </c>
      <c r="E1304" s="196" t="n">
        <v>-1.92</v>
      </c>
      <c r="F1304" s="204" t="n">
        <v>-2.070933127e-05</v>
      </c>
      <c r="J1304" s="200" t="inlineStr">
        <is>
          <t>Jan</t>
        </is>
      </c>
      <c r="K1304" s="199" t="n">
        <v>2026</v>
      </c>
      <c r="L1304" s="199" t="n">
        <v>2026</v>
      </c>
    </row>
    <row r="1305" ht="15" customHeight="1" s="104">
      <c r="A1305" s="194" t="n">
        <v>46053</v>
      </c>
      <c r="B1305" s="195" t="inlineStr">
        <is>
          <t>Shopify</t>
        </is>
      </c>
      <c r="C1305" s="195" t="inlineStr">
        <is>
          <t>Tax</t>
        </is>
      </c>
      <c r="D1305" s="195" t="inlineStr">
        <is>
          <t>Federal Way City Tax</t>
        </is>
      </c>
      <c r="E1305" s="196" t="n">
        <v>-1.33</v>
      </c>
      <c r="F1305" s="204" t="n">
        <v>-1.434552635e-05</v>
      </c>
      <c r="J1305" s="200" t="inlineStr">
        <is>
          <t>Jan</t>
        </is>
      </c>
      <c r="K1305" s="199" t="n">
        <v>2026</v>
      </c>
      <c r="L1305" s="199" t="n">
        <v>2026</v>
      </c>
    </row>
    <row r="1306" ht="15" customHeight="1" s="104">
      <c r="A1306" s="194" t="n">
        <v>46053</v>
      </c>
      <c r="B1306" s="195" t="inlineStr">
        <is>
          <t>Shopify</t>
        </is>
      </c>
      <c r="C1306" s="195" t="inlineStr">
        <is>
          <t>Tax</t>
        </is>
      </c>
      <c r="D1306" s="195" t="inlineStr">
        <is>
          <t>Anderson Co Education Capital Improvement</t>
        </is>
      </c>
      <c r="E1306" s="197" t="n">
        <v>-0.32</v>
      </c>
      <c r="F1306" s="204" t="n">
        <v>-3.451555211e-06</v>
      </c>
      <c r="J1306" s="200" t="inlineStr">
        <is>
          <t>Jan</t>
        </is>
      </c>
      <c r="K1306" s="199" t="n">
        <v>2026</v>
      </c>
      <c r="L1306" s="199" t="n">
        <v>2026</v>
      </c>
    </row>
    <row r="1307" ht="15" customHeight="1" s="104">
      <c r="A1307" s="194" t="n">
        <v>46053</v>
      </c>
      <c r="B1307" s="195" t="inlineStr">
        <is>
          <t>Shopify</t>
        </is>
      </c>
      <c r="C1307" s="195" t="inlineStr">
        <is>
          <t>Tax</t>
        </is>
      </c>
      <c r="D1307" s="195" t="inlineStr">
        <is>
          <t>Refunded Galveston City Tax</t>
        </is>
      </c>
      <c r="E1307" s="196" t="n">
        <v>1.4</v>
      </c>
      <c r="F1307" s="204" t="n">
        <v>1.510055405e-05</v>
      </c>
      <c r="H1307" s="196" t="n">
        <v>1.4</v>
      </c>
      <c r="J1307" s="200" t="inlineStr">
        <is>
          <t>Jan</t>
        </is>
      </c>
      <c r="K1307" s="199" t="n">
        <v>2026</v>
      </c>
      <c r="L1307" s="199" t="n">
        <v>2026</v>
      </c>
    </row>
    <row r="1308" ht="15" customHeight="1" s="104">
      <c r="A1308" s="194" t="n">
        <v>46053</v>
      </c>
      <c r="B1308" s="195" t="inlineStr">
        <is>
          <t>Shopify</t>
        </is>
      </c>
      <c r="C1308" s="195" t="inlineStr">
        <is>
          <t>Tax</t>
        </is>
      </c>
      <c r="D1308" s="195" t="inlineStr">
        <is>
          <t>Refunded Texas State Tax</t>
        </is>
      </c>
      <c r="E1308" s="196" t="n">
        <v>4.37</v>
      </c>
      <c r="F1308" s="204" t="n">
        <v>4.713530086e-05</v>
      </c>
      <c r="H1308" s="196" t="n">
        <v>4.37</v>
      </c>
      <c r="J1308" s="200" t="inlineStr">
        <is>
          <t>Jan</t>
        </is>
      </c>
      <c r="K1308" s="199" t="n">
        <v>2026</v>
      </c>
      <c r="L1308" s="199" t="n">
        <v>2026</v>
      </c>
    </row>
    <row r="1309" ht="15" customHeight="1" s="104">
      <c r="A1309" s="194" t="n">
        <v>46053</v>
      </c>
      <c r="B1309" s="195" t="inlineStr">
        <is>
          <t>Shopify</t>
        </is>
      </c>
      <c r="C1309" s="195" t="inlineStr">
        <is>
          <t>MCF Shipping fees</t>
        </is>
      </c>
      <c r="D1309" s="195" t="inlineStr">
        <is>
          <t>MCF Shipping fees</t>
        </is>
      </c>
      <c r="E1309" s="196" t="n">
        <v>-1772.32</v>
      </c>
      <c r="F1309" s="204" t="n">
        <v>-0.01911643854</v>
      </c>
      <c r="H1309" s="196" t="n">
        <v>-1772.32</v>
      </c>
      <c r="J1309" s="200" t="inlineStr">
        <is>
          <t>Jan</t>
        </is>
      </c>
      <c r="K1309" s="199" t="n">
        <v>2026</v>
      </c>
      <c r="L1309" s="199" t="n">
        <v>2026</v>
      </c>
    </row>
    <row r="1310" ht="15" customHeight="1" s="104">
      <c r="A1310" s="194" t="n">
        <v>46053</v>
      </c>
      <c r="B1310" s="195" t="inlineStr">
        <is>
          <t>Shopify</t>
        </is>
      </c>
      <c r="C1310" s="195" t="inlineStr">
        <is>
          <t>Shipping Cost</t>
        </is>
      </c>
      <c r="D1310" s="195" t="inlineStr">
        <is>
          <t>Shipping Cost</t>
        </is>
      </c>
      <c r="E1310" s="198" t="n">
        <v>0</v>
      </c>
      <c r="F1310" s="201" t="n">
        <v>0</v>
      </c>
      <c r="H1310" s="198" t="n">
        <v>0</v>
      </c>
      <c r="J1310" s="200" t="inlineStr">
        <is>
          <t>Jan</t>
        </is>
      </c>
      <c r="K1310" s="199" t="n">
        <v>2026</v>
      </c>
      <c r="L1310" s="199" t="n">
        <v>2026</v>
      </c>
    </row>
    <row r="1311" ht="15" customHeight="1" s="104">
      <c r="A1311" s="194" t="n">
        <v>46053</v>
      </c>
      <c r="B1311" s="195" t="inlineStr">
        <is>
          <t>Shopify</t>
        </is>
      </c>
      <c r="C1311" s="195" t="inlineStr">
        <is>
          <t>Advertising cost</t>
        </is>
      </c>
      <c r="D1311" s="195" t="inlineStr">
        <is>
          <t>Advertising Cost</t>
        </is>
      </c>
      <c r="E1311" s="196" t="n">
        <v>-3277.24</v>
      </c>
      <c r="F1311" s="204" t="n">
        <v>-0.03534867125</v>
      </c>
      <c r="H1311" s="196" t="n">
        <v>-3277.24</v>
      </c>
      <c r="J1311" s="200" t="inlineStr">
        <is>
          <t>Jan</t>
        </is>
      </c>
      <c r="K1311" s="199" t="n">
        <v>2026</v>
      </c>
      <c r="L1311" s="199" t="n">
        <v>2026</v>
      </c>
    </row>
    <row r="1312" ht="15" customHeight="1" s="104">
      <c r="A1312" s="194" t="n">
        <v>46053</v>
      </c>
      <c r="B1312" s="195" t="inlineStr">
        <is>
          <t>Tiktok</t>
        </is>
      </c>
      <c r="C1312" s="195" t="inlineStr">
        <is>
          <t>Tiktok Shipping</t>
        </is>
      </c>
      <c r="D1312" s="195" t="inlineStr">
        <is>
          <t>TikTok Shop shipping fee</t>
        </is>
      </c>
      <c r="E1312" s="198" t="n">
        <v>0</v>
      </c>
      <c r="F1312" s="201" t="n">
        <v>0</v>
      </c>
      <c r="H1312" s="198" t="n">
        <v>0</v>
      </c>
      <c r="J1312" s="200" t="inlineStr">
        <is>
          <t>Jan</t>
        </is>
      </c>
      <c r="K1312" s="199" t="n">
        <v>2026</v>
      </c>
      <c r="L1312" s="199" t="n">
        <v>2026</v>
      </c>
    </row>
    <row r="1313" ht="15" customHeight="1" s="104">
      <c r="A1313" s="194" t="n">
        <v>46053</v>
      </c>
      <c r="B1313" s="195" t="inlineStr">
        <is>
          <t>Tiktok</t>
        </is>
      </c>
      <c r="C1313" s="195" t="inlineStr">
        <is>
          <t>Tiktok Shipping</t>
        </is>
      </c>
      <c r="D1313" s="195" t="inlineStr">
        <is>
          <t>Fulfilled by TikTok Shop (FBT) shipping fee</t>
        </is>
      </c>
      <c r="E1313" s="198" t="n">
        <v>0</v>
      </c>
      <c r="F1313" s="201" t="n">
        <v>0</v>
      </c>
      <c r="H1313" s="198" t="n">
        <v>0</v>
      </c>
      <c r="J1313" s="200" t="inlineStr">
        <is>
          <t>Jan</t>
        </is>
      </c>
      <c r="K1313" s="199" t="n">
        <v>2026</v>
      </c>
      <c r="L1313" s="199" t="n">
        <v>2026</v>
      </c>
    </row>
    <row r="1314" ht="15" customHeight="1" s="104">
      <c r="A1314" s="194" t="n">
        <v>46053</v>
      </c>
      <c r="B1314" s="195" t="inlineStr">
        <is>
          <t>Tiktok</t>
        </is>
      </c>
      <c r="C1314" s="195" t="inlineStr">
        <is>
          <t>Tiktok Shipping</t>
        </is>
      </c>
      <c r="D1314" s="195" t="inlineStr">
        <is>
          <t>Signature confirmation service fee</t>
        </is>
      </c>
      <c r="E1314" s="198" t="n">
        <v>0</v>
      </c>
      <c r="F1314" s="201" t="n">
        <v>0</v>
      </c>
      <c r="H1314" s="198" t="n">
        <v>0</v>
      </c>
      <c r="J1314" s="200" t="inlineStr">
        <is>
          <t>Jan</t>
        </is>
      </c>
      <c r="K1314" s="199" t="n">
        <v>2026</v>
      </c>
      <c r="L1314" s="199" t="n">
        <v>2026</v>
      </c>
    </row>
    <row r="1315" ht="15" customHeight="1" s="104">
      <c r="A1315" s="194" t="n">
        <v>46053</v>
      </c>
      <c r="B1315" s="195" t="inlineStr">
        <is>
          <t>Tiktok</t>
        </is>
      </c>
      <c r="C1315" s="195" t="inlineStr">
        <is>
          <t>Tiktok Shipping</t>
        </is>
      </c>
      <c r="D1315" s="195" t="inlineStr">
        <is>
          <t>Shipping insurance fee</t>
        </is>
      </c>
      <c r="E1315" s="198" t="n">
        <v>0</v>
      </c>
      <c r="F1315" s="201" t="n">
        <v>0</v>
      </c>
      <c r="H1315" s="198" t="n">
        <v>0</v>
      </c>
      <c r="J1315" s="200" t="inlineStr">
        <is>
          <t>Jan</t>
        </is>
      </c>
      <c r="K1315" s="199" t="n">
        <v>2026</v>
      </c>
      <c r="L1315" s="199" t="n">
        <v>2026</v>
      </c>
    </row>
    <row r="1316" ht="15" customHeight="1" s="104">
      <c r="A1316" s="194" t="n">
        <v>46053</v>
      </c>
      <c r="B1316" s="195" t="inlineStr">
        <is>
          <t>Tiktok</t>
        </is>
      </c>
      <c r="C1316" s="195" t="inlineStr">
        <is>
          <t>Tiktok Shipping</t>
        </is>
      </c>
      <c r="D1316" s="195" t="inlineStr">
        <is>
          <t>Customer-paid shipping fee</t>
        </is>
      </c>
      <c r="E1316" s="198" t="n">
        <v>0</v>
      </c>
      <c r="F1316" s="201" t="n">
        <v>0</v>
      </c>
      <c r="H1316" s="198" t="n">
        <v>0</v>
      </c>
      <c r="J1316" s="200" t="inlineStr">
        <is>
          <t>Jan</t>
        </is>
      </c>
      <c r="K1316" s="199" t="n">
        <v>2026</v>
      </c>
      <c r="L1316" s="199" t="n">
        <v>2026</v>
      </c>
    </row>
    <row r="1317" ht="15" customHeight="1" s="104">
      <c r="A1317" s="194" t="n">
        <v>46053</v>
      </c>
      <c r="B1317" s="195" t="inlineStr">
        <is>
          <t>Tiktok</t>
        </is>
      </c>
      <c r="C1317" s="195" t="inlineStr">
        <is>
          <t>Tiktok Shipping</t>
        </is>
      </c>
      <c r="D1317" s="195" t="inlineStr">
        <is>
          <t>Customer-paid shipping fee refund</t>
        </is>
      </c>
      <c r="E1317" s="198" t="n">
        <v>0</v>
      </c>
      <c r="F1317" s="201" t="n">
        <v>0</v>
      </c>
      <c r="H1317" s="198" t="n">
        <v>0</v>
      </c>
      <c r="J1317" s="200" t="inlineStr">
        <is>
          <t>Jan</t>
        </is>
      </c>
      <c r="K1317" s="199" t="n">
        <v>2026</v>
      </c>
      <c r="L1317" s="199" t="n">
        <v>2026</v>
      </c>
    </row>
    <row r="1318" ht="15" customHeight="1" s="104">
      <c r="A1318" s="194" t="n">
        <v>46053</v>
      </c>
      <c r="B1318" s="195" t="inlineStr">
        <is>
          <t>Tiktok</t>
        </is>
      </c>
      <c r="C1318" s="195" t="inlineStr">
        <is>
          <t>Tiktok Shipping</t>
        </is>
      </c>
      <c r="D1318" s="195" t="inlineStr">
        <is>
          <t>TikTok Shop shipping incentive</t>
        </is>
      </c>
      <c r="E1318" s="198" t="n">
        <v>0</v>
      </c>
      <c r="F1318" s="201" t="n">
        <v>0</v>
      </c>
      <c r="H1318" s="198" t="n">
        <v>0</v>
      </c>
      <c r="J1318" s="200" t="inlineStr">
        <is>
          <t>Jan</t>
        </is>
      </c>
      <c r="K1318" s="199" t="n">
        <v>2026</v>
      </c>
      <c r="L1318" s="199" t="n">
        <v>2026</v>
      </c>
    </row>
    <row r="1319" ht="15" customHeight="1" s="104">
      <c r="A1319" s="194" t="n">
        <v>46053</v>
      </c>
      <c r="B1319" s="195" t="inlineStr">
        <is>
          <t>Tiktok</t>
        </is>
      </c>
      <c r="C1319" s="195" t="inlineStr">
        <is>
          <t>Tiktok Shipping</t>
        </is>
      </c>
      <c r="D1319" s="195" t="inlineStr">
        <is>
          <t>TikTok Shop shipping incentive refund</t>
        </is>
      </c>
      <c r="E1319" s="198" t="n">
        <v>0</v>
      </c>
      <c r="F1319" s="201" t="n">
        <v>0</v>
      </c>
      <c r="H1319" s="198" t="n">
        <v>0</v>
      </c>
      <c r="J1319" s="200" t="inlineStr">
        <is>
          <t>Jan</t>
        </is>
      </c>
      <c r="K1319" s="199" t="n">
        <v>2026</v>
      </c>
      <c r="L1319" s="199" t="n">
        <v>2026</v>
      </c>
    </row>
    <row r="1320" ht="15" customHeight="1" s="104">
      <c r="A1320" s="194" t="n">
        <v>46053</v>
      </c>
      <c r="B1320" s="195" t="inlineStr">
        <is>
          <t>Tiktok</t>
        </is>
      </c>
      <c r="C1320" s="195" t="inlineStr">
        <is>
          <t>Tiktok Shipping</t>
        </is>
      </c>
      <c r="D1320" s="195" t="inlineStr">
        <is>
          <t>Shipping fee subsidy</t>
        </is>
      </c>
      <c r="E1320" s="198" t="n">
        <v>0</v>
      </c>
      <c r="F1320" s="201" t="n">
        <v>0</v>
      </c>
      <c r="H1320" s="198" t="n">
        <v>0</v>
      </c>
      <c r="J1320" s="200" t="inlineStr">
        <is>
          <t>Jan</t>
        </is>
      </c>
      <c r="K1320" s="199" t="n">
        <v>2026</v>
      </c>
      <c r="L1320" s="199" t="n">
        <v>2026</v>
      </c>
    </row>
    <row r="1321" ht="15" customHeight="1" s="104">
      <c r="A1321" s="194" t="n">
        <v>46053</v>
      </c>
      <c r="B1321" s="195" t="inlineStr">
        <is>
          <t>Tiktok</t>
        </is>
      </c>
      <c r="C1321" s="195" t="inlineStr">
        <is>
          <t>Tiktok Shipping</t>
        </is>
      </c>
      <c r="D1321" s="195" t="inlineStr">
        <is>
          <t>Return shipping fee</t>
        </is>
      </c>
      <c r="E1321" s="196" t="n">
        <v>-31.57</v>
      </c>
      <c r="F1321" s="204" t="n">
        <v>-0.003263001879</v>
      </c>
      <c r="H1321" s="196" t="n">
        <v>-31.57</v>
      </c>
      <c r="J1321" s="200" t="inlineStr">
        <is>
          <t>Jan</t>
        </is>
      </c>
      <c r="K1321" s="199" t="n">
        <v>2026</v>
      </c>
      <c r="L1321" s="199" t="n">
        <v>2026</v>
      </c>
    </row>
    <row r="1322" ht="15" customHeight="1" s="104">
      <c r="A1322" s="194" t="n">
        <v>46053</v>
      </c>
      <c r="B1322" s="195" t="inlineStr">
        <is>
          <t>Tiktok</t>
        </is>
      </c>
      <c r="C1322" s="195" t="inlineStr">
        <is>
          <t>Tiktok Shipping</t>
        </is>
      </c>
      <c r="D1322" s="195" t="inlineStr">
        <is>
          <t>FBT fulfillment fee</t>
        </is>
      </c>
      <c r="E1322" s="198" t="n">
        <v>0</v>
      </c>
      <c r="F1322" s="201" t="n">
        <v>0</v>
      </c>
      <c r="H1322" s="198" t="n">
        <v>0</v>
      </c>
      <c r="J1322" s="200" t="inlineStr">
        <is>
          <t>Jan</t>
        </is>
      </c>
      <c r="K1322" s="199" t="n">
        <v>2026</v>
      </c>
      <c r="L1322" s="199" t="n">
        <v>2026</v>
      </c>
    </row>
    <row r="1323" ht="15" customHeight="1" s="104">
      <c r="A1323" s="194" t="n">
        <v>46053</v>
      </c>
      <c r="B1323" s="195" t="inlineStr">
        <is>
          <t>Tiktok</t>
        </is>
      </c>
      <c r="C1323" s="195" t="inlineStr">
        <is>
          <t>Tiktok Shipping</t>
        </is>
      </c>
      <c r="D1323" s="195" t="inlineStr">
        <is>
          <t>Customer shipping fee offset</t>
        </is>
      </c>
      <c r="E1323" s="198" t="n">
        <v>0</v>
      </c>
      <c r="F1323" s="201" t="n">
        <v>0</v>
      </c>
      <c r="H1323" s="198" t="n">
        <v>0</v>
      </c>
      <c r="J1323" s="200" t="inlineStr">
        <is>
          <t>Jan</t>
        </is>
      </c>
      <c r="K1323" s="199" t="n">
        <v>2026</v>
      </c>
      <c r="L1323" s="199" t="n">
        <v>2026</v>
      </c>
    </row>
    <row r="1324" ht="15" customHeight="1" s="104">
      <c r="A1324" s="194" t="n">
        <v>46053</v>
      </c>
      <c r="B1324" s="195" t="inlineStr">
        <is>
          <t>Tiktok</t>
        </is>
      </c>
      <c r="C1324" s="195" t="inlineStr">
        <is>
          <t>Tiktok Shipping</t>
        </is>
      </c>
      <c r="D1324" s="195" t="inlineStr">
        <is>
          <t>Co-funded free shipping reimbursement</t>
        </is>
      </c>
      <c r="E1324" s="198" t="n">
        <v>0</v>
      </c>
      <c r="F1324" s="201" t="n">
        <v>0</v>
      </c>
      <c r="H1324" s="198" t="n">
        <v>0</v>
      </c>
      <c r="J1324" s="200" t="inlineStr">
        <is>
          <t>Jan</t>
        </is>
      </c>
      <c r="K1324" s="199" t="n">
        <v>2026</v>
      </c>
      <c r="L1324" s="199" t="n">
        <v>2026</v>
      </c>
    </row>
    <row r="1325" ht="15" customHeight="1" s="104">
      <c r="A1325" s="194" t="n">
        <v>46053</v>
      </c>
      <c r="B1325" s="195" t="inlineStr">
        <is>
          <t>Tiktok</t>
        </is>
      </c>
      <c r="C1325" s="195" t="inlineStr">
        <is>
          <t>Tiktok Shipping</t>
        </is>
      </c>
      <c r="D1325" s="195" t="inlineStr">
        <is>
          <t>Return shipping fee reimbursement</t>
        </is>
      </c>
      <c r="E1325" s="196" t="n">
        <v>-2172.79</v>
      </c>
      <c r="F1325" s="204" t="n">
        <v>-0.2245745281</v>
      </c>
      <c r="H1325" s="196" t="n">
        <v>-2172.79</v>
      </c>
      <c r="J1325" s="200" t="inlineStr">
        <is>
          <t>Jan</t>
        </is>
      </c>
      <c r="K1325" s="199" t="n">
        <v>2026</v>
      </c>
      <c r="L1325" s="199" t="n">
        <v>2026</v>
      </c>
    </row>
    <row r="1326" ht="15" customHeight="1" s="104">
      <c r="A1326" s="194" t="n">
        <v>46053</v>
      </c>
      <c r="B1326" s="195" t="inlineStr">
        <is>
          <t>Tiktok</t>
        </is>
      </c>
      <c r="C1326" s="195" t="inlineStr">
        <is>
          <t>MCF Shipping fees</t>
        </is>
      </c>
      <c r="D1326" s="195" t="inlineStr">
        <is>
          <t>MCF Shipping fees</t>
        </is>
      </c>
      <c r="E1326" s="196" t="n">
        <v>-360.09</v>
      </c>
      <c r="F1326" s="204" t="n">
        <v>-0.0372180661</v>
      </c>
      <c r="H1326" s="196" t="n">
        <v>-360.09</v>
      </c>
      <c r="J1326" s="200" t="inlineStr">
        <is>
          <t>Jan</t>
        </is>
      </c>
      <c r="K1326" s="199" t="n">
        <v>2026</v>
      </c>
      <c r="L1326" s="199" t="n">
        <v>2026</v>
      </c>
    </row>
    <row r="1327" ht="15" customHeight="1" s="104">
      <c r="A1327" s="194" t="n">
        <v>46053</v>
      </c>
      <c r="B1327" s="195" t="inlineStr">
        <is>
          <t>Tiktok</t>
        </is>
      </c>
      <c r="C1327" s="195" t="inlineStr">
        <is>
          <t>Fees</t>
        </is>
      </c>
      <c r="D1327" s="195" t="inlineStr">
        <is>
          <t>Transaction fee</t>
        </is>
      </c>
      <c r="E1327" s="198" t="n">
        <v>0</v>
      </c>
      <c r="F1327" s="201" t="n">
        <v>0</v>
      </c>
      <c r="H1327" s="198" t="n">
        <v>0</v>
      </c>
      <c r="J1327" s="200" t="inlineStr">
        <is>
          <t>Jan</t>
        </is>
      </c>
      <c r="K1327" s="199" t="n">
        <v>2026</v>
      </c>
      <c r="L1327" s="199" t="n">
        <v>2026</v>
      </c>
    </row>
    <row r="1328" ht="15" customHeight="1" s="104">
      <c r="A1328" s="194" t="n">
        <v>46053</v>
      </c>
      <c r="B1328" s="195" t="inlineStr">
        <is>
          <t>Tiktok</t>
        </is>
      </c>
      <c r="C1328" s="195" t="inlineStr">
        <is>
          <t>Fees</t>
        </is>
      </c>
      <c r="D1328" s="195" t="inlineStr">
        <is>
          <t>Referral fee</t>
        </is>
      </c>
      <c r="E1328" s="196" t="n">
        <v>-580.74</v>
      </c>
      <c r="F1328" s="204" t="n">
        <v>-0.06002393764</v>
      </c>
      <c r="H1328" s="196" t="n">
        <v>-580.74</v>
      </c>
      <c r="J1328" s="200" t="inlineStr">
        <is>
          <t>Jan</t>
        </is>
      </c>
      <c r="K1328" s="199" t="n">
        <v>2026</v>
      </c>
      <c r="L1328" s="199" t="n">
        <v>2026</v>
      </c>
    </row>
    <row r="1329" ht="15" customHeight="1" s="104">
      <c r="A1329" s="194" t="n">
        <v>46053</v>
      </c>
      <c r="B1329" s="195" t="inlineStr">
        <is>
          <t>Tiktok</t>
        </is>
      </c>
      <c r="C1329" s="195" t="inlineStr">
        <is>
          <t>Fees</t>
        </is>
      </c>
      <c r="D1329" s="195" t="inlineStr">
        <is>
          <t>Refund administration fee</t>
        </is>
      </c>
      <c r="E1329" s="196" t="n">
        <v>-2.92</v>
      </c>
      <c r="F1329" s="204" t="n">
        <v>-0.0003018044183</v>
      </c>
      <c r="H1329" s="196" t="n">
        <v>-2.92</v>
      </c>
      <c r="J1329" s="200" t="inlineStr">
        <is>
          <t>Jan</t>
        </is>
      </c>
      <c r="K1329" s="199" t="n">
        <v>2026</v>
      </c>
      <c r="L1329" s="199" t="n">
        <v>2026</v>
      </c>
    </row>
    <row r="1330" ht="15" customHeight="1" s="104">
      <c r="A1330" s="194" t="n">
        <v>46053</v>
      </c>
      <c r="B1330" s="195" t="inlineStr">
        <is>
          <t>Tiktok</t>
        </is>
      </c>
      <c r="C1330" s="195" t="inlineStr">
        <is>
          <t>Fees</t>
        </is>
      </c>
      <c r="D1330" s="195" t="inlineStr">
        <is>
          <t>Affiliate commission</t>
        </is>
      </c>
      <c r="E1330" s="196" t="n">
        <v>-414.15</v>
      </c>
      <c r="F1330" s="204" t="n">
        <v>-0.04280558214</v>
      </c>
      <c r="H1330" s="196" t="n">
        <v>-414.15</v>
      </c>
      <c r="J1330" s="200" t="inlineStr">
        <is>
          <t>Jan</t>
        </is>
      </c>
      <c r="K1330" s="199" t="n">
        <v>2026</v>
      </c>
      <c r="L1330" s="199" t="n">
        <v>2026</v>
      </c>
    </row>
    <row r="1331" ht="15" customHeight="1" s="104">
      <c r="A1331" s="194" t="n">
        <v>46053</v>
      </c>
      <c r="B1331" s="195" t="inlineStr">
        <is>
          <t>Tiktok</t>
        </is>
      </c>
      <c r="C1331" s="195" t="inlineStr">
        <is>
          <t>Fees</t>
        </is>
      </c>
      <c r="D1331" s="195" t="inlineStr">
        <is>
          <t>Affiliate partner commission</t>
        </is>
      </c>
      <c r="E1331" s="198" t="n">
        <v>0</v>
      </c>
      <c r="F1331" s="201" t="n">
        <v>0</v>
      </c>
      <c r="H1331" s="198" t="n">
        <v>0</v>
      </c>
      <c r="J1331" s="200" t="inlineStr">
        <is>
          <t>Jan</t>
        </is>
      </c>
      <c r="K1331" s="199" t="n">
        <v>2026</v>
      </c>
      <c r="L1331" s="199" t="n">
        <v>2026</v>
      </c>
    </row>
    <row r="1332" ht="15" customHeight="1" s="104">
      <c r="A1332" s="194" t="n">
        <v>46053</v>
      </c>
      <c r="B1332" s="195" t="inlineStr">
        <is>
          <t>Tiktok</t>
        </is>
      </c>
      <c r="C1332" s="195" t="inlineStr">
        <is>
          <t>Fees</t>
        </is>
      </c>
      <c r="D1332" s="195" t="inlineStr">
        <is>
          <t>Affiliate Shop Ads commission</t>
        </is>
      </c>
      <c r="E1332" s="196" t="n">
        <v>-46.29</v>
      </c>
      <c r="F1332" s="204" t="n">
        <v>-0.004784426892</v>
      </c>
      <c r="H1332" s="196" t="n">
        <v>-46.29</v>
      </c>
      <c r="J1332" s="200" t="inlineStr">
        <is>
          <t>Jan</t>
        </is>
      </c>
      <c r="K1332" s="199" t="n">
        <v>2026</v>
      </c>
      <c r="L1332" s="199" t="n">
        <v>2026</v>
      </c>
    </row>
    <row r="1333" ht="15" customHeight="1" s="104">
      <c r="A1333" s="194" t="n">
        <v>46053</v>
      </c>
      <c r="B1333" s="195" t="inlineStr">
        <is>
          <t>Tiktok</t>
        </is>
      </c>
      <c r="C1333" s="195" t="inlineStr">
        <is>
          <t>Fees</t>
        </is>
      </c>
      <c r="D1333" s="195" t="inlineStr">
        <is>
          <t>Co-funded promotion service fee</t>
        </is>
      </c>
      <c r="E1333" s="198" t="n">
        <v>0</v>
      </c>
      <c r="F1333" s="201" t="n">
        <v>0</v>
      </c>
      <c r="H1333" s="198" t="n">
        <v>0</v>
      </c>
      <c r="J1333" s="200" t="inlineStr">
        <is>
          <t>Jan</t>
        </is>
      </c>
      <c r="K1333" s="199" t="n">
        <v>2026</v>
      </c>
      <c r="L1333" s="199" t="n">
        <v>2026</v>
      </c>
    </row>
    <row r="1334" ht="15" customHeight="1" s="104">
      <c r="A1334" s="194" t="n">
        <v>46053</v>
      </c>
      <c r="B1334" s="195" t="inlineStr">
        <is>
          <t>Tiktok</t>
        </is>
      </c>
      <c r="C1334" s="195" t="inlineStr">
        <is>
          <t>Fees</t>
        </is>
      </c>
      <c r="D1334" s="195" t="inlineStr">
        <is>
          <t>Sales tax on referral fees</t>
        </is>
      </c>
      <c r="E1334" s="196" t="n">
        <v>-48.33</v>
      </c>
      <c r="F1334" s="204" t="n">
        <v>-0.004995276554</v>
      </c>
      <c r="H1334" s="196" t="n">
        <v>-48.33</v>
      </c>
      <c r="J1334" s="200" t="inlineStr">
        <is>
          <t>Jan</t>
        </is>
      </c>
      <c r="K1334" s="199" t="n">
        <v>2026</v>
      </c>
      <c r="L1334" s="199" t="n">
        <v>2026</v>
      </c>
    </row>
    <row r="1335" ht="15" customHeight="1" s="104">
      <c r="A1335" s="194" t="n">
        <v>46053</v>
      </c>
      <c r="B1335" s="195" t="inlineStr">
        <is>
          <t>Tiktok</t>
        </is>
      </c>
      <c r="C1335" s="195" t="inlineStr">
        <is>
          <t xml:space="preserve">Adjustments
</t>
        </is>
      </c>
      <c r="D1335" s="195" t="inlineStr">
        <is>
          <t>Logistics adjustment</t>
        </is>
      </c>
      <c r="E1335" s="198" t="n">
        <v>0</v>
      </c>
      <c r="F1335" s="201" t="n">
        <v>0</v>
      </c>
      <c r="H1335" s="198" t="n">
        <v>0</v>
      </c>
      <c r="J1335" s="200" t="inlineStr">
        <is>
          <t>Jan</t>
        </is>
      </c>
      <c r="K1335" s="199" t="n">
        <v>2026</v>
      </c>
      <c r="L1335" s="199" t="n">
        <v>2026</v>
      </c>
    </row>
    <row r="1336" ht="15" customHeight="1" s="104">
      <c r="A1336" s="194" t="n">
        <v>46053</v>
      </c>
      <c r="B1336" s="195" t="inlineStr">
        <is>
          <t>Tiktok</t>
        </is>
      </c>
      <c r="C1336" s="195" t="inlineStr">
        <is>
          <t xml:space="preserve">Adjustments
</t>
        </is>
      </c>
      <c r="D1336" s="195" t="inlineStr">
        <is>
          <t>Logistics reimbursement</t>
        </is>
      </c>
      <c r="E1336" s="198" t="n">
        <v>0</v>
      </c>
      <c r="F1336" s="201" t="n">
        <v>0</v>
      </c>
      <c r="H1336" s="198" t="n">
        <v>0</v>
      </c>
      <c r="J1336" s="200" t="inlineStr">
        <is>
          <t>Jan</t>
        </is>
      </c>
      <c r="K1336" s="199" t="n">
        <v>2026</v>
      </c>
      <c r="L1336" s="199" t="n">
        <v>2026</v>
      </c>
    </row>
    <row r="1337" ht="15" customHeight="1" s="104">
      <c r="A1337" s="194" t="n">
        <v>46053</v>
      </c>
      <c r="B1337" s="195" t="inlineStr">
        <is>
          <t>Tiktok</t>
        </is>
      </c>
      <c r="C1337" s="195" t="inlineStr">
        <is>
          <t xml:space="preserve">Adjustments
</t>
        </is>
      </c>
      <c r="D1337" s="195" t="inlineStr">
        <is>
          <t>Logistics deduction</t>
        </is>
      </c>
      <c r="E1337" s="198" t="n">
        <v>0</v>
      </c>
      <c r="F1337" s="201" t="n">
        <v>0</v>
      </c>
      <c r="H1337" s="198" t="n">
        <v>0</v>
      </c>
      <c r="J1337" s="200" t="inlineStr">
        <is>
          <t>Jan</t>
        </is>
      </c>
      <c r="K1337" s="199" t="n">
        <v>2026</v>
      </c>
      <c r="L1337" s="199" t="n">
        <v>2026</v>
      </c>
    </row>
    <row r="1338" ht="15" customHeight="1" s="104">
      <c r="A1338" s="194" t="n">
        <v>46053</v>
      </c>
      <c r="B1338" s="195" t="inlineStr">
        <is>
          <t>Tiktok</t>
        </is>
      </c>
      <c r="C1338" s="195" t="inlineStr">
        <is>
          <t xml:space="preserve">Adjustments
</t>
        </is>
      </c>
      <c r="D1338" s="195" t="inlineStr">
        <is>
          <t>TikTok Shop reimbursement</t>
        </is>
      </c>
      <c r="E1338" s="198" t="n">
        <v>0</v>
      </c>
      <c r="F1338" s="201" t="n">
        <v>0</v>
      </c>
      <c r="H1338" s="198" t="n">
        <v>0</v>
      </c>
      <c r="J1338" s="200" t="inlineStr">
        <is>
          <t>Jan</t>
        </is>
      </c>
      <c r="K1338" s="199" t="n">
        <v>2026</v>
      </c>
      <c r="L1338" s="199" t="n">
        <v>2026</v>
      </c>
    </row>
    <row r="1339" ht="15" customHeight="1" s="104">
      <c r="A1339" s="194" t="n">
        <v>46053</v>
      </c>
      <c r="B1339" s="195" t="inlineStr">
        <is>
          <t>Tiktok</t>
        </is>
      </c>
      <c r="C1339" s="195" t="inlineStr">
        <is>
          <t xml:space="preserve">Adjustments
</t>
        </is>
      </c>
      <c r="D1339" s="195" t="inlineStr">
        <is>
          <t>Policy violation deduction</t>
        </is>
      </c>
      <c r="E1339" s="198" t="n">
        <v>0</v>
      </c>
      <c r="F1339" s="201" t="n">
        <v>0</v>
      </c>
      <c r="H1339" s="198" t="n">
        <v>0</v>
      </c>
      <c r="J1339" s="200" t="inlineStr">
        <is>
          <t>Jan</t>
        </is>
      </c>
      <c r="K1339" s="199" t="n">
        <v>2026</v>
      </c>
      <c r="L1339" s="199" t="n">
        <v>2026</v>
      </c>
    </row>
    <row r="1340" ht="15" customHeight="1" s="104">
      <c r="A1340" s="194" t="n">
        <v>46053</v>
      </c>
      <c r="B1340" s="195" t="inlineStr">
        <is>
          <t>Tiktok</t>
        </is>
      </c>
      <c r="C1340" s="195" t="inlineStr">
        <is>
          <t xml:space="preserve">Adjustments
</t>
        </is>
      </c>
      <c r="D1340" s="195" t="inlineStr">
        <is>
          <t>TikTok fees adjustment</t>
        </is>
      </c>
      <c r="E1340" s="198" t="n">
        <v>0</v>
      </c>
      <c r="F1340" s="201" t="n">
        <v>0</v>
      </c>
      <c r="H1340" s="198" t="n">
        <v>0</v>
      </c>
      <c r="J1340" s="200" t="inlineStr">
        <is>
          <t>Jan</t>
        </is>
      </c>
      <c r="K1340" s="199" t="n">
        <v>2026</v>
      </c>
      <c r="L1340" s="199" t="n">
        <v>2026</v>
      </c>
    </row>
    <row r="1341" ht="15" customHeight="1" s="104">
      <c r="A1341" s="194" t="n">
        <v>46053</v>
      </c>
      <c r="B1341" s="195" t="inlineStr">
        <is>
          <t>Tiktok</t>
        </is>
      </c>
      <c r="C1341" s="195" t="inlineStr">
        <is>
          <t xml:space="preserve">Adjustments
</t>
        </is>
      </c>
      <c r="D1341" s="195" t="inlineStr">
        <is>
          <t>Promotion adjustment</t>
        </is>
      </c>
      <c r="E1341" s="198" t="n">
        <v>0</v>
      </c>
      <c r="F1341" s="201" t="n">
        <v>0</v>
      </c>
      <c r="H1341" s="198" t="n">
        <v>0</v>
      </c>
      <c r="J1341" s="200" t="inlineStr">
        <is>
          <t>Jan</t>
        </is>
      </c>
      <c r="K1341" s="199" t="n">
        <v>2026</v>
      </c>
      <c r="L1341" s="199" t="n">
        <v>2026</v>
      </c>
    </row>
    <row r="1342" ht="15" customHeight="1" s="104">
      <c r="A1342" s="194" t="n">
        <v>46053</v>
      </c>
      <c r="B1342" s="195" t="inlineStr">
        <is>
          <t>Tiktok</t>
        </is>
      </c>
      <c r="C1342" s="195" t="inlineStr">
        <is>
          <t xml:space="preserve">Adjustments
</t>
        </is>
      </c>
      <c r="D1342" s="195" t="inlineStr">
        <is>
          <t>Adjustment from settlement account</t>
        </is>
      </c>
      <c r="E1342" s="198" t="n">
        <v>0</v>
      </c>
      <c r="F1342" s="201" t="n">
        <v>0</v>
      </c>
      <c r="H1342" s="198" t="n">
        <v>0</v>
      </c>
      <c r="J1342" s="200" t="inlineStr">
        <is>
          <t>Jan</t>
        </is>
      </c>
      <c r="K1342" s="199" t="n">
        <v>2026</v>
      </c>
      <c r="L1342" s="199" t="n">
        <v>2026</v>
      </c>
    </row>
    <row r="1343" ht="15" customHeight="1" s="104">
      <c r="A1343" s="194" t="n">
        <v>46053</v>
      </c>
      <c r="B1343" s="195" t="inlineStr">
        <is>
          <t>Tiktok</t>
        </is>
      </c>
      <c r="C1343" s="195" t="inlineStr">
        <is>
          <t xml:space="preserve">Adjustments
</t>
        </is>
      </c>
      <c r="D1343" s="195" t="inlineStr">
        <is>
          <t>Chargeback</t>
        </is>
      </c>
      <c r="E1343" s="198" t="n">
        <v>0</v>
      </c>
      <c r="F1343" s="201" t="n">
        <v>0</v>
      </c>
      <c r="H1343" s="198" t="n">
        <v>0</v>
      </c>
      <c r="J1343" s="200" t="inlineStr">
        <is>
          <t>Jan</t>
        </is>
      </c>
      <c r="K1343" s="199" t="n">
        <v>2026</v>
      </c>
      <c r="L1343" s="199" t="n">
        <v>2026</v>
      </c>
    </row>
    <row r="1344" ht="15" customHeight="1" s="104">
      <c r="A1344" s="194" t="n">
        <v>46053</v>
      </c>
      <c r="B1344" s="195" t="inlineStr">
        <is>
          <t>Tiktok</t>
        </is>
      </c>
      <c r="C1344" s="195" t="inlineStr">
        <is>
          <t xml:space="preserve">Adjustments
</t>
        </is>
      </c>
      <c r="D1344" s="195" t="inlineStr">
        <is>
          <t>Other adjustment</t>
        </is>
      </c>
      <c r="E1344" s="198" t="n">
        <v>0</v>
      </c>
      <c r="F1344" s="201" t="n">
        <v>0</v>
      </c>
      <c r="H1344" s="198" t="n">
        <v>0</v>
      </c>
      <c r="J1344" s="200" t="inlineStr">
        <is>
          <t>Jan</t>
        </is>
      </c>
      <c r="K1344" s="199" t="n">
        <v>2026</v>
      </c>
      <c r="L1344" s="199" t="n">
        <v>2026</v>
      </c>
    </row>
    <row r="1345" ht="15" customHeight="1" s="104">
      <c r="A1345" s="194" t="n">
        <v>46053</v>
      </c>
      <c r="B1345" s="195" t="inlineStr">
        <is>
          <t>Tiktok</t>
        </is>
      </c>
      <c r="C1345" s="195" t="inlineStr">
        <is>
          <t xml:space="preserve">Adjustments
</t>
        </is>
      </c>
      <c r="D1345" s="195" t="inlineStr">
        <is>
          <t>Top up ads balance using GMV payments</t>
        </is>
      </c>
      <c r="E1345" s="198" t="n">
        <v>0</v>
      </c>
      <c r="F1345" s="201" t="n">
        <v>0</v>
      </c>
      <c r="H1345" s="198" t="n">
        <v>0</v>
      </c>
      <c r="J1345" s="200" t="inlineStr">
        <is>
          <t>Jan</t>
        </is>
      </c>
      <c r="K1345" s="199" t="n">
        <v>2026</v>
      </c>
      <c r="L1345" s="199" t="n">
        <v>2026</v>
      </c>
    </row>
    <row r="1346" ht="15" customHeight="1" s="104">
      <c r="A1346" s="194" t="n">
        <v>46053</v>
      </c>
      <c r="B1346" s="195" t="inlineStr">
        <is>
          <t>Tiktok</t>
        </is>
      </c>
      <c r="C1346" s="195" t="inlineStr">
        <is>
          <t xml:space="preserve">Adjustments
</t>
        </is>
      </c>
      <c r="D1346" s="195" t="inlineStr">
        <is>
          <t>FBT warehouse service fee</t>
        </is>
      </c>
      <c r="E1346" s="196" t="n">
        <v>-3.52</v>
      </c>
      <c r="F1346" s="204" t="n">
        <v>-0.0003638190248</v>
      </c>
      <c r="H1346" s="196" t="n">
        <v>-3.52</v>
      </c>
      <c r="J1346" s="200" t="inlineStr">
        <is>
          <t>Jan</t>
        </is>
      </c>
      <c r="K1346" s="199" t="n">
        <v>2026</v>
      </c>
      <c r="L1346" s="199" t="n">
        <v>2026</v>
      </c>
    </row>
    <row r="1347" ht="15" customHeight="1" s="104">
      <c r="A1347" s="194" t="n">
        <v>46053</v>
      </c>
      <c r="B1347" s="195" t="inlineStr">
        <is>
          <t>Tiktok</t>
        </is>
      </c>
      <c r="C1347" s="195" t="inlineStr">
        <is>
          <t xml:space="preserve">Adjustments
</t>
        </is>
      </c>
      <c r="D1347" s="195" t="inlineStr">
        <is>
          <t>FBT warehouse service fee using GMV payments</t>
        </is>
      </c>
      <c r="E1347" s="197" t="n">
        <v>-0.72</v>
      </c>
      <c r="F1347" s="204" t="n">
        <v>-7.441752781e-05</v>
      </c>
      <c r="H1347" s="197" t="n">
        <v>-0.72</v>
      </c>
      <c r="J1347" s="200" t="inlineStr">
        <is>
          <t>Jan</t>
        </is>
      </c>
      <c r="K1347" s="199" t="n">
        <v>2026</v>
      </c>
      <c r="L1347" s="199" t="n">
        <v>2026</v>
      </c>
    </row>
    <row r="1348" ht="15" customHeight="1" s="104">
      <c r="A1348" s="194" t="n">
        <v>46053</v>
      </c>
      <c r="B1348" s="195" t="inlineStr">
        <is>
          <t>Tiktok</t>
        </is>
      </c>
      <c r="C1348" s="195" t="inlineStr">
        <is>
          <t>Cost of goods</t>
        </is>
      </c>
      <c r="D1348" s="195" t="inlineStr">
        <is>
          <t>Cost of goods sold</t>
        </is>
      </c>
      <c r="E1348" s="196" t="n">
        <v>-3425.65</v>
      </c>
      <c r="F1348" s="204" t="n">
        <v>-0.354067228</v>
      </c>
      <c r="H1348" s="196" t="n">
        <v>-3425.65</v>
      </c>
      <c r="J1348" s="200" t="inlineStr">
        <is>
          <t>Jan</t>
        </is>
      </c>
      <c r="K1348" s="199" t="n">
        <v>2026</v>
      </c>
      <c r="L1348" s="199" t="n">
        <v>2026</v>
      </c>
    </row>
    <row r="1349" ht="15" customHeight="1" s="104">
      <c r="A1349" s="194" t="n">
        <v>46053</v>
      </c>
      <c r="B1349" s="195" t="inlineStr">
        <is>
          <t>Tiktok</t>
        </is>
      </c>
      <c r="C1349" s="195" t="inlineStr">
        <is>
          <t>Advertising cost</t>
        </is>
      </c>
      <c r="D1349" s="195" t="inlineStr">
        <is>
          <t>Advertising Cost</t>
        </is>
      </c>
      <c r="E1349" s="196" t="n">
        <v>-2027.76</v>
      </c>
      <c r="F1349" s="204" t="n">
        <v>-0.2095845642</v>
      </c>
      <c r="H1349" s="196" t="n">
        <v>-2027.76</v>
      </c>
      <c r="J1349" s="200" t="inlineStr">
        <is>
          <t>Jan</t>
        </is>
      </c>
      <c r="K1349" s="199" t="n">
        <v>2026</v>
      </c>
      <c r="L1349" s="199" t="n">
        <v>2026</v>
      </c>
    </row>
    <row r="1350" ht="15" customHeight="1" s="104">
      <c r="A1350" s="194" t="n">
        <v>46053</v>
      </c>
      <c r="B1350" s="195" t="inlineStr">
        <is>
          <t>Walmart</t>
        </is>
      </c>
      <c r="C1350" s="195" t="inlineStr">
        <is>
          <t>Advertising cost</t>
        </is>
      </c>
      <c r="D1350" s="195" t="inlineStr">
        <is>
          <t>Advertising Cost</t>
        </is>
      </c>
      <c r="E1350" s="196" t="n">
        <v>-128.95</v>
      </c>
      <c r="F1350" s="204" t="n">
        <v>-0.0430680338</v>
      </c>
      <c r="H1350" s="196" t="n">
        <v>-128.95</v>
      </c>
      <c r="J1350" s="200" t="inlineStr">
        <is>
          <t>Jan</t>
        </is>
      </c>
      <c r="K1350" s="199" t="n">
        <v>2026</v>
      </c>
      <c r="L1350" s="199" t="n">
        <v>2026</v>
      </c>
    </row>
    <row r="1351" ht="15" customHeight="1" s="104">
      <c r="A1351" s="194" t="n">
        <v>46053</v>
      </c>
      <c r="B1351" s="195" t="inlineStr">
        <is>
          <t>Walmart</t>
        </is>
      </c>
      <c r="C1351" s="195" t="inlineStr">
        <is>
          <t>Shipping Cost</t>
        </is>
      </c>
      <c r="D1351" s="195" t="inlineStr">
        <is>
          <t>WFS Fulfillment fee</t>
        </is>
      </c>
      <c r="E1351" s="196" t="n">
        <v>-112.8</v>
      </c>
      <c r="F1351" s="204" t="n">
        <v>-0.03767409238</v>
      </c>
      <c r="H1351" s="196" t="n">
        <v>-112.8</v>
      </c>
      <c r="J1351" s="200" t="inlineStr">
        <is>
          <t>Jan</t>
        </is>
      </c>
      <c r="K1351" s="199" t="n">
        <v>2026</v>
      </c>
      <c r="L1351" s="199" t="n">
        <v>2026</v>
      </c>
    </row>
    <row r="1352" ht="15" customHeight="1" s="104">
      <c r="A1352" s="194" t="n">
        <v>46053</v>
      </c>
      <c r="B1352" s="195" t="inlineStr">
        <is>
          <t>Walmart</t>
        </is>
      </c>
      <c r="C1352" s="195" t="inlineStr">
        <is>
          <t>Shipping Cost</t>
        </is>
      </c>
      <c r="D1352" s="195" t="inlineStr">
        <is>
          <t>WFS Shipping Reversal fee</t>
        </is>
      </c>
      <c r="E1352" s="196" t="n">
        <v>-13.98</v>
      </c>
      <c r="F1352" s="204" t="n">
        <v>-0.004669182726</v>
      </c>
      <c r="H1352" s="196" t="n">
        <v>-13.98</v>
      </c>
      <c r="J1352" s="200" t="inlineStr">
        <is>
          <t>Jan</t>
        </is>
      </c>
      <c r="K1352" s="199" t="n">
        <v>2026</v>
      </c>
      <c r="L1352" s="199" t="n">
        <v>2026</v>
      </c>
    </row>
    <row r="1353" ht="15" customHeight="1" s="104">
      <c r="A1353" s="194" t="n">
        <v>46053</v>
      </c>
      <c r="B1353" s="195" t="inlineStr">
        <is>
          <t>Walmart</t>
        </is>
      </c>
      <c r="C1353" s="195" t="inlineStr">
        <is>
          <t>Shipping Cost</t>
        </is>
      </c>
      <c r="D1353" s="195" t="inlineStr">
        <is>
          <t>MCF Shipping fees</t>
        </is>
      </c>
      <c r="E1353" s="196" t="n">
        <v>-653.29</v>
      </c>
      <c r="F1353" s="204" t="n">
        <v>-0.2181924451</v>
      </c>
      <c r="H1353" s="196" t="n">
        <v>-653.29</v>
      </c>
      <c r="J1353" s="200" t="inlineStr">
        <is>
          <t>Jan</t>
        </is>
      </c>
      <c r="K1353" s="199" t="n">
        <v>2026</v>
      </c>
      <c r="L1353" s="199" t="n">
        <v>2026</v>
      </c>
    </row>
    <row r="1354" ht="15" customHeight="1" s="104">
      <c r="A1354" s="194" t="n">
        <v>46053</v>
      </c>
      <c r="B1354" s="195" t="inlineStr">
        <is>
          <t>Walmart</t>
        </is>
      </c>
      <c r="C1354" s="195" t="inlineStr">
        <is>
          <t>Shipping Cost</t>
        </is>
      </c>
      <c r="D1354" s="195" t="inlineStr">
        <is>
          <t>Shiphero Shipping Cost</t>
        </is>
      </c>
      <c r="E1354" s="196" t="n">
        <v>-147.22</v>
      </c>
      <c r="F1354" s="204" t="n">
        <v>-0.0491700344</v>
      </c>
      <c r="H1354" s="196" t="n">
        <v>-147.22</v>
      </c>
      <c r="J1354" s="200" t="inlineStr">
        <is>
          <t>Jan</t>
        </is>
      </c>
      <c r="K1354" s="199" t="n">
        <v>2026</v>
      </c>
      <c r="L1354" s="199" t="n">
        <v>2026</v>
      </c>
    </row>
    <row r="1355" ht="15" customHeight="1" s="104">
      <c r="A1355" s="194" t="n">
        <v>46053</v>
      </c>
      <c r="B1355" s="195" t="inlineStr">
        <is>
          <t>Walmart</t>
        </is>
      </c>
      <c r="C1355" s="195" t="inlineStr">
        <is>
          <t>Fees</t>
        </is>
      </c>
      <c r="D1355" s="195" t="inlineStr">
        <is>
          <t>Commission on product</t>
        </is>
      </c>
      <c r="E1355" s="196" t="n">
        <v>-466</v>
      </c>
      <c r="F1355" s="204" t="n">
        <v>-0.1556394242</v>
      </c>
      <c r="H1355" s="196" t="n">
        <v>-466</v>
      </c>
      <c r="J1355" s="200" t="inlineStr">
        <is>
          <t>Jan</t>
        </is>
      </c>
      <c r="K1355" s="199" t="n">
        <v>2026</v>
      </c>
      <c r="L1355" s="199" t="n">
        <v>2026</v>
      </c>
    </row>
    <row r="1356" ht="15" customHeight="1" s="104">
      <c r="A1356" s="194" t="n">
        <v>46053</v>
      </c>
      <c r="B1356" s="195" t="inlineStr">
        <is>
          <t>Walmart</t>
        </is>
      </c>
      <c r="C1356" s="195" t="inlineStr">
        <is>
          <t>Fees</t>
        </is>
      </c>
      <c r="D1356" s="195" t="inlineStr">
        <is>
          <t>Storage fee</t>
        </is>
      </c>
      <c r="E1356" s="196" t="n">
        <v>-40.57</v>
      </c>
      <c r="F1356" s="204" t="n">
        <v>-0.01354998163</v>
      </c>
      <c r="H1356" s="196" t="n">
        <v>-40.57</v>
      </c>
      <c r="J1356" s="200" t="inlineStr">
        <is>
          <t>Jan</t>
        </is>
      </c>
      <c r="K1356" s="199" t="n">
        <v>2026</v>
      </c>
      <c r="L1356" s="199" t="n">
        <v>2026</v>
      </c>
    </row>
    <row r="1357" ht="15" customHeight="1" s="104">
      <c r="A1357" s="194" t="n">
        <v>46053</v>
      </c>
      <c r="B1357" s="195" t="inlineStr">
        <is>
          <t>Walmart</t>
        </is>
      </c>
      <c r="C1357" s="195" t="inlineStr">
        <is>
          <t>Fees</t>
        </is>
      </c>
      <c r="D1357" s="195" t="inlineStr">
        <is>
          <t>Refund product tax</t>
        </is>
      </c>
      <c r="E1357" s="198" t="n">
        <v>0</v>
      </c>
      <c r="F1357" s="201" t="n">
        <v>0</v>
      </c>
      <c r="H1357" s="198" t="n">
        <v>0</v>
      </c>
      <c r="J1357" s="200" t="inlineStr">
        <is>
          <t>Jan</t>
        </is>
      </c>
      <c r="K1357" s="199" t="n">
        <v>2026</v>
      </c>
      <c r="L1357" s="199" t="n">
        <v>2026</v>
      </c>
    </row>
    <row r="1358" ht="15" customHeight="1" s="104">
      <c r="A1358" s="194" t="n">
        <v>46053</v>
      </c>
      <c r="B1358" s="195" t="inlineStr">
        <is>
          <t>Walmart</t>
        </is>
      </c>
      <c r="C1358" s="195" t="inlineStr">
        <is>
          <t>Fees</t>
        </is>
      </c>
      <c r="D1358" s="195" t="inlineStr">
        <is>
          <t>Refund commission on product</t>
        </is>
      </c>
      <c r="E1358" s="196" t="n">
        <v>11.4</v>
      </c>
      <c r="F1358" s="204" t="n">
        <v>0.00380748806</v>
      </c>
      <c r="H1358" s="196" t="n">
        <v>11.4</v>
      </c>
      <c r="J1358" s="200" t="inlineStr">
        <is>
          <t>Jan</t>
        </is>
      </c>
      <c r="K1358" s="199" t="n">
        <v>2026</v>
      </c>
      <c r="L1358" s="199" t="n">
        <v>2026</v>
      </c>
    </row>
    <row r="1359" ht="15" customHeight="1" s="104">
      <c r="A1359" s="194" t="n">
        <v>46053</v>
      </c>
      <c r="B1359" s="195" t="inlineStr">
        <is>
          <t>Walmart</t>
        </is>
      </c>
      <c r="C1359" s="195" t="inlineStr">
        <is>
          <t>Fees</t>
        </is>
      </c>
      <c r="D1359" s="195" t="inlineStr">
        <is>
          <t>Wfs inventory fee/reimbursement</t>
        </is>
      </c>
      <c r="E1359" s="196" t="n">
        <v>-53.08</v>
      </c>
      <c r="F1359" s="204" t="n">
        <v>-0.01772819879</v>
      </c>
      <c r="H1359" s="196" t="n">
        <v>-53.08</v>
      </c>
      <c r="J1359" s="200" t="inlineStr">
        <is>
          <t>Jan</t>
        </is>
      </c>
      <c r="K1359" s="199" t="n">
        <v>2026</v>
      </c>
      <c r="L1359" s="199" t="n">
        <v>2026</v>
      </c>
    </row>
    <row r="1360" ht="15" customHeight="1" s="104">
      <c r="A1360" s="194" t="n">
        <v>46053</v>
      </c>
      <c r="B1360" s="195" t="inlineStr">
        <is>
          <t>Walmart</t>
        </is>
      </c>
      <c r="C1360" s="195" t="inlineStr">
        <is>
          <t>Fees</t>
        </is>
      </c>
      <c r="D1360" s="195" t="inlineStr">
        <is>
          <t>Total Walmart funded savings</t>
        </is>
      </c>
      <c r="E1360" s="198" t="n">
        <v>0</v>
      </c>
      <c r="F1360" s="201" t="n">
        <v>0</v>
      </c>
      <c r="H1360" s="198" t="n">
        <v>0</v>
      </c>
      <c r="J1360" s="200" t="inlineStr">
        <is>
          <t>Jan</t>
        </is>
      </c>
      <c r="K1360" s="199" t="n">
        <v>2026</v>
      </c>
      <c r="L1360" s="199" t="n">
        <v>2026</v>
      </c>
    </row>
    <row r="1361" ht="15" customHeight="1" s="104">
      <c r="A1361" s="194" t="n">
        <v>46053</v>
      </c>
      <c r="B1361" s="195" t="inlineStr">
        <is>
          <t>Walmart</t>
        </is>
      </c>
      <c r="C1361" s="195" t="inlineStr">
        <is>
          <t>Fees</t>
        </is>
      </c>
      <c r="D1361" s="195" t="inlineStr">
        <is>
          <t>Lost inventory</t>
        </is>
      </c>
      <c r="E1361" s="198" t="n">
        <v>0</v>
      </c>
      <c r="F1361" s="201" t="n">
        <v>0</v>
      </c>
      <c r="H1361" s="198" t="n">
        <v>0</v>
      </c>
      <c r="J1361" s="200" t="inlineStr">
        <is>
          <t>Jan</t>
        </is>
      </c>
      <c r="K1361" s="199" t="n">
        <v>2026</v>
      </c>
      <c r="L1361" s="199" t="n">
        <v>2026</v>
      </c>
    </row>
    <row r="1362" ht="15" customHeight="1" s="104">
      <c r="A1362" s="194" t="n">
        <v>46053</v>
      </c>
      <c r="B1362" s="195" t="inlineStr">
        <is>
          <t>Walmart</t>
        </is>
      </c>
      <c r="C1362" s="195" t="inlineStr">
        <is>
          <t>Fees</t>
        </is>
      </c>
      <c r="D1362" s="195" t="inlineStr">
        <is>
          <t>RC inventory disposal fee</t>
        </is>
      </c>
      <c r="E1362" s="196" t="n">
        <v>-1.5</v>
      </c>
      <c r="F1362" s="204" t="n">
        <v>-0.000500985271</v>
      </c>
      <c r="H1362" s="196" t="n">
        <v>-1.5</v>
      </c>
      <c r="J1362" s="200" t="inlineStr">
        <is>
          <t>Jan</t>
        </is>
      </c>
      <c r="K1362" s="199" t="n">
        <v>2026</v>
      </c>
      <c r="L1362" s="199" t="n">
        <v>2026</v>
      </c>
    </row>
    <row r="1363" ht="15" customHeight="1" s="104">
      <c r="A1363" s="194" t="n">
        <v>46053</v>
      </c>
      <c r="B1363" s="195" t="inlineStr">
        <is>
          <t>Walmart</t>
        </is>
      </c>
      <c r="C1363" s="195" t="inlineStr">
        <is>
          <t>Cost of goods</t>
        </is>
      </c>
      <c r="D1363" s="195" t="inlineStr">
        <is>
          <t>Cost of goods sold</t>
        </is>
      </c>
      <c r="E1363" s="196" t="n">
        <v>-964.24</v>
      </c>
      <c r="F1363" s="204" t="n">
        <v>-0.3220466918</v>
      </c>
      <c r="H1363" s="196" t="n">
        <v>-964.24</v>
      </c>
      <c r="J1363" s="200" t="inlineStr">
        <is>
          <t>Jan</t>
        </is>
      </c>
      <c r="K1363" s="199" t="n">
        <v>2026</v>
      </c>
      <c r="L1363" s="199" t="n">
        <v>2026</v>
      </c>
    </row>
    <row r="1364" ht="15" customHeight="1" s="104">
      <c r="A1364" s="194" t="n">
        <v>46053</v>
      </c>
      <c r="B1364" s="195" t="inlineStr">
        <is>
          <t>Walmart</t>
        </is>
      </c>
      <c r="C1364" s="195" t="inlineStr">
        <is>
          <t>Cost of goods</t>
        </is>
      </c>
      <c r="D1364" s="195" t="inlineStr">
        <is>
          <t>Value of returned items</t>
        </is>
      </c>
      <c r="E1364" s="196" t="n">
        <v>125.42</v>
      </c>
      <c r="F1364" s="204" t="n">
        <v>0.04188904846</v>
      </c>
      <c r="H1364" s="196" t="n">
        <v>125.42</v>
      </c>
      <c r="J1364" s="200" t="inlineStr">
        <is>
          <t>Jan</t>
        </is>
      </c>
      <c r="K1364" s="199" t="n">
        <v>2026</v>
      </c>
      <c r="L1364" s="199" t="n">
        <v>2026</v>
      </c>
    </row>
    <row r="1365" ht="15" customHeight="1" s="104">
      <c r="A1365" s="194" t="n">
        <v>46081</v>
      </c>
      <c r="B1365" s="195" t="inlineStr">
        <is>
          <t>Amazon US</t>
        </is>
      </c>
      <c r="C1365" s="195" t="inlineStr">
        <is>
          <t>Advertising cost</t>
        </is>
      </c>
      <c r="D1365" s="195" t="inlineStr">
        <is>
          <t>Sponsored Products</t>
        </is>
      </c>
      <c r="E1365" s="196" t="n">
        <v>-10934.68</v>
      </c>
      <c r="F1365" s="204" t="n">
        <v>-0.1258412246</v>
      </c>
      <c r="H1365" s="196" t="n">
        <v>-10934.68</v>
      </c>
      <c r="J1365" s="200" t="inlineStr">
        <is>
          <t>Feb</t>
        </is>
      </c>
      <c r="K1365" s="199" t="n">
        <v>2026</v>
      </c>
      <c r="L1365" s="199" t="n">
        <v>2026</v>
      </c>
    </row>
    <row r="1366" ht="15" customHeight="1" s="104">
      <c r="A1366" s="194" t="n">
        <v>46081</v>
      </c>
      <c r="B1366" s="195" t="inlineStr">
        <is>
          <t>Amazon US</t>
        </is>
      </c>
      <c r="C1366" s="195" t="inlineStr">
        <is>
          <t>Advertising cost</t>
        </is>
      </c>
      <c r="D1366" s="195" t="inlineStr">
        <is>
          <t>Sponsored Brands Video</t>
        </is>
      </c>
      <c r="E1366" s="198" t="n">
        <v>0</v>
      </c>
      <c r="F1366" s="201" t="n">
        <v>0</v>
      </c>
      <c r="H1366" s="198" t="n">
        <v>0</v>
      </c>
      <c r="J1366" s="200" t="inlineStr">
        <is>
          <t>Feb</t>
        </is>
      </c>
      <c r="K1366" s="199" t="n">
        <v>2026</v>
      </c>
      <c r="L1366" s="199" t="n">
        <v>2026</v>
      </c>
    </row>
    <row r="1367" ht="15" customHeight="1" s="104">
      <c r="A1367" s="194" t="n">
        <v>46081</v>
      </c>
      <c r="B1367" s="195" t="inlineStr">
        <is>
          <t>Amazon US</t>
        </is>
      </c>
      <c r="C1367" s="195" t="inlineStr">
        <is>
          <t>Advertising cost</t>
        </is>
      </c>
      <c r="D1367" s="195" t="inlineStr">
        <is>
          <t>Sponsored Display</t>
        </is>
      </c>
      <c r="E1367" s="198" t="n">
        <v>0</v>
      </c>
      <c r="F1367" s="201" t="n">
        <v>0</v>
      </c>
      <c r="H1367" s="198" t="n">
        <v>0</v>
      </c>
      <c r="J1367" s="200" t="inlineStr">
        <is>
          <t>Feb</t>
        </is>
      </c>
      <c r="K1367" s="199" t="n">
        <v>2026</v>
      </c>
      <c r="L1367" s="199" t="n">
        <v>2026</v>
      </c>
    </row>
    <row r="1368" ht="15" customHeight="1" s="104">
      <c r="A1368" s="194" t="n">
        <v>46081</v>
      </c>
      <c r="B1368" s="195" t="inlineStr">
        <is>
          <t>Amazon US</t>
        </is>
      </c>
      <c r="C1368" s="195" t="inlineStr">
        <is>
          <t>Advertising cost</t>
        </is>
      </c>
      <c r="D1368" s="195" t="inlineStr">
        <is>
          <t>Sponsored Brands</t>
        </is>
      </c>
      <c r="E1368" s="198" t="n">
        <v>0</v>
      </c>
      <c r="F1368" s="201" t="n">
        <v>0</v>
      </c>
      <c r="H1368" s="198" t="n">
        <v>0</v>
      </c>
      <c r="J1368" s="200" t="inlineStr">
        <is>
          <t>Feb</t>
        </is>
      </c>
      <c r="K1368" s="199" t="n">
        <v>2026</v>
      </c>
      <c r="L1368" s="199" t="n">
        <v>2026</v>
      </c>
    </row>
    <row r="1369" ht="15" customHeight="1" s="104">
      <c r="A1369" s="194" t="n">
        <v>46081</v>
      </c>
      <c r="B1369" s="195" t="inlineStr">
        <is>
          <t>Amazon US</t>
        </is>
      </c>
      <c r="C1369" s="195" t="inlineStr">
        <is>
          <t>Refund cost</t>
        </is>
      </c>
      <c r="D1369" s="195" t="inlineStr">
        <is>
          <t>Refunded amount</t>
        </is>
      </c>
      <c r="E1369" s="196" t="n">
        <v>-8345.26</v>
      </c>
      <c r="F1369" s="204" t="n">
        <v>-0.09604101244</v>
      </c>
      <c r="H1369" s="196" t="n">
        <v>-8345.26</v>
      </c>
      <c r="J1369" s="200" t="inlineStr">
        <is>
          <t>Feb</t>
        </is>
      </c>
      <c r="K1369" s="199" t="n">
        <v>2026</v>
      </c>
      <c r="L1369" s="199" t="n">
        <v>2026</v>
      </c>
    </row>
    <row r="1370" ht="15" customHeight="1" s="104">
      <c r="A1370" s="194" t="n">
        <v>46081</v>
      </c>
      <c r="B1370" s="195" t="inlineStr">
        <is>
          <t>Amazon US</t>
        </is>
      </c>
      <c r="C1370" s="195" t="inlineStr">
        <is>
          <t>Refund cost</t>
        </is>
      </c>
      <c r="D1370" s="195" t="inlineStr">
        <is>
          <t>Refund commission</t>
        </is>
      </c>
      <c r="E1370" s="196" t="n">
        <v>-249.47</v>
      </c>
      <c r="F1370" s="204" t="n">
        <v>-0.002871013171</v>
      </c>
      <c r="H1370" s="196" t="n">
        <v>-249.47</v>
      </c>
      <c r="J1370" s="200" t="inlineStr">
        <is>
          <t>Feb</t>
        </is>
      </c>
      <c r="K1370" s="199" t="n">
        <v>2026</v>
      </c>
      <c r="L1370" s="199" t="n">
        <v>2026</v>
      </c>
    </row>
    <row r="1371" ht="15" customHeight="1" s="104">
      <c r="A1371" s="194" t="n">
        <v>46081</v>
      </c>
      <c r="B1371" s="195" t="inlineStr">
        <is>
          <t>Amazon US</t>
        </is>
      </c>
      <c r="C1371" s="195" t="inlineStr">
        <is>
          <t>Refund cost</t>
        </is>
      </c>
      <c r="D1371" s="195" t="inlineStr">
        <is>
          <t>Promotion</t>
        </is>
      </c>
      <c r="E1371" s="196" t="n">
        <v>31.24</v>
      </c>
      <c r="F1371" s="204" t="n">
        <v>0.0003595239967</v>
      </c>
      <c r="H1371" s="196" t="n">
        <v>31.24</v>
      </c>
      <c r="J1371" s="200" t="inlineStr">
        <is>
          <t>Feb</t>
        </is>
      </c>
      <c r="K1371" s="199" t="n">
        <v>2026</v>
      </c>
      <c r="L1371" s="199" t="n">
        <v>2026</v>
      </c>
    </row>
    <row r="1372" ht="15" customHeight="1" s="104">
      <c r="A1372" s="194" t="n">
        <v>46081</v>
      </c>
      <c r="B1372" s="195" t="inlineStr">
        <is>
          <t>Amazon US</t>
        </is>
      </c>
      <c r="C1372" s="195" t="inlineStr">
        <is>
          <t>Refund cost</t>
        </is>
      </c>
      <c r="D1372" s="195" t="inlineStr">
        <is>
          <t>Restocking Deduction Principal</t>
        </is>
      </c>
      <c r="E1372" s="196" t="n">
        <v>52.36</v>
      </c>
      <c r="F1372" s="204" t="n">
        <v>0.0006025824733</v>
      </c>
      <c r="H1372" s="196" t="n">
        <v>52.36</v>
      </c>
      <c r="J1372" s="200" t="inlineStr">
        <is>
          <t>Feb</t>
        </is>
      </c>
      <c r="K1372" s="199" t="n">
        <v>2026</v>
      </c>
      <c r="L1372" s="199" t="n">
        <v>2026</v>
      </c>
    </row>
    <row r="1373" ht="15" customHeight="1" s="104">
      <c r="A1373" s="194" t="n">
        <v>46081</v>
      </c>
      <c r="B1373" s="195" t="inlineStr">
        <is>
          <t>Amazon US</t>
        </is>
      </c>
      <c r="C1373" s="195" t="inlineStr">
        <is>
          <t>Refund cost</t>
        </is>
      </c>
      <c r="D1373" s="195" t="inlineStr">
        <is>
          <t>Refunded referral fee</t>
        </is>
      </c>
      <c r="E1373" s="196" t="n">
        <v>1247.48</v>
      </c>
      <c r="F1373" s="204" t="n">
        <v>0.01435656195</v>
      </c>
      <c r="H1373" s="196" t="n">
        <v>1247.48</v>
      </c>
      <c r="J1373" s="200" t="inlineStr">
        <is>
          <t>Feb</t>
        </is>
      </c>
      <c r="K1373" s="199" t="n">
        <v>2026</v>
      </c>
      <c r="L1373" s="199" t="n">
        <v>2026</v>
      </c>
    </row>
    <row r="1374" ht="15" customHeight="1" s="104">
      <c r="A1374" s="194" t="n">
        <v>46081</v>
      </c>
      <c r="B1374" s="195" t="inlineStr">
        <is>
          <t>Amazon US</t>
        </is>
      </c>
      <c r="C1374" s="195" t="inlineStr">
        <is>
          <t>Refund cost</t>
        </is>
      </c>
      <c r="D1374" s="195" t="inlineStr">
        <is>
          <t>Value of returned items</t>
        </is>
      </c>
      <c r="E1374" s="196" t="n">
        <v>1385.73</v>
      </c>
      <c r="F1374" s="204" t="n">
        <v>0.01594760525</v>
      </c>
      <c r="H1374" s="196" t="n">
        <v>1385.73</v>
      </c>
      <c r="J1374" s="200" t="inlineStr">
        <is>
          <t>Feb</t>
        </is>
      </c>
      <c r="K1374" s="199" t="n">
        <v>2026</v>
      </c>
      <c r="L1374" s="199" t="n">
        <v>2026</v>
      </c>
    </row>
    <row r="1375" ht="15" customHeight="1" s="104">
      <c r="A1375" s="194" t="n">
        <v>46081</v>
      </c>
      <c r="B1375" s="195" t="inlineStr">
        <is>
          <t>Amazon US</t>
        </is>
      </c>
      <c r="C1375" s="195" t="inlineStr">
        <is>
          <t>Amazon fees</t>
        </is>
      </c>
      <c r="D1375" s="195" t="inlineStr">
        <is>
          <t>FBA per unit fulfilment fee</t>
        </is>
      </c>
      <c r="E1375" s="196" t="n">
        <v>-16885</v>
      </c>
      <c r="F1375" s="204" t="n">
        <v>-0.1943201883</v>
      </c>
      <c r="H1375" s="196" t="n">
        <v>-16885</v>
      </c>
      <c r="J1375" s="200" t="inlineStr">
        <is>
          <t>Feb</t>
        </is>
      </c>
      <c r="K1375" s="199" t="n">
        <v>2026</v>
      </c>
      <c r="L1375" s="199" t="n">
        <v>2026</v>
      </c>
    </row>
    <row r="1376" ht="15" customHeight="1" s="104">
      <c r="A1376" s="194" t="n">
        <v>46081</v>
      </c>
      <c r="B1376" s="195" t="inlineStr">
        <is>
          <t>Amazon US</t>
        </is>
      </c>
      <c r="C1376" s="195" t="inlineStr">
        <is>
          <t>Amazon fees</t>
        </is>
      </c>
      <c r="D1376" s="195" t="inlineStr">
        <is>
          <t>Referral fee</t>
        </is>
      </c>
      <c r="E1376" s="196" t="n">
        <v>-12988.1</v>
      </c>
      <c r="F1376" s="204" t="n">
        <v>-0.1494729072</v>
      </c>
      <c r="H1376" s="196" t="n">
        <v>-12988.1</v>
      </c>
      <c r="J1376" s="200" t="inlineStr">
        <is>
          <t>Feb</t>
        </is>
      </c>
      <c r="K1376" s="199" t="n">
        <v>2026</v>
      </c>
      <c r="L1376" s="199" t="n">
        <v>2026</v>
      </c>
    </row>
    <row r="1377" ht="15" customHeight="1" s="104">
      <c r="A1377" s="194" t="n">
        <v>46081</v>
      </c>
      <c r="B1377" s="195" t="inlineStr">
        <is>
          <t>Amazon US</t>
        </is>
      </c>
      <c r="C1377" s="195" t="inlineStr">
        <is>
          <t>Amazon fees</t>
        </is>
      </c>
      <c r="D1377" s="195" t="inlineStr">
        <is>
          <t>FBA storage fee</t>
        </is>
      </c>
      <c r="E1377" s="196" t="n">
        <v>-1329.06</v>
      </c>
      <c r="F1377" s="204" t="n">
        <v>-0.01529542135</v>
      </c>
      <c r="H1377" s="196" t="n">
        <v>-1329.06</v>
      </c>
      <c r="J1377" s="200" t="inlineStr">
        <is>
          <t>Feb</t>
        </is>
      </c>
      <c r="K1377" s="199" t="n">
        <v>2026</v>
      </c>
      <c r="L1377" s="199" t="n">
        <v>2026</v>
      </c>
    </row>
    <row r="1378" ht="15" customHeight="1" s="104">
      <c r="A1378" s="194" t="n">
        <v>46081</v>
      </c>
      <c r="B1378" s="195" t="inlineStr">
        <is>
          <t>Amazon US</t>
        </is>
      </c>
      <c r="C1378" s="195" t="inlineStr">
        <is>
          <t>Amazon fees</t>
        </is>
      </c>
      <c r="D1378" s="195" t="inlineStr">
        <is>
          <t>FBA disposal fee</t>
        </is>
      </c>
      <c r="E1378" s="196" t="n">
        <v>-660.36</v>
      </c>
      <c r="F1378" s="204" t="n">
        <v>-0.007599720437</v>
      </c>
      <c r="H1378" s="196" t="n">
        <v>-660.36</v>
      </c>
      <c r="J1378" s="200" t="inlineStr">
        <is>
          <t>Feb</t>
        </is>
      </c>
      <c r="K1378" s="199" t="n">
        <v>2026</v>
      </c>
      <c r="L1378" s="199" t="n">
        <v>2026</v>
      </c>
    </row>
    <row r="1379" ht="15" customHeight="1" s="104">
      <c r="A1379" s="194" t="n">
        <v>46081</v>
      </c>
      <c r="B1379" s="195" t="inlineStr">
        <is>
          <t>Amazon US</t>
        </is>
      </c>
      <c r="C1379" s="195" t="inlineStr">
        <is>
          <t>Amazon fees</t>
        </is>
      </c>
      <c r="D1379" s="195" t="inlineStr">
        <is>
          <t>Hrr non apparel rollup</t>
        </is>
      </c>
      <c r="E1379" s="196" t="n">
        <v>-170.54</v>
      </c>
      <c r="F1379" s="204" t="n">
        <v>-0.001962651165</v>
      </c>
      <c r="H1379" s="196" t="n">
        <v>-170.54</v>
      </c>
      <c r="J1379" s="200" t="inlineStr">
        <is>
          <t>Feb</t>
        </is>
      </c>
      <c r="K1379" s="199" t="n">
        <v>2026</v>
      </c>
      <c r="L1379" s="199" t="n">
        <v>2026</v>
      </c>
    </row>
    <row r="1380" ht="15" customHeight="1" s="104">
      <c r="A1380" s="194" t="n">
        <v>46081</v>
      </c>
      <c r="B1380" s="195" t="inlineStr">
        <is>
          <t>Amazon US</t>
        </is>
      </c>
      <c r="C1380" s="195" t="inlineStr">
        <is>
          <t>Amazon fees</t>
        </is>
      </c>
      <c r="D1380" s="195" t="inlineStr">
        <is>
          <t>AWD transportation fee</t>
        </is>
      </c>
      <c r="E1380" s="196" t="n">
        <v>-69.38</v>
      </c>
      <c r="F1380" s="204" t="n">
        <v>-0.0007984563025</v>
      </c>
      <c r="H1380" s="196" t="n">
        <v>-69.38</v>
      </c>
      <c r="J1380" s="200" t="inlineStr">
        <is>
          <t>Feb</t>
        </is>
      </c>
      <c r="K1380" s="199" t="n">
        <v>2026</v>
      </c>
      <c r="L1380" s="199" t="n">
        <v>2026</v>
      </c>
    </row>
    <row r="1381" ht="15" customHeight="1" s="104">
      <c r="A1381" s="194" t="n">
        <v>46081</v>
      </c>
      <c r="B1381" s="195" t="inlineStr">
        <is>
          <t>Amazon US</t>
        </is>
      </c>
      <c r="C1381" s="195" t="inlineStr">
        <is>
          <t>Amazon fees</t>
        </is>
      </c>
      <c r="D1381" s="195" t="inlineStr">
        <is>
          <t>Missing from inbound clawback</t>
        </is>
      </c>
      <c r="E1381" s="196" t="n">
        <v>-51.05</v>
      </c>
      <c r="F1381" s="204" t="n">
        <v>-0.000587506403</v>
      </c>
      <c r="H1381" s="196" t="n">
        <v>-51.05</v>
      </c>
      <c r="J1381" s="200" t="inlineStr">
        <is>
          <t>Feb</t>
        </is>
      </c>
      <c r="K1381" s="199" t="n">
        <v>2026</v>
      </c>
      <c r="L1381" s="199" t="n">
        <v>2026</v>
      </c>
    </row>
    <row r="1382" ht="15" customHeight="1" s="104">
      <c r="A1382" s="194" t="n">
        <v>46081</v>
      </c>
      <c r="B1382" s="195" t="inlineStr">
        <is>
          <t>Amazon US</t>
        </is>
      </c>
      <c r="C1382" s="195" t="inlineStr">
        <is>
          <t>Amazon fees</t>
        </is>
      </c>
      <c r="D1382" s="195" t="inlineStr">
        <is>
          <t>Compensated clawback</t>
        </is>
      </c>
      <c r="E1382" s="196" t="n">
        <v>-75.40000000000001</v>
      </c>
      <c r="F1382" s="204" t="n">
        <v>-0.0008677371751</v>
      </c>
      <c r="H1382" s="196" t="n">
        <v>-75.40000000000001</v>
      </c>
      <c r="J1382" s="200" t="inlineStr">
        <is>
          <t>Feb</t>
        </is>
      </c>
      <c r="K1382" s="199" t="n">
        <v>2026</v>
      </c>
      <c r="L1382" s="199" t="n">
        <v>2026</v>
      </c>
    </row>
    <row r="1383" ht="15" customHeight="1" s="104">
      <c r="A1383" s="194" t="n">
        <v>46081</v>
      </c>
      <c r="B1383" s="195" t="inlineStr">
        <is>
          <t>Amazon US</t>
        </is>
      </c>
      <c r="C1383" s="195" t="inlineStr">
        <is>
          <t>Amazon fees</t>
        </is>
      </c>
      <c r="D1383" s="195" t="inlineStr">
        <is>
          <t>AWD storage fees</t>
        </is>
      </c>
      <c r="E1383" s="196" t="n">
        <v>-85.54000000000001</v>
      </c>
      <c r="F1383" s="204" t="n">
        <v>-0.0009844328641</v>
      </c>
      <c r="H1383" s="196" t="n">
        <v>-85.54000000000001</v>
      </c>
      <c r="J1383" s="200" t="inlineStr">
        <is>
          <t>Feb</t>
        </is>
      </c>
      <c r="K1383" s="199" t="n">
        <v>2026</v>
      </c>
      <c r="L1383" s="199" t="n">
        <v>2026</v>
      </c>
    </row>
    <row r="1384" ht="15" customHeight="1" s="104">
      <c r="A1384" s="194" t="n">
        <v>46081</v>
      </c>
      <c r="B1384" s="195" t="inlineStr">
        <is>
          <t>Amazon US</t>
        </is>
      </c>
      <c r="C1384" s="195" t="inlineStr">
        <is>
          <t>Amazon fees</t>
        </is>
      </c>
      <c r="D1384" s="195" t="inlineStr">
        <is>
          <t>FBA inbound convenience fee</t>
        </is>
      </c>
      <c r="E1384" s="196" t="n">
        <v>-335.92</v>
      </c>
      <c r="F1384" s="204" t="n">
        <v>-0.003865918725</v>
      </c>
      <c r="H1384" s="196" t="n">
        <v>-335.92</v>
      </c>
      <c r="J1384" s="200" t="inlineStr">
        <is>
          <t>Feb</t>
        </is>
      </c>
      <c r="K1384" s="199" t="n">
        <v>2026</v>
      </c>
      <c r="L1384" s="199" t="n">
        <v>2026</v>
      </c>
    </row>
    <row r="1385" ht="15" customHeight="1" s="104">
      <c r="A1385" s="194" t="n">
        <v>46081</v>
      </c>
      <c r="B1385" s="195" t="inlineStr">
        <is>
          <t>Amazon US</t>
        </is>
      </c>
      <c r="C1385" s="195" t="inlineStr">
        <is>
          <t>Amazon fees</t>
        </is>
      </c>
      <c r="D1385" s="195" t="inlineStr">
        <is>
          <t>Long term storage fee</t>
        </is>
      </c>
      <c r="E1385" s="197" t="n">
        <v>-0.01</v>
      </c>
      <c r="F1385" s="204" t="n">
        <v>-1.15084506e-07</v>
      </c>
      <c r="H1385" s="197" t="n">
        <v>-0.01</v>
      </c>
      <c r="J1385" s="200" t="inlineStr">
        <is>
          <t>Feb</t>
        </is>
      </c>
      <c r="K1385" s="199" t="n">
        <v>2026</v>
      </c>
      <c r="L1385" s="199" t="n">
        <v>2026</v>
      </c>
    </row>
    <row r="1386" ht="15" customHeight="1" s="104">
      <c r="A1386" s="194" t="n">
        <v>46081</v>
      </c>
      <c r="B1386" s="195" t="inlineStr">
        <is>
          <t>Amazon US</t>
        </is>
      </c>
      <c r="C1386" s="195" t="inlineStr">
        <is>
          <t>Amazon fees</t>
        </is>
      </c>
      <c r="D1386" s="195" t="inlineStr">
        <is>
          <t>Get paid faster fee</t>
        </is>
      </c>
      <c r="E1386" s="196" t="n">
        <v>-39.04</v>
      </c>
      <c r="F1386" s="204" t="n">
        <v>-0.0004492899113</v>
      </c>
      <c r="H1386" s="196" t="n">
        <v>-39.04</v>
      </c>
      <c r="J1386" s="200" t="inlineStr">
        <is>
          <t>Feb</t>
        </is>
      </c>
      <c r="K1386" s="199" t="n">
        <v>2026</v>
      </c>
      <c r="L1386" s="199" t="n">
        <v>2026</v>
      </c>
    </row>
    <row r="1387" ht="15" customHeight="1" s="104">
      <c r="A1387" s="194" t="n">
        <v>46081</v>
      </c>
      <c r="B1387" s="195" t="inlineStr">
        <is>
          <t>Amazon US</t>
        </is>
      </c>
      <c r="C1387" s="195" t="inlineStr">
        <is>
          <t>Amazon fees</t>
        </is>
      </c>
      <c r="D1387" s="195" t="inlineStr">
        <is>
          <t>Subscription</t>
        </is>
      </c>
      <c r="E1387" s="196" t="n">
        <v>-39.99</v>
      </c>
      <c r="F1387" s="204" t="n">
        <v>-0.0004602229394</v>
      </c>
      <c r="H1387" s="196" t="n">
        <v>-39.99</v>
      </c>
      <c r="J1387" s="200" t="inlineStr">
        <is>
          <t>Feb</t>
        </is>
      </c>
      <c r="K1387" s="199" t="n">
        <v>2026</v>
      </c>
      <c r="L1387" s="199" t="n">
        <v>2026</v>
      </c>
    </row>
    <row r="1388" ht="15" customHeight="1" s="104">
      <c r="A1388" s="194" t="n">
        <v>46081</v>
      </c>
      <c r="B1388" s="195" t="inlineStr">
        <is>
          <t>Amazon US</t>
        </is>
      </c>
      <c r="C1388" s="195" t="inlineStr">
        <is>
          <t>Amazon fees</t>
        </is>
      </c>
      <c r="D1388" s="195" t="inlineStr">
        <is>
          <t>AWD processing fee</t>
        </is>
      </c>
      <c r="E1388" s="196" t="n">
        <v>-35</v>
      </c>
      <c r="F1388" s="204" t="n">
        <v>-0.0004027957709</v>
      </c>
      <c r="H1388" s="196" t="n">
        <v>-35</v>
      </c>
      <c r="J1388" s="200" t="inlineStr">
        <is>
          <t>Feb</t>
        </is>
      </c>
      <c r="K1388" s="199" t="n">
        <v>2026</v>
      </c>
      <c r="L1388" s="199" t="n">
        <v>2026</v>
      </c>
    </row>
    <row r="1389" ht="15" customHeight="1" s="104">
      <c r="A1389" s="194" t="n">
        <v>46081</v>
      </c>
      <c r="B1389" s="195" t="inlineStr">
        <is>
          <t>Amazon US</t>
        </is>
      </c>
      <c r="C1389" s="195" t="inlineStr">
        <is>
          <t>Amazon fees</t>
        </is>
      </c>
      <c r="D1389" s="195" t="inlineStr">
        <is>
          <t>Free replacement refund items</t>
        </is>
      </c>
      <c r="E1389" s="196" t="n">
        <v>195.44</v>
      </c>
      <c r="F1389" s="204" t="n">
        <v>0.002249211585</v>
      </c>
      <c r="H1389" s="196" t="n">
        <v>195.44</v>
      </c>
      <c r="J1389" s="200" t="inlineStr">
        <is>
          <t>Feb</t>
        </is>
      </c>
      <c r="K1389" s="199" t="n">
        <v>2026</v>
      </c>
      <c r="L1389" s="199" t="n">
        <v>2026</v>
      </c>
    </row>
    <row r="1390" ht="15" customHeight="1" s="104">
      <c r="A1390" s="194" t="n">
        <v>46081</v>
      </c>
      <c r="B1390" s="195" t="inlineStr">
        <is>
          <t>Amazon US</t>
        </is>
      </c>
      <c r="C1390" s="195" t="inlineStr">
        <is>
          <t>Amazon fees</t>
        </is>
      </c>
      <c r="D1390" s="195" t="inlineStr">
        <is>
          <t>Warehouse lost</t>
        </is>
      </c>
      <c r="E1390" s="196" t="n">
        <v>25.3</v>
      </c>
      <c r="F1390" s="204" t="n">
        <v>0.0002911638001</v>
      </c>
      <c r="H1390" s="196" t="n">
        <v>25.3</v>
      </c>
      <c r="J1390" s="200" t="inlineStr">
        <is>
          <t>Feb</t>
        </is>
      </c>
      <c r="K1390" s="199" t="n">
        <v>2026</v>
      </c>
      <c r="L1390" s="199" t="n">
        <v>2026</v>
      </c>
    </row>
    <row r="1391" ht="15" customHeight="1" s="104">
      <c r="A1391" s="194" t="n">
        <v>46081</v>
      </c>
      <c r="B1391" s="195" t="inlineStr">
        <is>
          <t>Amazon US</t>
        </is>
      </c>
      <c r="C1391" s="195" t="inlineStr">
        <is>
          <t>Amazon fees</t>
        </is>
      </c>
      <c r="D1391" s="195" t="inlineStr">
        <is>
          <t>Missing from inbound</t>
        </is>
      </c>
      <c r="E1391" s="196" t="n">
        <v>69.12</v>
      </c>
      <c r="F1391" s="204" t="n">
        <v>0.0007954641053</v>
      </c>
      <c r="H1391" s="196" t="n">
        <v>69.12</v>
      </c>
      <c r="J1391" s="200" t="inlineStr">
        <is>
          <t>Feb</t>
        </is>
      </c>
      <c r="K1391" s="199" t="n">
        <v>2026</v>
      </c>
      <c r="L1391" s="199" t="n">
        <v>2026</v>
      </c>
    </row>
    <row r="1392" ht="15" customHeight="1" s="104">
      <c r="A1392" s="194" t="n">
        <v>46081</v>
      </c>
      <c r="B1392" s="195" t="inlineStr">
        <is>
          <t>Amazon US</t>
        </is>
      </c>
      <c r="C1392" s="195" t="inlineStr">
        <is>
          <t>Amazon fees</t>
        </is>
      </c>
      <c r="D1392" s="195" t="inlineStr">
        <is>
          <t>Warehouse damage</t>
        </is>
      </c>
      <c r="E1392" s="196" t="n">
        <v>67.43000000000001</v>
      </c>
      <c r="F1392" s="204" t="n">
        <v>0.0007760148238</v>
      </c>
      <c r="H1392" s="196" t="n">
        <v>67.43000000000001</v>
      </c>
      <c r="J1392" s="200" t="inlineStr">
        <is>
          <t>Feb</t>
        </is>
      </c>
      <c r="K1392" s="199" t="n">
        <v>2026</v>
      </c>
      <c r="L1392" s="199" t="n">
        <v>2026</v>
      </c>
    </row>
    <row r="1393" ht="15" customHeight="1" s="104">
      <c r="A1393" s="194" t="n">
        <v>46081</v>
      </c>
      <c r="B1393" s="195" t="inlineStr">
        <is>
          <t>Amazon US</t>
        </is>
      </c>
      <c r="C1393" s="195" t="inlineStr">
        <is>
          <t>Amazon fees</t>
        </is>
      </c>
      <c r="D1393" s="195" t="inlineStr">
        <is>
          <t>Reversal reimbursement</t>
        </is>
      </c>
      <c r="E1393" s="196" t="n">
        <v>931.8099999999999</v>
      </c>
      <c r="F1393" s="204" t="n">
        <v>0.01072368935</v>
      </c>
      <c r="H1393" s="196" t="n">
        <v>931.8099999999999</v>
      </c>
      <c r="J1393" s="200" t="inlineStr">
        <is>
          <t>Feb</t>
        </is>
      </c>
      <c r="K1393" s="199" t="n">
        <v>2026</v>
      </c>
      <c r="L1393" s="199" t="n">
        <v>2026</v>
      </c>
    </row>
    <row r="1394" ht="15" customHeight="1" s="104">
      <c r="A1394" s="194" t="n">
        <v>46081</v>
      </c>
      <c r="B1394" s="195" t="inlineStr">
        <is>
          <t>Amazon US</t>
        </is>
      </c>
      <c r="C1394" s="195" t="inlineStr">
        <is>
          <t>Cost of goods</t>
        </is>
      </c>
      <c r="D1394" s="195" t="inlineStr">
        <is>
          <t>Lost/damaged by Amazon</t>
        </is>
      </c>
      <c r="E1394" s="196" t="n">
        <v>-111.1</v>
      </c>
      <c r="F1394" s="204" t="n">
        <v>-0.001278588861</v>
      </c>
      <c r="H1394" s="196" t="n">
        <v>-111.1</v>
      </c>
      <c r="J1394" s="200" t="inlineStr">
        <is>
          <t>Feb</t>
        </is>
      </c>
      <c r="K1394" s="199" t="n">
        <v>2026</v>
      </c>
      <c r="L1394" s="199" t="n">
        <v>2026</v>
      </c>
    </row>
    <row r="1395" ht="15" customHeight="1" s="104">
      <c r="A1395" s="194" t="n">
        <v>46081</v>
      </c>
      <c r="B1395" s="195" t="inlineStr">
        <is>
          <t>Amazon US</t>
        </is>
      </c>
      <c r="C1395" s="195" t="inlineStr">
        <is>
          <t>Cost of goods</t>
        </is>
      </c>
      <c r="D1395" s="195" t="inlineStr">
        <is>
          <t>Cost of goods sold</t>
        </is>
      </c>
      <c r="E1395" s="196" t="n">
        <v>-25089.57</v>
      </c>
      <c r="F1395" s="204" t="n">
        <v>-0.2887420769</v>
      </c>
      <c r="H1395" s="196" t="n">
        <v>-25089.57</v>
      </c>
      <c r="J1395" s="200" t="inlineStr">
        <is>
          <t>Feb</t>
        </is>
      </c>
      <c r="K1395" s="199" t="n">
        <v>2026</v>
      </c>
      <c r="L1395" s="199" t="n">
        <v>2026</v>
      </c>
    </row>
    <row r="1396" ht="15" customHeight="1" s="104">
      <c r="A1396" s="194" t="n">
        <v>46081</v>
      </c>
      <c r="B1396" s="195" t="inlineStr">
        <is>
          <t>Amazon CA</t>
        </is>
      </c>
      <c r="C1396" s="195" t="inlineStr">
        <is>
          <t>Advertising cost</t>
        </is>
      </c>
      <c r="D1396" s="195" t="inlineStr">
        <is>
          <t>Sponsored Products</t>
        </is>
      </c>
      <c r="E1396" s="196" t="n">
        <v>-661.67</v>
      </c>
      <c r="F1396" s="204" t="n">
        <v>-0.2128473362</v>
      </c>
      <c r="H1396" s="196" t="n">
        <v>-661.67</v>
      </c>
      <c r="J1396" s="200" t="inlineStr">
        <is>
          <t>Feb</t>
        </is>
      </c>
      <c r="K1396" s="199" t="n">
        <v>2026</v>
      </c>
      <c r="L1396" s="199" t="n">
        <v>2026</v>
      </c>
    </row>
    <row r="1397" ht="15" customHeight="1" s="104">
      <c r="A1397" s="194" t="n">
        <v>46081</v>
      </c>
      <c r="B1397" s="195" t="inlineStr">
        <is>
          <t>Amazon CA</t>
        </is>
      </c>
      <c r="C1397" s="195" t="inlineStr">
        <is>
          <t>Advertising cost</t>
        </is>
      </c>
      <c r="D1397" s="195" t="inlineStr">
        <is>
          <t>Sponsored Brands Video</t>
        </is>
      </c>
      <c r="E1397" s="198" t="n">
        <v>0</v>
      </c>
      <c r="F1397" s="201" t="n">
        <v>0</v>
      </c>
      <c r="H1397" s="198" t="n">
        <v>0</v>
      </c>
      <c r="J1397" s="200" t="inlineStr">
        <is>
          <t>Feb</t>
        </is>
      </c>
      <c r="K1397" s="199" t="n">
        <v>2026</v>
      </c>
      <c r="L1397" s="199" t="n">
        <v>2026</v>
      </c>
    </row>
    <row r="1398" ht="15" customHeight="1" s="104">
      <c r="A1398" s="194" t="n">
        <v>46081</v>
      </c>
      <c r="B1398" s="195" t="inlineStr">
        <is>
          <t>Amazon CA</t>
        </is>
      </c>
      <c r="C1398" s="195" t="inlineStr">
        <is>
          <t>Advertising cost</t>
        </is>
      </c>
      <c r="D1398" s="195" t="inlineStr">
        <is>
          <t>Sponsored Display</t>
        </is>
      </c>
      <c r="E1398" s="198" t="n">
        <v>0</v>
      </c>
      <c r="F1398" s="201" t="n">
        <v>0</v>
      </c>
      <c r="H1398" s="198" t="n">
        <v>0</v>
      </c>
      <c r="J1398" s="200" t="inlineStr">
        <is>
          <t>Feb</t>
        </is>
      </c>
      <c r="K1398" s="199" t="n">
        <v>2026</v>
      </c>
      <c r="L1398" s="199" t="n">
        <v>2026</v>
      </c>
    </row>
    <row r="1399" ht="15" customHeight="1" s="104">
      <c r="A1399" s="194" t="n">
        <v>46081</v>
      </c>
      <c r="B1399" s="195" t="inlineStr">
        <is>
          <t>Amazon CA</t>
        </is>
      </c>
      <c r="C1399" s="195" t="inlineStr">
        <is>
          <t>Advertising cost</t>
        </is>
      </c>
      <c r="D1399" s="195" t="inlineStr">
        <is>
          <t>Sponsored Brands</t>
        </is>
      </c>
      <c r="E1399" s="198" t="n">
        <v>0</v>
      </c>
      <c r="F1399" s="201" t="n">
        <v>0</v>
      </c>
      <c r="H1399" s="198" t="n">
        <v>0</v>
      </c>
      <c r="J1399" s="200" t="inlineStr">
        <is>
          <t>Feb</t>
        </is>
      </c>
      <c r="K1399" s="199" t="n">
        <v>2026</v>
      </c>
      <c r="L1399" s="199" t="n">
        <v>2026</v>
      </c>
    </row>
    <row r="1400" ht="15" customHeight="1" s="104">
      <c r="A1400" s="194" t="n">
        <v>46081</v>
      </c>
      <c r="B1400" s="195" t="inlineStr">
        <is>
          <t>Amazon CA</t>
        </is>
      </c>
      <c r="C1400" s="195" t="inlineStr">
        <is>
          <t>Refund cost</t>
        </is>
      </c>
      <c r="D1400" s="195" t="inlineStr">
        <is>
          <t>Refunded amount</t>
        </is>
      </c>
      <c r="E1400" s="196" t="n">
        <v>-1042.8</v>
      </c>
      <c r="F1400" s="204" t="n">
        <v>-0.335450001</v>
      </c>
      <c r="H1400" s="196" t="n">
        <v>-1042.8</v>
      </c>
      <c r="J1400" s="200" t="inlineStr">
        <is>
          <t>Feb</t>
        </is>
      </c>
      <c r="K1400" s="199" t="n">
        <v>2026</v>
      </c>
      <c r="L1400" s="199" t="n">
        <v>2026</v>
      </c>
    </row>
    <row r="1401" ht="15" customHeight="1" s="104">
      <c r="A1401" s="194" t="n">
        <v>46081</v>
      </c>
      <c r="B1401" s="195" t="inlineStr">
        <is>
          <t>Amazon CA</t>
        </is>
      </c>
      <c r="C1401" s="195" t="inlineStr">
        <is>
          <t>Refund cost</t>
        </is>
      </c>
      <c r="D1401" s="195" t="inlineStr">
        <is>
          <t>Refund commission</t>
        </is>
      </c>
      <c r="E1401" s="196" t="n">
        <v>-31.32</v>
      </c>
      <c r="F1401" s="204" t="n">
        <v>-0.01007508058</v>
      </c>
      <c r="H1401" s="196" t="n">
        <v>-31.32</v>
      </c>
      <c r="J1401" s="200" t="inlineStr">
        <is>
          <t>Feb</t>
        </is>
      </c>
      <c r="K1401" s="199" t="n">
        <v>2026</v>
      </c>
      <c r="L1401" s="199" t="n">
        <v>2026</v>
      </c>
    </row>
    <row r="1402" ht="15" customHeight="1" s="104">
      <c r="A1402" s="194" t="n">
        <v>46081</v>
      </c>
      <c r="B1402" s="195" t="inlineStr">
        <is>
          <t>Amazon CA</t>
        </is>
      </c>
      <c r="C1402" s="195" t="inlineStr">
        <is>
          <t>Refund cost</t>
        </is>
      </c>
      <c r="D1402" s="195" t="inlineStr">
        <is>
          <t>Refunded referral fee</t>
        </is>
      </c>
      <c r="E1402" s="196" t="n">
        <v>156.44</v>
      </c>
      <c r="F1402" s="204" t="n">
        <v>0.05032393378</v>
      </c>
      <c r="H1402" s="196" t="n">
        <v>156.44</v>
      </c>
      <c r="J1402" s="200" t="inlineStr">
        <is>
          <t>Feb</t>
        </is>
      </c>
      <c r="K1402" s="199" t="n">
        <v>2026</v>
      </c>
      <c r="L1402" s="199" t="n">
        <v>2026</v>
      </c>
    </row>
    <row r="1403" ht="15" customHeight="1" s="104">
      <c r="A1403" s="194" t="n">
        <v>46081</v>
      </c>
      <c r="B1403" s="195" t="inlineStr">
        <is>
          <t>Amazon CA</t>
        </is>
      </c>
      <c r="C1403" s="195" t="inlineStr">
        <is>
          <t>Refund cost</t>
        </is>
      </c>
      <c r="D1403" s="195" t="inlineStr">
        <is>
          <t>Value of returned items</t>
        </is>
      </c>
      <c r="E1403" s="196" t="n">
        <v>273.54</v>
      </c>
      <c r="F1403" s="204" t="n">
        <v>0.08799289725999999</v>
      </c>
      <c r="H1403" s="196" t="n">
        <v>273.54</v>
      </c>
      <c r="J1403" s="200" t="inlineStr">
        <is>
          <t>Feb</t>
        </is>
      </c>
      <c r="K1403" s="199" t="n">
        <v>2026</v>
      </c>
      <c r="L1403" s="199" t="n">
        <v>2026</v>
      </c>
    </row>
    <row r="1404" ht="15" customHeight="1" s="104">
      <c r="A1404" s="194" t="n">
        <v>46081</v>
      </c>
      <c r="B1404" s="195" t="inlineStr">
        <is>
          <t>Amazon CA</t>
        </is>
      </c>
      <c r="C1404" s="195" t="inlineStr">
        <is>
          <t>Amazon fees</t>
        </is>
      </c>
      <c r="D1404" s="195" t="inlineStr">
        <is>
          <t>FBA per unit fulfilment fee</t>
        </is>
      </c>
      <c r="E1404" s="196" t="n">
        <v>-485.06</v>
      </c>
      <c r="F1404" s="204" t="n">
        <v>-0.1560350762</v>
      </c>
      <c r="H1404" s="196" t="n">
        <v>-485.06</v>
      </c>
      <c r="J1404" s="200" t="inlineStr">
        <is>
          <t>Feb</t>
        </is>
      </c>
      <c r="K1404" s="199" t="n">
        <v>2026</v>
      </c>
      <c r="L1404" s="199" t="n">
        <v>2026</v>
      </c>
    </row>
    <row r="1405" ht="15" customHeight="1" s="104">
      <c r="A1405" s="194" t="n">
        <v>46081</v>
      </c>
      <c r="B1405" s="195" t="inlineStr">
        <is>
          <t>Amazon CA</t>
        </is>
      </c>
      <c r="C1405" s="195" t="inlineStr">
        <is>
          <t>Amazon fees</t>
        </is>
      </c>
      <c r="D1405" s="195" t="inlineStr">
        <is>
          <t>Referral fee</t>
        </is>
      </c>
      <c r="E1405" s="196" t="n">
        <v>-465.59</v>
      </c>
      <c r="F1405" s="204" t="n">
        <v>-0.1497719275</v>
      </c>
      <c r="H1405" s="196" t="n">
        <v>-465.59</v>
      </c>
      <c r="J1405" s="200" t="inlineStr">
        <is>
          <t>Feb</t>
        </is>
      </c>
      <c r="K1405" s="199" t="n">
        <v>2026</v>
      </c>
      <c r="L1405" s="199" t="n">
        <v>2026</v>
      </c>
    </row>
    <row r="1406" ht="15" customHeight="1" s="104">
      <c r="A1406" s="194" t="n">
        <v>46081</v>
      </c>
      <c r="B1406" s="195" t="inlineStr">
        <is>
          <t>Amazon CA</t>
        </is>
      </c>
      <c r="C1406" s="195" t="inlineStr">
        <is>
          <t>Amazon fees</t>
        </is>
      </c>
      <c r="D1406" s="195" t="inlineStr">
        <is>
          <t>FBA storage fee</t>
        </is>
      </c>
      <c r="E1406" s="196" t="n">
        <v>-328.31</v>
      </c>
      <c r="F1406" s="204" t="n">
        <v>-0.105611421</v>
      </c>
      <c r="H1406" s="196" t="n">
        <v>-328.31</v>
      </c>
      <c r="J1406" s="200" t="inlineStr">
        <is>
          <t>Feb</t>
        </is>
      </c>
      <c r="K1406" s="199" t="n">
        <v>2026</v>
      </c>
      <c r="L1406" s="199" t="n">
        <v>2026</v>
      </c>
    </row>
    <row r="1407" ht="15" customHeight="1" s="104">
      <c r="A1407" s="194" t="n">
        <v>46081</v>
      </c>
      <c r="B1407" s="195" t="inlineStr">
        <is>
          <t>Amazon CA</t>
        </is>
      </c>
      <c r="C1407" s="195" t="inlineStr">
        <is>
          <t>Amazon fees</t>
        </is>
      </c>
      <c r="D1407" s="195" t="inlineStr">
        <is>
          <t>Long term storage fee</t>
        </is>
      </c>
      <c r="E1407" s="196" t="n">
        <v>-407.68</v>
      </c>
      <c r="F1407" s="204" t="n">
        <v>-0.1311433222</v>
      </c>
      <c r="H1407" s="196" t="n">
        <v>-407.68</v>
      </c>
      <c r="J1407" s="200" t="inlineStr">
        <is>
          <t>Feb</t>
        </is>
      </c>
      <c r="K1407" s="199" t="n">
        <v>2026</v>
      </c>
      <c r="L1407" s="199" t="n">
        <v>2026</v>
      </c>
    </row>
    <row r="1408" ht="15" customHeight="1" s="104">
      <c r="A1408" s="194" t="n">
        <v>46081</v>
      </c>
      <c r="B1408" s="195" t="inlineStr">
        <is>
          <t>Amazon CA</t>
        </is>
      </c>
      <c r="C1408" s="195" t="inlineStr">
        <is>
          <t>Amazon fees</t>
        </is>
      </c>
      <c r="D1408" s="195" t="inlineStr">
        <is>
          <t>Digital services fee</t>
        </is>
      </c>
      <c r="E1408" s="198" t="n">
        <v>0</v>
      </c>
      <c r="F1408" s="201" t="n">
        <v>0</v>
      </c>
      <c r="H1408" s="198" t="n">
        <v>0</v>
      </c>
      <c r="J1408" s="200" t="inlineStr">
        <is>
          <t>Feb</t>
        </is>
      </c>
      <c r="K1408" s="199" t="n">
        <v>2026</v>
      </c>
      <c r="L1408" s="199" t="n">
        <v>2026</v>
      </c>
    </row>
    <row r="1409" ht="15" customHeight="1" s="104">
      <c r="A1409" s="194" t="n">
        <v>46081</v>
      </c>
      <c r="B1409" s="195" t="inlineStr">
        <is>
          <t>Amazon CA</t>
        </is>
      </c>
      <c r="C1409" s="195" t="inlineStr">
        <is>
          <t>Amazon fees</t>
        </is>
      </c>
      <c r="D1409" s="195" t="inlineStr">
        <is>
          <t>FBA disposal fee</t>
        </is>
      </c>
      <c r="E1409" s="196" t="n">
        <v>-32.22</v>
      </c>
      <c r="F1409" s="204" t="n">
        <v>-0.01036459439</v>
      </c>
      <c r="H1409" s="196" t="n">
        <v>-32.22</v>
      </c>
      <c r="J1409" s="200" t="inlineStr">
        <is>
          <t>Feb</t>
        </is>
      </c>
      <c r="K1409" s="199" t="n">
        <v>2026</v>
      </c>
      <c r="L1409" s="199" t="n">
        <v>2026</v>
      </c>
    </row>
    <row r="1410" ht="15" customHeight="1" s="104">
      <c r="A1410" s="194" t="n">
        <v>46081</v>
      </c>
      <c r="B1410" s="195" t="inlineStr">
        <is>
          <t>Amazon CA</t>
        </is>
      </c>
      <c r="C1410" s="195" t="inlineStr">
        <is>
          <t>Amazon fees</t>
        </is>
      </c>
      <c r="D1410" s="195" t="inlineStr">
        <is>
          <t>Reversal reimbursement</t>
        </is>
      </c>
      <c r="E1410" s="196" t="n">
        <v>121.52</v>
      </c>
      <c r="F1410" s="204" t="n">
        <v>0.03909079796</v>
      </c>
      <c r="H1410" s="196" t="n">
        <v>121.52</v>
      </c>
      <c r="J1410" s="200" t="inlineStr">
        <is>
          <t>Feb</t>
        </is>
      </c>
      <c r="K1410" s="199" t="n">
        <v>2026</v>
      </c>
      <c r="L1410" s="199" t="n">
        <v>2026</v>
      </c>
    </row>
    <row r="1411" ht="15" customHeight="1" s="104">
      <c r="A1411" s="194" t="n">
        <v>46081</v>
      </c>
      <c r="B1411" s="195" t="inlineStr">
        <is>
          <t>Amazon CA</t>
        </is>
      </c>
      <c r="C1411" s="195" t="inlineStr">
        <is>
          <t>Cost of goods</t>
        </is>
      </c>
      <c r="D1411" s="195" t="inlineStr">
        <is>
          <t>Cost of goods sold</t>
        </is>
      </c>
      <c r="E1411" s="196" t="n">
        <v>-987.36</v>
      </c>
      <c r="F1411" s="204" t="n">
        <v>-0.3176159503</v>
      </c>
      <c r="H1411" s="196" t="n">
        <v>-987.36</v>
      </c>
      <c r="J1411" s="200" t="inlineStr">
        <is>
          <t>Feb</t>
        </is>
      </c>
      <c r="K1411" s="199" t="n">
        <v>2026</v>
      </c>
      <c r="L1411" s="199" t="n">
        <v>2026</v>
      </c>
    </row>
    <row r="1412" ht="15" customHeight="1" s="104">
      <c r="A1412" s="194" t="n">
        <v>46081</v>
      </c>
      <c r="B1412" s="195" t="inlineStr">
        <is>
          <t>Walmart</t>
        </is>
      </c>
      <c r="C1412" s="195" t="inlineStr">
        <is>
          <t>Advertising cost</t>
        </is>
      </c>
      <c r="D1412" s="195" t="inlineStr">
        <is>
          <t>Advertising Cost</t>
        </is>
      </c>
      <c r="E1412" s="196" t="n">
        <v>-206.97</v>
      </c>
      <c r="F1412" s="204" t="n">
        <v>-0.1114263564</v>
      </c>
      <c r="H1412" s="196" t="n">
        <v>-206.97</v>
      </c>
      <c r="J1412" s="200" t="inlineStr">
        <is>
          <t>Feb</t>
        </is>
      </c>
      <c r="K1412" s="199" t="n">
        <v>2026</v>
      </c>
      <c r="L1412" s="199" t="n">
        <v>2026</v>
      </c>
    </row>
    <row r="1413" ht="15" customHeight="1" s="104">
      <c r="A1413" s="194" t="n">
        <v>46081</v>
      </c>
      <c r="B1413" s="195" t="inlineStr">
        <is>
          <t>Walmart</t>
        </is>
      </c>
      <c r="C1413" s="195" t="inlineStr">
        <is>
          <t>Shipping Cost</t>
        </is>
      </c>
      <c r="D1413" s="195" t="inlineStr">
        <is>
          <t>WFS Fulfillment fee</t>
        </is>
      </c>
      <c r="E1413" s="196" t="n">
        <v>-34.35</v>
      </c>
      <c r="F1413" s="204" t="n">
        <v>-0.01849299581</v>
      </c>
      <c r="H1413" s="196" t="n">
        <v>-34.35</v>
      </c>
      <c r="J1413" s="200" t="inlineStr">
        <is>
          <t>Feb</t>
        </is>
      </c>
      <c r="K1413" s="199" t="n">
        <v>2026</v>
      </c>
      <c r="L1413" s="199" t="n">
        <v>2026</v>
      </c>
    </row>
    <row r="1414" ht="15" customHeight="1" s="104">
      <c r="A1414" s="194" t="n">
        <v>46081</v>
      </c>
      <c r="B1414" s="195" t="inlineStr">
        <is>
          <t>Walmart</t>
        </is>
      </c>
      <c r="C1414" s="195" t="inlineStr">
        <is>
          <t>Shipping Cost</t>
        </is>
      </c>
      <c r="D1414" s="195" t="inlineStr">
        <is>
          <t>WFS Shipping Reversal fee</t>
        </is>
      </c>
      <c r="E1414" s="196" t="n">
        <v>-6.04</v>
      </c>
      <c r="F1414" s="204" t="n">
        <v>-0.003251752393</v>
      </c>
      <c r="H1414" s="196" t="n">
        <v>-6.04</v>
      </c>
      <c r="J1414" s="200" t="inlineStr">
        <is>
          <t>Feb</t>
        </is>
      </c>
      <c r="K1414" s="199" t="n">
        <v>2026</v>
      </c>
      <c r="L1414" s="199" t="n">
        <v>2026</v>
      </c>
    </row>
    <row r="1415" ht="15" customHeight="1" s="104">
      <c r="A1415" s="194" t="n">
        <v>46081</v>
      </c>
      <c r="B1415" s="195" t="inlineStr">
        <is>
          <t>Walmart</t>
        </is>
      </c>
      <c r="C1415" s="195" t="inlineStr">
        <is>
          <t>Shipping Cost</t>
        </is>
      </c>
      <c r="D1415" s="195" t="inlineStr">
        <is>
          <t>MCF Shipping fees</t>
        </is>
      </c>
      <c r="E1415" s="196" t="n">
        <v>-261.4</v>
      </c>
      <c r="F1415" s="204" t="n">
        <v>-0.1407298138</v>
      </c>
      <c r="H1415" s="196" t="n">
        <v>-261.4</v>
      </c>
      <c r="J1415" s="200" t="inlineStr">
        <is>
          <t>Feb</t>
        </is>
      </c>
      <c r="K1415" s="199" t="n">
        <v>2026</v>
      </c>
      <c r="L1415" s="199" t="n">
        <v>2026</v>
      </c>
    </row>
    <row r="1416" ht="15" customHeight="1" s="104">
      <c r="A1416" s="194" t="n">
        <v>46081</v>
      </c>
      <c r="B1416" s="195" t="inlineStr">
        <is>
          <t>Walmart</t>
        </is>
      </c>
      <c r="C1416" s="195" t="inlineStr">
        <is>
          <t>Shipping Cost</t>
        </is>
      </c>
      <c r="D1416" s="195" t="inlineStr">
        <is>
          <t>Shiphero Shipping Cost</t>
        </is>
      </c>
      <c r="E1416" s="196" t="n">
        <v>-240.17</v>
      </c>
      <c r="F1416" s="204" t="n">
        <v>-0.1293002272</v>
      </c>
      <c r="H1416" s="196" t="n">
        <v>-240.17</v>
      </c>
      <c r="J1416" s="200" t="inlineStr">
        <is>
          <t>Feb</t>
        </is>
      </c>
      <c r="K1416" s="199" t="n">
        <v>2026</v>
      </c>
      <c r="L1416" s="199" t="n">
        <v>2026</v>
      </c>
    </row>
    <row r="1417" ht="15" customHeight="1" s="104">
      <c r="A1417" s="194" t="n">
        <v>46081</v>
      </c>
      <c r="B1417" s="195" t="inlineStr">
        <is>
          <t>Walmart</t>
        </is>
      </c>
      <c r="C1417" s="195" t="inlineStr">
        <is>
          <t>Fees</t>
        </is>
      </c>
      <c r="D1417" s="195" t="inlineStr">
        <is>
          <t>Commission on product</t>
        </is>
      </c>
      <c r="E1417" s="196" t="n">
        <v>-317.08</v>
      </c>
      <c r="F1417" s="204" t="n">
        <v>-0.1707062332</v>
      </c>
      <c r="H1417" s="196" t="n">
        <v>-317.08</v>
      </c>
      <c r="J1417" s="200" t="inlineStr">
        <is>
          <t>Feb</t>
        </is>
      </c>
      <c r="K1417" s="199" t="n">
        <v>2026</v>
      </c>
      <c r="L1417" s="199" t="n">
        <v>2026</v>
      </c>
    </row>
    <row r="1418" ht="15" customHeight="1" s="104">
      <c r="A1418" s="194" t="n">
        <v>46081</v>
      </c>
      <c r="B1418" s="195" t="inlineStr">
        <is>
          <t>Walmart</t>
        </is>
      </c>
      <c r="C1418" s="195" t="inlineStr">
        <is>
          <t>Fees</t>
        </is>
      </c>
      <c r="D1418" s="195" t="inlineStr">
        <is>
          <t>Storage fee</t>
        </is>
      </c>
      <c r="E1418" s="196" t="n">
        <v>-27.27</v>
      </c>
      <c r="F1418" s="204" t="n">
        <v>-0.01468133903</v>
      </c>
      <c r="H1418" s="196" t="n">
        <v>-27.27</v>
      </c>
      <c r="J1418" s="200" t="inlineStr">
        <is>
          <t>Feb</t>
        </is>
      </c>
      <c r="K1418" s="199" t="n">
        <v>2026</v>
      </c>
      <c r="L1418" s="199" t="n">
        <v>2026</v>
      </c>
    </row>
    <row r="1419" ht="15" customHeight="1" s="104">
      <c r="A1419" s="194" t="n">
        <v>46081</v>
      </c>
      <c r="B1419" s="195" t="inlineStr">
        <is>
          <t>Walmart</t>
        </is>
      </c>
      <c r="C1419" s="195" t="inlineStr">
        <is>
          <t>Fees</t>
        </is>
      </c>
      <c r="D1419" s="195" t="inlineStr">
        <is>
          <t>Refund product tax</t>
        </is>
      </c>
      <c r="E1419" s="198" t="n">
        <v>0</v>
      </c>
      <c r="F1419" s="201" t="n">
        <v>0</v>
      </c>
      <c r="H1419" s="198" t="n">
        <v>0</v>
      </c>
      <c r="J1419" s="200" t="inlineStr">
        <is>
          <t>Feb</t>
        </is>
      </c>
      <c r="K1419" s="199" t="n">
        <v>2026</v>
      </c>
      <c r="L1419" s="199" t="n">
        <v>2026</v>
      </c>
    </row>
    <row r="1420" ht="15" customHeight="1" s="104">
      <c r="A1420" s="194" t="n">
        <v>46081</v>
      </c>
      <c r="B1420" s="195" t="inlineStr">
        <is>
          <t>Walmart</t>
        </is>
      </c>
      <c r="C1420" s="195" t="inlineStr">
        <is>
          <t>Fees</t>
        </is>
      </c>
      <c r="D1420" s="195" t="inlineStr">
        <is>
          <t>Refund commission on product</t>
        </is>
      </c>
      <c r="E1420" s="196" t="n">
        <v>6</v>
      </c>
      <c r="F1420" s="204" t="n">
        <v>0.003230217609</v>
      </c>
      <c r="H1420" s="196" t="n">
        <v>6</v>
      </c>
      <c r="J1420" s="200" t="inlineStr">
        <is>
          <t>Feb</t>
        </is>
      </c>
      <c r="K1420" s="199" t="n">
        <v>2026</v>
      </c>
      <c r="L1420" s="199" t="n">
        <v>2026</v>
      </c>
    </row>
    <row r="1421" ht="15" customHeight="1" s="104">
      <c r="A1421" s="194" t="n">
        <v>46081</v>
      </c>
      <c r="B1421" s="195" t="inlineStr">
        <is>
          <t>Walmart</t>
        </is>
      </c>
      <c r="C1421" s="195" t="inlineStr">
        <is>
          <t>Fees</t>
        </is>
      </c>
      <c r="D1421" s="195" t="inlineStr">
        <is>
          <t>Wfs inventory fee/reimbursement</t>
        </is>
      </c>
      <c r="E1421" s="198" t="n">
        <v>0</v>
      </c>
      <c r="F1421" s="201" t="n">
        <v>0</v>
      </c>
      <c r="H1421" s="198" t="n">
        <v>0</v>
      </c>
      <c r="J1421" s="200" t="inlineStr">
        <is>
          <t>Feb</t>
        </is>
      </c>
      <c r="K1421" s="199" t="n">
        <v>2026</v>
      </c>
      <c r="L1421" s="199" t="n">
        <v>2026</v>
      </c>
    </row>
    <row r="1422" ht="15" customHeight="1" s="104">
      <c r="A1422" s="194" t="n">
        <v>46081</v>
      </c>
      <c r="B1422" s="195" t="inlineStr">
        <is>
          <t>Walmart</t>
        </is>
      </c>
      <c r="C1422" s="195" t="inlineStr">
        <is>
          <t>Fees</t>
        </is>
      </c>
      <c r="D1422" s="195" t="inlineStr">
        <is>
          <t>Total Walmart funded savings</t>
        </is>
      </c>
      <c r="E1422" s="198" t="n">
        <v>0</v>
      </c>
      <c r="F1422" s="201" t="n">
        <v>0</v>
      </c>
      <c r="H1422" s="198" t="n">
        <v>0</v>
      </c>
      <c r="J1422" s="200" t="inlineStr">
        <is>
          <t>Feb</t>
        </is>
      </c>
      <c r="K1422" s="199" t="n">
        <v>2026</v>
      </c>
      <c r="L1422" s="199" t="n">
        <v>2026</v>
      </c>
    </row>
    <row r="1423" ht="15" customHeight="1" s="104">
      <c r="A1423" s="194" t="n">
        <v>46081</v>
      </c>
      <c r="B1423" s="195" t="inlineStr">
        <is>
          <t>Walmart</t>
        </is>
      </c>
      <c r="C1423" s="195" t="inlineStr">
        <is>
          <t>Fees</t>
        </is>
      </c>
      <c r="D1423" s="195" t="inlineStr">
        <is>
          <t>Lost inventory</t>
        </is>
      </c>
      <c r="E1423" s="198" t="n">
        <v>0</v>
      </c>
      <c r="F1423" s="201" t="n">
        <v>0</v>
      </c>
      <c r="H1423" s="198" t="n">
        <v>0</v>
      </c>
      <c r="J1423" s="200" t="inlineStr">
        <is>
          <t>Feb</t>
        </is>
      </c>
      <c r="K1423" s="199" t="n">
        <v>2026</v>
      </c>
      <c r="L1423" s="199" t="n">
        <v>2026</v>
      </c>
    </row>
    <row r="1424" ht="15" customHeight="1" s="104">
      <c r="A1424" s="194" t="n">
        <v>46081</v>
      </c>
      <c r="B1424" s="195" t="inlineStr">
        <is>
          <t>Walmart</t>
        </is>
      </c>
      <c r="C1424" s="195" t="inlineStr">
        <is>
          <t>Fees</t>
        </is>
      </c>
      <c r="D1424" s="195" t="inlineStr">
        <is>
          <t>RC inventory disposal fee</t>
        </is>
      </c>
      <c r="E1424" s="198" t="n">
        <v>0</v>
      </c>
      <c r="F1424" s="201" t="n">
        <v>0</v>
      </c>
      <c r="H1424" s="198" t="n">
        <v>0</v>
      </c>
      <c r="J1424" s="200" t="inlineStr">
        <is>
          <t>Feb</t>
        </is>
      </c>
      <c r="K1424" s="199" t="n">
        <v>2026</v>
      </c>
      <c r="L1424" s="199" t="n">
        <v>2026</v>
      </c>
    </row>
    <row r="1425" ht="15" customHeight="1" s="104">
      <c r="A1425" s="194" t="n">
        <v>46081</v>
      </c>
      <c r="B1425" s="195" t="inlineStr">
        <is>
          <t>Walmart</t>
        </is>
      </c>
      <c r="C1425" s="195" t="inlineStr">
        <is>
          <t>Cost of goods</t>
        </is>
      </c>
      <c r="D1425" s="195" t="inlineStr">
        <is>
          <t>Cost of goods sold</t>
        </is>
      </c>
      <c r="E1425" s="196" t="n">
        <v>-652.54</v>
      </c>
      <c r="F1425" s="204" t="n">
        <v>-0.3513076998</v>
      </c>
      <c r="H1425" s="196" t="n">
        <v>-652.54</v>
      </c>
      <c r="J1425" s="200" t="inlineStr">
        <is>
          <t>Feb</t>
        </is>
      </c>
      <c r="K1425" s="199" t="n">
        <v>2026</v>
      </c>
      <c r="L1425" s="199" t="n">
        <v>2026</v>
      </c>
    </row>
    <row r="1426" ht="15" customHeight="1" s="104">
      <c r="A1426" s="194" t="n">
        <v>46081</v>
      </c>
      <c r="B1426" s="195" t="inlineStr">
        <is>
          <t>Walmart</t>
        </is>
      </c>
      <c r="C1426" s="195" t="inlineStr">
        <is>
          <t>Cost of goods</t>
        </is>
      </c>
      <c r="D1426" s="195" t="inlineStr">
        <is>
          <t>Value of returned items</t>
        </is>
      </c>
      <c r="E1426" s="196" t="n">
        <v>87.09999999999999</v>
      </c>
      <c r="F1426" s="204" t="n">
        <v>0.04689199229</v>
      </c>
      <c r="H1426" s="196" t="n">
        <v>87.09999999999999</v>
      </c>
      <c r="J1426" s="200" t="inlineStr">
        <is>
          <t>Feb</t>
        </is>
      </c>
      <c r="K1426" s="199" t="n">
        <v>2026</v>
      </c>
      <c r="L1426" s="199" t="n">
        <v>2026</v>
      </c>
    </row>
    <row r="1427" ht="15" customHeight="1" s="104">
      <c r="A1427" s="194" t="n">
        <v>46081</v>
      </c>
      <c r="B1427" s="195" t="inlineStr">
        <is>
          <t>Tiktok</t>
        </is>
      </c>
      <c r="C1427" s="195" t="inlineStr">
        <is>
          <t>Tiktok Shipping</t>
        </is>
      </c>
      <c r="D1427" s="195" t="inlineStr">
        <is>
          <t>TikTok Shop shipping fee</t>
        </is>
      </c>
      <c r="E1427" s="196" t="n">
        <v>-1462.35</v>
      </c>
      <c r="F1427" s="204" t="n">
        <v>-0.2369452078</v>
      </c>
      <c r="H1427" s="196" t="n">
        <v>-1462.35</v>
      </c>
      <c r="J1427" s="200" t="inlineStr">
        <is>
          <t>Feb</t>
        </is>
      </c>
      <c r="K1427" s="199" t="n">
        <v>2026</v>
      </c>
      <c r="L1427" s="199" t="n">
        <v>2026</v>
      </c>
    </row>
    <row r="1428" ht="15" customHeight="1" s="104">
      <c r="A1428" s="194" t="n">
        <v>46081</v>
      </c>
      <c r="B1428" s="195" t="inlineStr">
        <is>
          <t>Tiktok</t>
        </is>
      </c>
      <c r="C1428" s="195" t="inlineStr">
        <is>
          <t>Tiktok Shipping</t>
        </is>
      </c>
      <c r="D1428" s="195" t="inlineStr">
        <is>
          <t>Fulfilled by TikTok Shop (FBT) shipping fee</t>
        </is>
      </c>
      <c r="E1428" s="198" t="n">
        <v>0</v>
      </c>
      <c r="F1428" s="201" t="n">
        <v>0</v>
      </c>
      <c r="H1428" s="198" t="n">
        <v>0</v>
      </c>
      <c r="J1428" s="200" t="inlineStr">
        <is>
          <t>Feb</t>
        </is>
      </c>
      <c r="K1428" s="199" t="n">
        <v>2026</v>
      </c>
      <c r="L1428" s="199" t="n">
        <v>2026</v>
      </c>
    </row>
    <row r="1429" ht="15" customHeight="1" s="104">
      <c r="A1429" s="194" t="n">
        <v>46081</v>
      </c>
      <c r="B1429" s="195" t="inlineStr">
        <is>
          <t>Tiktok</t>
        </is>
      </c>
      <c r="C1429" s="195" t="inlineStr">
        <is>
          <t>Tiktok Shipping</t>
        </is>
      </c>
      <c r="D1429" s="195" t="inlineStr">
        <is>
          <t>Signature confirmation service fee</t>
        </is>
      </c>
      <c r="E1429" s="198" t="n">
        <v>0</v>
      </c>
      <c r="F1429" s="201" t="n">
        <v>0</v>
      </c>
      <c r="H1429" s="198" t="n">
        <v>0</v>
      </c>
      <c r="J1429" s="200" t="inlineStr">
        <is>
          <t>Feb</t>
        </is>
      </c>
      <c r="K1429" s="199" t="n">
        <v>2026</v>
      </c>
      <c r="L1429" s="199" t="n">
        <v>2026</v>
      </c>
    </row>
    <row r="1430" ht="15" customHeight="1" s="104">
      <c r="A1430" s="194" t="n">
        <v>46081</v>
      </c>
      <c r="B1430" s="195" t="inlineStr">
        <is>
          <t>Tiktok</t>
        </is>
      </c>
      <c r="C1430" s="195" t="inlineStr">
        <is>
          <t>Tiktok Shipping</t>
        </is>
      </c>
      <c r="D1430" s="195" t="inlineStr">
        <is>
          <t>Shipping insurance fee</t>
        </is>
      </c>
      <c r="E1430" s="198" t="n">
        <v>0</v>
      </c>
      <c r="F1430" s="201" t="n">
        <v>0</v>
      </c>
      <c r="H1430" s="198" t="n">
        <v>0</v>
      </c>
      <c r="J1430" s="200" t="inlineStr">
        <is>
          <t>Feb</t>
        </is>
      </c>
      <c r="K1430" s="199" t="n">
        <v>2026</v>
      </c>
      <c r="L1430" s="199" t="n">
        <v>2026</v>
      </c>
    </row>
    <row r="1431" ht="15" customHeight="1" s="104">
      <c r="A1431" s="194" t="n">
        <v>46081</v>
      </c>
      <c r="B1431" s="195" t="inlineStr">
        <is>
          <t>Tiktok</t>
        </is>
      </c>
      <c r="C1431" s="195" t="inlineStr">
        <is>
          <t>Tiktok Shipping</t>
        </is>
      </c>
      <c r="D1431" s="195" t="inlineStr">
        <is>
          <t>Customer-paid shipping fee</t>
        </is>
      </c>
      <c r="E1431" s="198" t="n">
        <v>0</v>
      </c>
      <c r="F1431" s="201" t="n">
        <v>0</v>
      </c>
      <c r="H1431" s="198" t="n">
        <v>0</v>
      </c>
      <c r="J1431" s="200" t="inlineStr">
        <is>
          <t>Feb</t>
        </is>
      </c>
      <c r="K1431" s="199" t="n">
        <v>2026</v>
      </c>
      <c r="L1431" s="199" t="n">
        <v>2026</v>
      </c>
    </row>
    <row r="1432" ht="15" customHeight="1" s="104">
      <c r="A1432" s="194" t="n">
        <v>46081</v>
      </c>
      <c r="B1432" s="195" t="inlineStr">
        <is>
          <t>Tiktok</t>
        </is>
      </c>
      <c r="C1432" s="195" t="inlineStr">
        <is>
          <t>Tiktok Shipping</t>
        </is>
      </c>
      <c r="D1432" s="195" t="inlineStr">
        <is>
          <t>Customer-paid shipping fee refund</t>
        </is>
      </c>
      <c r="E1432" s="198" t="n">
        <v>0</v>
      </c>
      <c r="F1432" s="201" t="n">
        <v>0</v>
      </c>
      <c r="H1432" s="198" t="n">
        <v>0</v>
      </c>
      <c r="J1432" s="200" t="inlineStr">
        <is>
          <t>Feb</t>
        </is>
      </c>
      <c r="K1432" s="199" t="n">
        <v>2026</v>
      </c>
      <c r="L1432" s="199" t="n">
        <v>2026</v>
      </c>
    </row>
    <row r="1433" ht="15" customHeight="1" s="104">
      <c r="A1433" s="194" t="n">
        <v>46081</v>
      </c>
      <c r="B1433" s="195" t="inlineStr">
        <is>
          <t>Tiktok</t>
        </is>
      </c>
      <c r="C1433" s="195" t="inlineStr">
        <is>
          <t>Tiktok Shipping</t>
        </is>
      </c>
      <c r="D1433" s="195" t="inlineStr">
        <is>
          <t>TikTok Shop shipping incentive</t>
        </is>
      </c>
      <c r="E1433" s="198" t="n">
        <v>0</v>
      </c>
      <c r="F1433" s="201" t="n">
        <v>0</v>
      </c>
      <c r="H1433" s="198" t="n">
        <v>0</v>
      </c>
      <c r="J1433" s="200" t="inlineStr">
        <is>
          <t>Feb</t>
        </is>
      </c>
      <c r="K1433" s="199" t="n">
        <v>2026</v>
      </c>
      <c r="L1433" s="199" t="n">
        <v>2026</v>
      </c>
    </row>
    <row r="1434" ht="15" customHeight="1" s="104">
      <c r="A1434" s="194" t="n">
        <v>46081</v>
      </c>
      <c r="B1434" s="195" t="inlineStr">
        <is>
          <t>Tiktok</t>
        </is>
      </c>
      <c r="C1434" s="195" t="inlineStr">
        <is>
          <t>Tiktok Shipping</t>
        </is>
      </c>
      <c r="D1434" s="195" t="inlineStr">
        <is>
          <t>TikTok Shop shipping incentive refund</t>
        </is>
      </c>
      <c r="E1434" s="198" t="n">
        <v>0</v>
      </c>
      <c r="F1434" s="201" t="n">
        <v>0</v>
      </c>
      <c r="H1434" s="198" t="n">
        <v>0</v>
      </c>
      <c r="J1434" s="200" t="inlineStr">
        <is>
          <t>Feb</t>
        </is>
      </c>
      <c r="K1434" s="199" t="n">
        <v>2026</v>
      </c>
      <c r="L1434" s="199" t="n">
        <v>2026</v>
      </c>
    </row>
    <row r="1435" ht="15" customHeight="1" s="104">
      <c r="A1435" s="194" t="n">
        <v>46081</v>
      </c>
      <c r="B1435" s="195" t="inlineStr">
        <is>
          <t>Tiktok</t>
        </is>
      </c>
      <c r="C1435" s="195" t="inlineStr">
        <is>
          <t>Tiktok Shipping</t>
        </is>
      </c>
      <c r="D1435" s="195" t="inlineStr">
        <is>
          <t>Shipping fee subsidy</t>
        </is>
      </c>
      <c r="E1435" s="198" t="n">
        <v>0</v>
      </c>
      <c r="F1435" s="201" t="n">
        <v>0</v>
      </c>
      <c r="H1435" s="198" t="n">
        <v>0</v>
      </c>
      <c r="J1435" s="200" t="inlineStr">
        <is>
          <t>Feb</t>
        </is>
      </c>
      <c r="K1435" s="199" t="n">
        <v>2026</v>
      </c>
      <c r="L1435" s="199" t="n">
        <v>2026</v>
      </c>
    </row>
    <row r="1436" ht="15" customHeight="1" s="104">
      <c r="A1436" s="194" t="n">
        <v>46081</v>
      </c>
      <c r="B1436" s="195" t="inlineStr">
        <is>
          <t>Tiktok</t>
        </is>
      </c>
      <c r="C1436" s="195" t="inlineStr">
        <is>
          <t>Tiktok Shipping</t>
        </is>
      </c>
      <c r="D1436" s="195" t="inlineStr">
        <is>
          <t>Return shipping fee</t>
        </is>
      </c>
      <c r="E1436" s="196" t="n">
        <v>-54.81</v>
      </c>
      <c r="F1436" s="204" t="n">
        <v>-0.008880888186</v>
      </c>
      <c r="H1436" s="196" t="n">
        <v>-54.81</v>
      </c>
      <c r="J1436" s="200" t="inlineStr">
        <is>
          <t>Feb</t>
        </is>
      </c>
      <c r="K1436" s="199" t="n">
        <v>2026</v>
      </c>
      <c r="L1436" s="199" t="n">
        <v>2026</v>
      </c>
    </row>
    <row r="1437" ht="15" customHeight="1" s="104">
      <c r="A1437" s="194" t="n">
        <v>46081</v>
      </c>
      <c r="B1437" s="195" t="inlineStr">
        <is>
          <t>Tiktok</t>
        </is>
      </c>
      <c r="C1437" s="195" t="inlineStr">
        <is>
          <t>Tiktok Shipping</t>
        </is>
      </c>
      <c r="D1437" s="195" t="inlineStr">
        <is>
          <t>FBT fulfillment fee</t>
        </is>
      </c>
      <c r="E1437" s="198" t="n">
        <v>0</v>
      </c>
      <c r="F1437" s="201" t="n">
        <v>0</v>
      </c>
      <c r="H1437" s="198" t="n">
        <v>0</v>
      </c>
      <c r="J1437" s="200" t="inlineStr">
        <is>
          <t>Feb</t>
        </is>
      </c>
      <c r="K1437" s="199" t="n">
        <v>2026</v>
      </c>
      <c r="L1437" s="199" t="n">
        <v>2026</v>
      </c>
    </row>
    <row r="1438" ht="15" customHeight="1" s="104">
      <c r="A1438" s="194" t="n">
        <v>46081</v>
      </c>
      <c r="B1438" s="195" t="inlineStr">
        <is>
          <t>Tiktok</t>
        </is>
      </c>
      <c r="C1438" s="195" t="inlineStr">
        <is>
          <t>Tiktok Shipping</t>
        </is>
      </c>
      <c r="D1438" s="195" t="inlineStr">
        <is>
          <t>Customer shipping fee offset</t>
        </is>
      </c>
      <c r="E1438" s="198" t="n">
        <v>0</v>
      </c>
      <c r="F1438" s="201" t="n">
        <v>0</v>
      </c>
      <c r="H1438" s="198" t="n">
        <v>0</v>
      </c>
      <c r="J1438" s="200" t="inlineStr">
        <is>
          <t>Feb</t>
        </is>
      </c>
      <c r="K1438" s="199" t="n">
        <v>2026</v>
      </c>
      <c r="L1438" s="199" t="n">
        <v>2026</v>
      </c>
    </row>
    <row r="1439" ht="15" customHeight="1" s="104">
      <c r="A1439" s="194" t="n">
        <v>46081</v>
      </c>
      <c r="B1439" s="195" t="inlineStr">
        <is>
          <t>Tiktok</t>
        </is>
      </c>
      <c r="C1439" s="195" t="inlineStr">
        <is>
          <t>Tiktok Shipping</t>
        </is>
      </c>
      <c r="D1439" s="195" t="inlineStr">
        <is>
          <t>Co-funded free shipping reimbursement</t>
        </is>
      </c>
      <c r="E1439" s="198" t="n">
        <v>0</v>
      </c>
      <c r="F1439" s="201" t="n">
        <v>0</v>
      </c>
      <c r="H1439" s="198" t="n">
        <v>0</v>
      </c>
      <c r="J1439" s="200" t="inlineStr">
        <is>
          <t>Feb</t>
        </is>
      </c>
      <c r="K1439" s="199" t="n">
        <v>2026</v>
      </c>
      <c r="L1439" s="199" t="n">
        <v>2026</v>
      </c>
    </row>
    <row r="1440" ht="15" customHeight="1" s="104">
      <c r="A1440" s="194" t="n">
        <v>46081</v>
      </c>
      <c r="B1440" s="195" t="inlineStr">
        <is>
          <t>Tiktok</t>
        </is>
      </c>
      <c r="C1440" s="195" t="inlineStr">
        <is>
          <t>Tiktok Shipping</t>
        </is>
      </c>
      <c r="D1440" s="195" t="inlineStr">
        <is>
          <t>Return shipping fee reimbursement</t>
        </is>
      </c>
      <c r="E1440" s="196" t="n">
        <v>4.11</v>
      </c>
      <c r="F1440" s="204" t="n">
        <v>0.0006659450911</v>
      </c>
      <c r="H1440" s="196" t="n">
        <v>4.11</v>
      </c>
      <c r="J1440" s="200" t="inlineStr">
        <is>
          <t>Feb</t>
        </is>
      </c>
      <c r="K1440" s="199" t="n">
        <v>2026</v>
      </c>
      <c r="L1440" s="199" t="n">
        <v>2026</v>
      </c>
    </row>
    <row r="1441" ht="15" customHeight="1" s="104">
      <c r="A1441" s="194" t="n">
        <v>46081</v>
      </c>
      <c r="B1441" s="195" t="inlineStr">
        <is>
          <t>Tiktok</t>
        </is>
      </c>
      <c r="C1441" s="195" t="inlineStr">
        <is>
          <t>MCF Shipping fees</t>
        </is>
      </c>
      <c r="D1441" s="195" t="inlineStr">
        <is>
          <t>MCF Shipping fees</t>
        </is>
      </c>
      <c r="E1441" s="196" t="n">
        <v>-86.2</v>
      </c>
      <c r="F1441" s="204" t="n">
        <v>-0.01396702357</v>
      </c>
      <c r="H1441" s="196" t="n">
        <v>-86.2</v>
      </c>
      <c r="J1441" s="200" t="inlineStr">
        <is>
          <t>Feb</t>
        </is>
      </c>
      <c r="K1441" s="199" t="n">
        <v>2026</v>
      </c>
      <c r="L1441" s="199" t="n">
        <v>2026</v>
      </c>
    </row>
    <row r="1442" ht="15" customHeight="1" s="104">
      <c r="A1442" s="194" t="n">
        <v>46081</v>
      </c>
      <c r="B1442" s="195" t="inlineStr">
        <is>
          <t>Tiktok</t>
        </is>
      </c>
      <c r="C1442" s="195" t="inlineStr">
        <is>
          <t>Fees</t>
        </is>
      </c>
      <c r="D1442" s="195" t="inlineStr">
        <is>
          <t>Transaction fee</t>
        </is>
      </c>
      <c r="E1442" s="198" t="n">
        <v>0</v>
      </c>
      <c r="F1442" s="201" t="n">
        <v>0</v>
      </c>
      <c r="H1442" s="198" t="n">
        <v>0</v>
      </c>
      <c r="J1442" s="200" t="inlineStr">
        <is>
          <t>Feb</t>
        </is>
      </c>
      <c r="K1442" s="199" t="n">
        <v>2026</v>
      </c>
      <c r="L1442" s="199" t="n">
        <v>2026</v>
      </c>
    </row>
    <row r="1443" ht="15" customHeight="1" s="104">
      <c r="A1443" s="194" t="n">
        <v>46081</v>
      </c>
      <c r="B1443" s="195" t="inlineStr">
        <is>
          <t>Tiktok</t>
        </is>
      </c>
      <c r="C1443" s="195" t="inlineStr">
        <is>
          <t>Fees</t>
        </is>
      </c>
      <c r="D1443" s="195" t="inlineStr">
        <is>
          <t>Referral fee</t>
        </is>
      </c>
      <c r="F1443" s="201" t="n">
        <v>0</v>
      </c>
      <c r="J1443" s="200" t="inlineStr">
        <is>
          <t>Feb</t>
        </is>
      </c>
      <c r="K1443" s="199" t="n">
        <v>2026</v>
      </c>
      <c r="L1443" s="199" t="n">
        <v>2026</v>
      </c>
    </row>
    <row r="1444" ht="15" customHeight="1" s="104">
      <c r="A1444" s="194" t="n">
        <v>46081</v>
      </c>
      <c r="B1444" s="195" t="inlineStr">
        <is>
          <t>Tiktok</t>
        </is>
      </c>
      <c r="C1444" s="195" t="inlineStr">
        <is>
          <t>Fees</t>
        </is>
      </c>
      <c r="D1444" s="195" t="inlineStr">
        <is>
          <t>Refund administration fee</t>
        </is>
      </c>
      <c r="E1444" s="196" t="n">
        <v>-6.06</v>
      </c>
      <c r="F1444" s="204" t="n">
        <v>-0.0009819044408999999</v>
      </c>
      <c r="H1444" s="196" t="n">
        <v>-6.06</v>
      </c>
      <c r="J1444" s="200" t="inlineStr">
        <is>
          <t>Feb</t>
        </is>
      </c>
      <c r="K1444" s="199" t="n">
        <v>2026</v>
      </c>
      <c r="L1444" s="199" t="n">
        <v>2026</v>
      </c>
    </row>
    <row r="1445" ht="15" customHeight="1" s="104">
      <c r="A1445" s="194" t="n">
        <v>46081</v>
      </c>
      <c r="B1445" s="195" t="inlineStr">
        <is>
          <t>Tiktok</t>
        </is>
      </c>
      <c r="C1445" s="195" t="inlineStr">
        <is>
          <t>Fees</t>
        </is>
      </c>
      <c r="D1445" s="195" t="inlineStr">
        <is>
          <t>Affiliate commission</t>
        </is>
      </c>
      <c r="E1445" s="196" t="n">
        <v>-284.6</v>
      </c>
      <c r="F1445" s="204" t="n">
        <v>-0.04611386203</v>
      </c>
      <c r="H1445" s="196" t="n">
        <v>-284.6</v>
      </c>
      <c r="J1445" s="200" t="inlineStr">
        <is>
          <t>Feb</t>
        </is>
      </c>
      <c r="K1445" s="199" t="n">
        <v>2026</v>
      </c>
      <c r="L1445" s="199" t="n">
        <v>2026</v>
      </c>
    </row>
    <row r="1446" ht="15" customHeight="1" s="104">
      <c r="A1446" s="194" t="n">
        <v>46081</v>
      </c>
      <c r="B1446" s="195" t="inlineStr">
        <is>
          <t>Tiktok</t>
        </is>
      </c>
      <c r="C1446" s="195" t="inlineStr">
        <is>
          <t>Fees</t>
        </is>
      </c>
      <c r="D1446" s="195" t="inlineStr">
        <is>
          <t>Affiliate partner commission</t>
        </is>
      </c>
      <c r="F1446" s="201" t="n">
        <v>0</v>
      </c>
      <c r="J1446" s="200" t="inlineStr">
        <is>
          <t>Feb</t>
        </is>
      </c>
      <c r="K1446" s="199" t="n">
        <v>2026</v>
      </c>
      <c r="L1446" s="199" t="n">
        <v>2026</v>
      </c>
    </row>
    <row r="1447" ht="15" customHeight="1" s="104">
      <c r="A1447" s="194" t="n">
        <v>46081</v>
      </c>
      <c r="B1447" s="195" t="inlineStr">
        <is>
          <t>Tiktok</t>
        </is>
      </c>
      <c r="C1447" s="195" t="inlineStr">
        <is>
          <t>Fees</t>
        </is>
      </c>
      <c r="D1447" s="195" t="inlineStr">
        <is>
          <t>Affiliate Shop Ads commission</t>
        </is>
      </c>
      <c r="E1447" s="196" t="n">
        <v>-56.76</v>
      </c>
      <c r="F1447" s="204" t="n">
        <v>-0.009196847536000001</v>
      </c>
      <c r="H1447" s="196" t="n">
        <v>-56.76</v>
      </c>
      <c r="J1447" s="200" t="inlineStr">
        <is>
          <t>Feb</t>
        </is>
      </c>
      <c r="K1447" s="199" t="n">
        <v>2026</v>
      </c>
      <c r="L1447" s="199" t="n">
        <v>2026</v>
      </c>
    </row>
    <row r="1448" ht="15" customHeight="1" s="104">
      <c r="A1448" s="194" t="n">
        <v>46081</v>
      </c>
      <c r="B1448" s="195" t="inlineStr">
        <is>
          <t>Tiktok</t>
        </is>
      </c>
      <c r="C1448" s="195" t="inlineStr">
        <is>
          <t>Fees</t>
        </is>
      </c>
      <c r="D1448" s="195" t="inlineStr">
        <is>
          <t>Co-funded promotion service fee</t>
        </is>
      </c>
      <c r="F1448" s="201" t="n">
        <v>0</v>
      </c>
      <c r="J1448" s="200" t="inlineStr">
        <is>
          <t>Feb</t>
        </is>
      </c>
      <c r="K1448" s="199" t="n">
        <v>2026</v>
      </c>
      <c r="L1448" s="199" t="n">
        <v>2026</v>
      </c>
    </row>
    <row r="1449" ht="15" customHeight="1" s="104">
      <c r="A1449" s="194" t="n">
        <v>46081</v>
      </c>
      <c r="B1449" s="195" t="inlineStr">
        <is>
          <t>Tiktok</t>
        </is>
      </c>
      <c r="C1449" s="195" t="inlineStr">
        <is>
          <t>Fees</t>
        </is>
      </c>
      <c r="D1449" s="195" t="inlineStr">
        <is>
          <t>Sales tax on referral fees</t>
        </is>
      </c>
      <c r="E1449" s="196" t="n">
        <v>-30.56</v>
      </c>
      <c r="F1449" s="204" t="n">
        <v>-0.004951650118</v>
      </c>
      <c r="H1449" s="196" t="n">
        <v>-30.56</v>
      </c>
      <c r="J1449" s="200" t="inlineStr">
        <is>
          <t>Feb</t>
        </is>
      </c>
      <c r="K1449" s="199" t="n">
        <v>2026</v>
      </c>
      <c r="L1449" s="199" t="n">
        <v>2026</v>
      </c>
    </row>
    <row r="1450" ht="15" customHeight="1" s="104">
      <c r="A1450" s="194" t="n">
        <v>46081</v>
      </c>
      <c r="B1450" s="195" t="inlineStr">
        <is>
          <t>Tiktok</t>
        </is>
      </c>
      <c r="C1450" s="195" t="inlineStr">
        <is>
          <t xml:space="preserve">Adjustments
</t>
        </is>
      </c>
      <c r="D1450" s="195" t="inlineStr">
        <is>
          <t>Logistics adjustment</t>
        </is>
      </c>
      <c r="E1450" s="198" t="n">
        <v>0</v>
      </c>
      <c r="F1450" s="201" t="n">
        <v>0</v>
      </c>
      <c r="H1450" s="198" t="n">
        <v>0</v>
      </c>
      <c r="J1450" s="200" t="inlineStr">
        <is>
          <t>Feb</t>
        </is>
      </c>
      <c r="K1450" s="199" t="n">
        <v>2026</v>
      </c>
      <c r="L1450" s="199" t="n">
        <v>2026</v>
      </c>
    </row>
    <row r="1451" ht="15" customHeight="1" s="104">
      <c r="A1451" s="194" t="n">
        <v>46081</v>
      </c>
      <c r="B1451" s="195" t="inlineStr">
        <is>
          <t>Tiktok</t>
        </is>
      </c>
      <c r="C1451" s="195" t="inlineStr">
        <is>
          <t xml:space="preserve">Adjustments
</t>
        </is>
      </c>
      <c r="D1451" s="195" t="inlineStr">
        <is>
          <t>Logistics reimbursement</t>
        </is>
      </c>
      <c r="E1451" s="196" t="n">
        <v>79.98</v>
      </c>
      <c r="F1451" s="204" t="n">
        <v>0.01295919426</v>
      </c>
      <c r="H1451" s="196" t="n">
        <v>79.98</v>
      </c>
      <c r="J1451" s="200" t="inlineStr">
        <is>
          <t>Feb</t>
        </is>
      </c>
      <c r="K1451" s="199" t="n">
        <v>2026</v>
      </c>
      <c r="L1451" s="199" t="n">
        <v>2026</v>
      </c>
    </row>
    <row r="1452" ht="15" customHeight="1" s="104">
      <c r="A1452" s="194" t="n">
        <v>46081</v>
      </c>
      <c r="B1452" s="195" t="inlineStr">
        <is>
          <t>Tiktok</t>
        </is>
      </c>
      <c r="C1452" s="195" t="inlineStr">
        <is>
          <t xml:space="preserve">Adjustments
</t>
        </is>
      </c>
      <c r="D1452" s="195" t="inlineStr">
        <is>
          <t>Logistics deduction</t>
        </is>
      </c>
      <c r="E1452" s="198" t="n">
        <v>0</v>
      </c>
      <c r="F1452" s="201" t="n">
        <v>0</v>
      </c>
      <c r="H1452" s="198" t="n">
        <v>0</v>
      </c>
      <c r="J1452" s="200" t="inlineStr">
        <is>
          <t>Feb</t>
        </is>
      </c>
      <c r="K1452" s="199" t="n">
        <v>2026</v>
      </c>
      <c r="L1452" s="199" t="n">
        <v>2026</v>
      </c>
    </row>
    <row r="1453" ht="15" customHeight="1" s="104">
      <c r="A1453" s="194" t="n">
        <v>46081</v>
      </c>
      <c r="B1453" s="195" t="inlineStr">
        <is>
          <t>Tiktok</t>
        </is>
      </c>
      <c r="C1453" s="195" t="inlineStr">
        <is>
          <t xml:space="preserve">Adjustments
</t>
        </is>
      </c>
      <c r="D1453" s="195" t="inlineStr">
        <is>
          <t>TikTok Shop reimbursement</t>
        </is>
      </c>
      <c r="E1453" s="198" t="n">
        <v>0</v>
      </c>
      <c r="F1453" s="201" t="n">
        <v>0</v>
      </c>
      <c r="H1453" s="198" t="n">
        <v>0</v>
      </c>
      <c r="J1453" s="200" t="inlineStr">
        <is>
          <t>Feb</t>
        </is>
      </c>
      <c r="K1453" s="199" t="n">
        <v>2026</v>
      </c>
      <c r="L1453" s="199" t="n">
        <v>2026</v>
      </c>
    </row>
    <row r="1454" ht="15" customHeight="1" s="104">
      <c r="A1454" s="194" t="n">
        <v>46081</v>
      </c>
      <c r="B1454" s="195" t="inlineStr">
        <is>
          <t>Tiktok</t>
        </is>
      </c>
      <c r="C1454" s="195" t="inlineStr">
        <is>
          <t xml:space="preserve">Adjustments
</t>
        </is>
      </c>
      <c r="D1454" s="195" t="inlineStr">
        <is>
          <t>Policy violation deduction</t>
        </is>
      </c>
      <c r="E1454" s="198" t="n">
        <v>0</v>
      </c>
      <c r="F1454" s="201" t="n">
        <v>0</v>
      </c>
      <c r="H1454" s="198" t="n">
        <v>0</v>
      </c>
      <c r="J1454" s="200" t="inlineStr">
        <is>
          <t>Feb</t>
        </is>
      </c>
      <c r="K1454" s="199" t="n">
        <v>2026</v>
      </c>
      <c r="L1454" s="199" t="n">
        <v>2026</v>
      </c>
    </row>
    <row r="1455" ht="15" customHeight="1" s="104">
      <c r="A1455" s="194" t="n">
        <v>46081</v>
      </c>
      <c r="B1455" s="195" t="inlineStr">
        <is>
          <t>Tiktok</t>
        </is>
      </c>
      <c r="C1455" s="195" t="inlineStr">
        <is>
          <t xml:space="preserve">Adjustments
</t>
        </is>
      </c>
      <c r="D1455" s="195" t="inlineStr">
        <is>
          <t>TikTok fees adjustment</t>
        </is>
      </c>
      <c r="E1455" s="198" t="n">
        <v>0</v>
      </c>
      <c r="F1455" s="201" t="n">
        <v>0</v>
      </c>
      <c r="H1455" s="198" t="n">
        <v>0</v>
      </c>
      <c r="J1455" s="200" t="inlineStr">
        <is>
          <t>Feb</t>
        </is>
      </c>
      <c r="K1455" s="199" t="n">
        <v>2026</v>
      </c>
      <c r="L1455" s="199" t="n">
        <v>2026</v>
      </c>
    </row>
    <row r="1456" ht="15" customHeight="1" s="104">
      <c r="A1456" s="194" t="n">
        <v>46081</v>
      </c>
      <c r="B1456" s="195" t="inlineStr">
        <is>
          <t>Tiktok</t>
        </is>
      </c>
      <c r="C1456" s="195" t="inlineStr">
        <is>
          <t xml:space="preserve">Adjustments
</t>
        </is>
      </c>
      <c r="D1456" s="195" t="inlineStr">
        <is>
          <t>Promotion adjustment</t>
        </is>
      </c>
      <c r="E1456" s="198" t="n">
        <v>0</v>
      </c>
      <c r="F1456" s="201" t="n">
        <v>0</v>
      </c>
      <c r="H1456" s="198" t="n">
        <v>0</v>
      </c>
      <c r="J1456" s="200" t="inlineStr">
        <is>
          <t>Feb</t>
        </is>
      </c>
      <c r="K1456" s="199" t="n">
        <v>2026</v>
      </c>
      <c r="L1456" s="199" t="n">
        <v>2026</v>
      </c>
    </row>
    <row r="1457" ht="15" customHeight="1" s="104">
      <c r="A1457" s="194" t="n">
        <v>46081</v>
      </c>
      <c r="B1457" s="195" t="inlineStr">
        <is>
          <t>Tiktok</t>
        </is>
      </c>
      <c r="C1457" s="195" t="inlineStr">
        <is>
          <t xml:space="preserve">Adjustments
</t>
        </is>
      </c>
      <c r="D1457" s="195" t="inlineStr">
        <is>
          <t>Adjustment from settlement account</t>
        </is>
      </c>
      <c r="E1457" s="198" t="n">
        <v>0</v>
      </c>
      <c r="F1457" s="201" t="n">
        <v>0</v>
      </c>
      <c r="H1457" s="198" t="n">
        <v>0</v>
      </c>
      <c r="J1457" s="200" t="inlineStr">
        <is>
          <t>Feb</t>
        </is>
      </c>
      <c r="K1457" s="199" t="n">
        <v>2026</v>
      </c>
      <c r="L1457" s="199" t="n">
        <v>2026</v>
      </c>
    </row>
    <row r="1458" ht="15" customHeight="1" s="104">
      <c r="A1458" s="194" t="n">
        <v>46081</v>
      </c>
      <c r="B1458" s="195" t="inlineStr">
        <is>
          <t>Tiktok</t>
        </is>
      </c>
      <c r="C1458" s="195" t="inlineStr">
        <is>
          <t xml:space="preserve">Adjustments
</t>
        </is>
      </c>
      <c r="D1458" s="195" t="inlineStr">
        <is>
          <t>Chargeback</t>
        </is>
      </c>
      <c r="E1458" s="198" t="n">
        <v>0</v>
      </c>
      <c r="F1458" s="201" t="n">
        <v>0</v>
      </c>
      <c r="H1458" s="198" t="n">
        <v>0</v>
      </c>
      <c r="J1458" s="200" t="inlineStr">
        <is>
          <t>Feb</t>
        </is>
      </c>
      <c r="K1458" s="199" t="n">
        <v>2026</v>
      </c>
      <c r="L1458" s="199" t="n">
        <v>2026</v>
      </c>
    </row>
    <row r="1459" ht="15" customHeight="1" s="104">
      <c r="A1459" s="194" t="n">
        <v>46081</v>
      </c>
      <c r="B1459" s="195" t="inlineStr">
        <is>
          <t>Tiktok</t>
        </is>
      </c>
      <c r="C1459" s="195" t="inlineStr">
        <is>
          <t xml:space="preserve">Adjustments
</t>
        </is>
      </c>
      <c r="D1459" s="195" t="inlineStr">
        <is>
          <t>Other adjustment</t>
        </is>
      </c>
      <c r="E1459" s="198" t="n">
        <v>0</v>
      </c>
      <c r="F1459" s="201" t="n">
        <v>0</v>
      </c>
      <c r="H1459" s="198" t="n">
        <v>0</v>
      </c>
      <c r="J1459" s="200" t="inlineStr">
        <is>
          <t>Feb</t>
        </is>
      </c>
      <c r="K1459" s="199" t="n">
        <v>2026</v>
      </c>
      <c r="L1459" s="199" t="n">
        <v>2026</v>
      </c>
    </row>
    <row r="1460" ht="15" customHeight="1" s="104">
      <c r="A1460" s="194" t="n">
        <v>46081</v>
      </c>
      <c r="B1460" s="195" t="inlineStr">
        <is>
          <t>Tiktok</t>
        </is>
      </c>
      <c r="C1460" s="195" t="inlineStr">
        <is>
          <t xml:space="preserve">Adjustments
</t>
        </is>
      </c>
      <c r="D1460" s="195" t="inlineStr">
        <is>
          <t>Top up ads balance using GMV payments</t>
        </is>
      </c>
      <c r="E1460" s="198" t="n">
        <v>0</v>
      </c>
      <c r="F1460" s="201" t="n">
        <v>0</v>
      </c>
      <c r="H1460" s="198" t="n">
        <v>0</v>
      </c>
      <c r="J1460" s="200" t="inlineStr">
        <is>
          <t>Feb</t>
        </is>
      </c>
      <c r="K1460" s="199" t="n">
        <v>2026</v>
      </c>
      <c r="L1460" s="199" t="n">
        <v>2026</v>
      </c>
    </row>
    <row r="1461" ht="15" customHeight="1" s="104">
      <c r="A1461" s="194" t="n">
        <v>46081</v>
      </c>
      <c r="B1461" s="195" t="inlineStr">
        <is>
          <t>Tiktok</t>
        </is>
      </c>
      <c r="C1461" s="195" t="inlineStr">
        <is>
          <t xml:space="preserve">Adjustments
</t>
        </is>
      </c>
      <c r="D1461" s="195" t="inlineStr">
        <is>
          <t>FBT warehouse service fee</t>
        </is>
      </c>
      <c r="E1461" s="198" t="n">
        <v>0</v>
      </c>
      <c r="F1461" s="201" t="n">
        <v>0</v>
      </c>
      <c r="H1461" s="198" t="n">
        <v>0</v>
      </c>
      <c r="J1461" s="200" t="inlineStr">
        <is>
          <t>Feb</t>
        </is>
      </c>
      <c r="K1461" s="199" t="n">
        <v>2026</v>
      </c>
      <c r="L1461" s="199" t="n">
        <v>2026</v>
      </c>
    </row>
    <row r="1462" ht="15" customHeight="1" s="104">
      <c r="A1462" s="194" t="n">
        <v>46081</v>
      </c>
      <c r="B1462" s="195" t="inlineStr">
        <is>
          <t>Tiktok</t>
        </is>
      </c>
      <c r="C1462" s="195" t="inlineStr">
        <is>
          <t xml:space="preserve">Adjustments
</t>
        </is>
      </c>
      <c r="D1462" s="195" t="inlineStr">
        <is>
          <t>FBT warehouse service fee using GMV payments</t>
        </is>
      </c>
      <c r="E1462" s="198" t="n">
        <v>0</v>
      </c>
      <c r="F1462" s="201" t="n">
        <v>0</v>
      </c>
      <c r="H1462" s="198" t="n">
        <v>0</v>
      </c>
      <c r="J1462" s="200" t="inlineStr">
        <is>
          <t>Feb</t>
        </is>
      </c>
      <c r="K1462" s="199" t="n">
        <v>2026</v>
      </c>
      <c r="L1462" s="199" t="n">
        <v>2026</v>
      </c>
    </row>
    <row r="1463" ht="15" customHeight="1" s="104">
      <c r="A1463" s="194" t="n">
        <v>46081</v>
      </c>
      <c r="B1463" s="195" t="inlineStr">
        <is>
          <t>Tiktok</t>
        </is>
      </c>
      <c r="C1463" s="195" t="inlineStr">
        <is>
          <t>Cost of goods</t>
        </is>
      </c>
      <c r="D1463" s="195" t="inlineStr">
        <is>
          <t>Cost of goods sold</t>
        </is>
      </c>
      <c r="E1463" s="196" t="n">
        <v>2194.68</v>
      </c>
      <c r="F1463" s="204" t="n">
        <v>0.3556049568</v>
      </c>
      <c r="H1463" s="196" t="n">
        <v>2194.68</v>
      </c>
      <c r="J1463" s="200" t="inlineStr">
        <is>
          <t>Feb</t>
        </is>
      </c>
      <c r="K1463" s="199" t="n">
        <v>2026</v>
      </c>
      <c r="L1463" s="199" t="n">
        <v>2026</v>
      </c>
    </row>
    <row r="1464" ht="15" customHeight="1" s="104">
      <c r="A1464" s="194" t="n">
        <v>46081</v>
      </c>
      <c r="B1464" s="195" t="inlineStr">
        <is>
          <t>Tiktok</t>
        </is>
      </c>
      <c r="C1464" s="195" t="inlineStr">
        <is>
          <t>Advertising cost</t>
        </is>
      </c>
      <c r="D1464" s="195" t="inlineStr">
        <is>
          <t>Advertising Cost</t>
        </is>
      </c>
      <c r="E1464" s="196" t="n">
        <v>-2271.81</v>
      </c>
      <c r="F1464" s="204" t="n">
        <v>-0.3681023643</v>
      </c>
      <c r="H1464" s="196" t="n">
        <v>-2271.81</v>
      </c>
      <c r="J1464" s="200" t="inlineStr">
        <is>
          <t>Feb</t>
        </is>
      </c>
      <c r="K1464" s="199" t="n">
        <v>2026</v>
      </c>
      <c r="L1464" s="199" t="n">
        <v>2026</v>
      </c>
    </row>
    <row r="1465" ht="15" customHeight="1" s="104">
      <c r="A1465" s="194" t="n">
        <v>46081</v>
      </c>
      <c r="B1465" s="195" t="inlineStr">
        <is>
          <t>Shopify</t>
        </is>
      </c>
      <c r="C1465" s="195" t="inlineStr">
        <is>
          <t>Payment fees</t>
        </is>
      </c>
      <c r="D1465" s="195" t="inlineStr">
        <is>
          <t>Shopify Payments fee</t>
        </is>
      </c>
      <c r="E1465" s="196" t="n">
        <v>-269.08</v>
      </c>
      <c r="F1465" s="204" t="n">
        <v>-0.03615689847</v>
      </c>
      <c r="H1465" s="196" t="n">
        <v>-269.08</v>
      </c>
      <c r="J1465" s="200" t="inlineStr">
        <is>
          <t>Feb</t>
        </is>
      </c>
      <c r="K1465" s="199" t="n">
        <v>2026</v>
      </c>
      <c r="L1465" s="199" t="n">
        <v>2026</v>
      </c>
    </row>
    <row r="1466" ht="15" customHeight="1" s="104">
      <c r="A1466" s="194" t="n">
        <v>46081</v>
      </c>
      <c r="B1466" s="195" t="inlineStr">
        <is>
          <t>Shopify</t>
        </is>
      </c>
      <c r="C1466" s="195" t="inlineStr">
        <is>
          <t>Cost of goods</t>
        </is>
      </c>
      <c r="D1466" s="195" t="inlineStr">
        <is>
          <t>Cost of goods sold</t>
        </is>
      </c>
      <c r="E1466" s="196" t="n">
        <v>-2427.32</v>
      </c>
      <c r="F1466" s="204" t="n">
        <v>-0.3261645711</v>
      </c>
      <c r="H1466" s="196" t="n">
        <v>-2427.32</v>
      </c>
      <c r="J1466" s="200" t="inlineStr">
        <is>
          <t>Feb</t>
        </is>
      </c>
      <c r="K1466" s="199" t="n">
        <v>2026</v>
      </c>
      <c r="L1466" s="199" t="n">
        <v>2026</v>
      </c>
    </row>
    <row r="1467" ht="15" customHeight="1" s="104">
      <c r="A1467" s="194" t="n">
        <v>46081</v>
      </c>
      <c r="B1467" s="195" t="inlineStr">
        <is>
          <t>Shopify</t>
        </is>
      </c>
      <c r="C1467" s="195" t="inlineStr">
        <is>
          <t>Tax</t>
        </is>
      </c>
      <c r="D1467" s="195" t="inlineStr">
        <is>
          <t>New Jersey State Tax</t>
        </is>
      </c>
      <c r="E1467" s="196" t="n">
        <v>-15.61</v>
      </c>
      <c r="F1467" s="204" t="n">
        <v>-0.002097551602</v>
      </c>
      <c r="H1467" s="196" t="n">
        <v>-15.61</v>
      </c>
      <c r="J1467" s="200" t="inlineStr">
        <is>
          <t>Feb</t>
        </is>
      </c>
      <c r="K1467" s="199" t="n">
        <v>2026</v>
      </c>
      <c r="L1467" s="199" t="n">
        <v>2026</v>
      </c>
    </row>
    <row r="1468" ht="15" customHeight="1" s="104">
      <c r="A1468" s="194" t="n">
        <v>46081</v>
      </c>
      <c r="B1468" s="195" t="inlineStr">
        <is>
          <t>Shopify</t>
        </is>
      </c>
      <c r="C1468" s="195" t="inlineStr">
        <is>
          <t>Tax</t>
        </is>
      </c>
      <c r="D1468" s="195" t="inlineStr">
        <is>
          <t>Galveston City Tax</t>
        </is>
      </c>
      <c r="E1468" s="196" t="n">
        <v>-18.2</v>
      </c>
      <c r="F1468" s="204" t="n">
        <v>-0.002445575859</v>
      </c>
      <c r="H1468" s="196" t="n">
        <v>-18.2</v>
      </c>
      <c r="J1468" s="200" t="inlineStr">
        <is>
          <t>Feb</t>
        </is>
      </c>
      <c r="K1468" s="199" t="n">
        <v>2026</v>
      </c>
      <c r="L1468" s="199" t="n">
        <v>2026</v>
      </c>
    </row>
    <row r="1469" ht="15" customHeight="1" s="104">
      <c r="A1469" s="194" t="n">
        <v>46081</v>
      </c>
      <c r="B1469" s="195" t="inlineStr">
        <is>
          <t>Shopify</t>
        </is>
      </c>
      <c r="C1469" s="195" t="inlineStr">
        <is>
          <t>Tax</t>
        </is>
      </c>
      <c r="D1469" s="195" t="inlineStr">
        <is>
          <t>Texas State Tax</t>
        </is>
      </c>
      <c r="E1469" s="196" t="n">
        <v>-38.26</v>
      </c>
      <c r="F1469" s="204" t="n">
        <v>-0.005141084196</v>
      </c>
      <c r="H1469" s="196" t="n">
        <v>-38.26</v>
      </c>
      <c r="J1469" s="200" t="inlineStr">
        <is>
          <t>Feb</t>
        </is>
      </c>
      <c r="K1469" s="199" t="n">
        <v>2026</v>
      </c>
      <c r="L1469" s="199" t="n">
        <v>2026</v>
      </c>
    </row>
    <row r="1470" ht="15" customHeight="1" s="104">
      <c r="A1470" s="194" t="n">
        <v>46081</v>
      </c>
      <c r="B1470" s="195" t="inlineStr">
        <is>
          <t>Shopify</t>
        </is>
      </c>
      <c r="C1470" s="195" t="inlineStr">
        <is>
          <t>Tax</t>
        </is>
      </c>
      <c r="D1470" s="195" t="inlineStr">
        <is>
          <t>Miami Dade County Tax</t>
        </is>
      </c>
      <c r="E1470" s="197" t="n">
        <v>-0.7</v>
      </c>
      <c r="F1470" s="204" t="n">
        <v>-9.406060997e-05</v>
      </c>
      <c r="H1470" s="197" t="n">
        <v>-0.7</v>
      </c>
      <c r="J1470" s="200" t="inlineStr">
        <is>
          <t>Feb</t>
        </is>
      </c>
      <c r="K1470" s="199" t="n">
        <v>2026</v>
      </c>
      <c r="L1470" s="199" t="n">
        <v>2026</v>
      </c>
    </row>
    <row r="1471" ht="15" customHeight="1" s="104">
      <c r="A1471" s="194" t="n">
        <v>46081</v>
      </c>
      <c r="B1471" s="195" t="inlineStr">
        <is>
          <t>Shopify</t>
        </is>
      </c>
      <c r="C1471" s="195" t="inlineStr">
        <is>
          <t>Tax</t>
        </is>
      </c>
      <c r="D1471" s="195" t="inlineStr">
        <is>
          <t>Florida State Tax</t>
        </is>
      </c>
      <c r="E1471" s="196" t="n">
        <v>-4.2</v>
      </c>
      <c r="F1471" s="204" t="n">
        <v>-0.0005643636598</v>
      </c>
      <c r="H1471" s="196" t="n">
        <v>-4.2</v>
      </c>
      <c r="J1471" s="200" t="inlineStr">
        <is>
          <t>Feb</t>
        </is>
      </c>
      <c r="K1471" s="199" t="n">
        <v>2026</v>
      </c>
      <c r="L1471" s="199" t="n">
        <v>2026</v>
      </c>
    </row>
    <row r="1472" ht="15" customHeight="1" s="104">
      <c r="A1472" s="194" t="n">
        <v>46081</v>
      </c>
      <c r="B1472" s="195" t="inlineStr">
        <is>
          <t>Shopify</t>
        </is>
      </c>
      <c r="C1472" s="195" t="inlineStr">
        <is>
          <t>MCF Shipping fees</t>
        </is>
      </c>
      <c r="D1472" s="195" t="inlineStr">
        <is>
          <t>MCF Shipping fees</t>
        </is>
      </c>
      <c r="E1472" s="196" t="n">
        <v>-1086.62</v>
      </c>
      <c r="F1472" s="204" t="n">
        <v>-0.1460116286</v>
      </c>
      <c r="H1472" s="196" t="n">
        <v>-1086.62</v>
      </c>
      <c r="J1472" s="200" t="inlineStr">
        <is>
          <t>Feb</t>
        </is>
      </c>
      <c r="K1472" s="199" t="n">
        <v>2026</v>
      </c>
      <c r="L1472" s="199" t="n">
        <v>2026</v>
      </c>
    </row>
    <row r="1473" ht="15" customHeight="1" s="104">
      <c r="A1473" s="194" t="n">
        <v>46081</v>
      </c>
      <c r="B1473" s="195" t="inlineStr">
        <is>
          <t>Shopify</t>
        </is>
      </c>
      <c r="C1473" s="195" t="inlineStr">
        <is>
          <t>Shipping Cost</t>
        </is>
      </c>
      <c r="D1473" s="195" t="inlineStr">
        <is>
          <t>Shipping Cost</t>
        </is>
      </c>
      <c r="E1473" s="198" t="n">
        <v>0</v>
      </c>
      <c r="F1473" s="201" t="n">
        <v>0</v>
      </c>
      <c r="H1473" s="198" t="n">
        <v>0</v>
      </c>
      <c r="J1473" s="200" t="inlineStr">
        <is>
          <t>Feb</t>
        </is>
      </c>
      <c r="K1473" s="199" t="n">
        <v>2026</v>
      </c>
      <c r="L1473" s="199" t="n">
        <v>2026</v>
      </c>
    </row>
    <row r="1474" ht="15" customHeight="1" s="104">
      <c r="A1474" s="194" t="n">
        <v>46081</v>
      </c>
      <c r="B1474" s="195" t="inlineStr">
        <is>
          <t>Shopify</t>
        </is>
      </c>
      <c r="C1474" s="195" t="inlineStr">
        <is>
          <t>Advertising cost</t>
        </is>
      </c>
      <c r="D1474" s="195" t="inlineStr">
        <is>
          <t>Advertising Cost</t>
        </is>
      </c>
      <c r="E1474" s="196" t="n">
        <v>-2781.22</v>
      </c>
      <c r="F1474" s="204" t="n">
        <v>-0.3737189281</v>
      </c>
      <c r="H1474" s="196" t="n">
        <v>-2781.22</v>
      </c>
      <c r="J1474" s="200" t="inlineStr">
        <is>
          <t>Feb</t>
        </is>
      </c>
      <c r="K1474" s="199" t="n">
        <v>2026</v>
      </c>
      <c r="L1474" s="199" t="n">
        <v>2026</v>
      </c>
    </row>
    <row r="1475" ht="15" customHeight="1" s="104">
      <c r="A1475" s="194" t="n">
        <v>46112</v>
      </c>
      <c r="B1475" s="195" t="inlineStr">
        <is>
          <t>Amazon US</t>
        </is>
      </c>
      <c r="C1475" s="195" t="inlineStr">
        <is>
          <t>Advertising cost</t>
        </is>
      </c>
      <c r="D1475" s="195" t="inlineStr">
        <is>
          <t>Sponsored Products</t>
        </is>
      </c>
      <c r="E1475" s="196" t="n">
        <v>-9129.889999999999</v>
      </c>
      <c r="F1475" s="204" t="n">
        <v>-0.1278654352</v>
      </c>
      <c r="H1475" s="196" t="n">
        <v>-9129.889999999999</v>
      </c>
      <c r="J1475" s="200" t="inlineStr">
        <is>
          <t>Mar</t>
        </is>
      </c>
      <c r="K1475" s="199" t="n">
        <v>2026</v>
      </c>
      <c r="L1475" s="199" t="n">
        <v>2026</v>
      </c>
    </row>
    <row r="1476" ht="15" customHeight="1" s="104">
      <c r="A1476" s="194" t="n">
        <v>46112</v>
      </c>
      <c r="B1476" s="195" t="inlineStr">
        <is>
          <t>Amazon US</t>
        </is>
      </c>
      <c r="C1476" s="195" t="inlineStr">
        <is>
          <t>Advertising cost</t>
        </is>
      </c>
      <c r="D1476" s="195" t="inlineStr">
        <is>
          <t>Sponsored Brands Video</t>
        </is>
      </c>
      <c r="E1476" s="196" t="n">
        <v>-733.51</v>
      </c>
      <c r="F1476" s="204" t="n">
        <v>-0.01027291406</v>
      </c>
      <c r="H1476" s="196" t="n">
        <v>-733.51</v>
      </c>
      <c r="J1476" s="200" t="inlineStr">
        <is>
          <t>Mar</t>
        </is>
      </c>
      <c r="K1476" s="199" t="n">
        <v>2026</v>
      </c>
      <c r="L1476" s="199" t="n">
        <v>2026</v>
      </c>
    </row>
    <row r="1477" ht="15" customHeight="1" s="104">
      <c r="A1477" s="194" t="n">
        <v>46112</v>
      </c>
      <c r="B1477" s="195" t="inlineStr">
        <is>
          <t>Amazon US</t>
        </is>
      </c>
      <c r="C1477" s="195" t="inlineStr">
        <is>
          <t>Advertising cost</t>
        </is>
      </c>
      <c r="D1477" s="195" t="inlineStr">
        <is>
          <t>Sponsored Display</t>
        </is>
      </c>
      <c r="E1477" s="198" t="n">
        <v>0</v>
      </c>
      <c r="F1477" s="201" t="n">
        <v>0</v>
      </c>
      <c r="H1477" s="198" t="n">
        <v>0</v>
      </c>
      <c r="J1477" s="200" t="inlineStr">
        <is>
          <t>Mar</t>
        </is>
      </c>
      <c r="K1477" s="199" t="n">
        <v>2026</v>
      </c>
      <c r="L1477" s="199" t="n">
        <v>2026</v>
      </c>
    </row>
    <row r="1478" ht="15" customHeight="1" s="104">
      <c r="A1478" s="194" t="n">
        <v>46112</v>
      </c>
      <c r="B1478" s="195" t="inlineStr">
        <is>
          <t>Amazon US</t>
        </is>
      </c>
      <c r="C1478" s="195" t="inlineStr">
        <is>
          <t>Advertising cost</t>
        </is>
      </c>
      <c r="D1478" s="195" t="inlineStr">
        <is>
          <t>Sponsored Brands</t>
        </is>
      </c>
      <c r="E1478" s="198" t="n">
        <v>0</v>
      </c>
      <c r="F1478" s="201" t="n">
        <v>0</v>
      </c>
      <c r="H1478" s="198" t="n">
        <v>0</v>
      </c>
      <c r="J1478" s="200" t="inlineStr">
        <is>
          <t>Mar</t>
        </is>
      </c>
      <c r="K1478" s="199" t="n">
        <v>2026</v>
      </c>
      <c r="L1478" s="199" t="n">
        <v>2026</v>
      </c>
    </row>
    <row r="1479" ht="15" customHeight="1" s="104">
      <c r="A1479" s="194" t="n">
        <v>46112</v>
      </c>
      <c r="B1479" s="195" t="inlineStr">
        <is>
          <t>Amazon US</t>
        </is>
      </c>
      <c r="C1479" s="195" t="inlineStr">
        <is>
          <t>Refund cost</t>
        </is>
      </c>
      <c r="D1479" s="195" t="inlineStr">
        <is>
          <t>Refunded amount</t>
        </is>
      </c>
      <c r="E1479" s="196" t="n">
        <v>-9983.950000000001</v>
      </c>
      <c r="F1479" s="204" t="n">
        <v>-0.1398266695</v>
      </c>
      <c r="H1479" s="196" t="n">
        <v>-9983.950000000001</v>
      </c>
      <c r="J1479" s="200" t="inlineStr">
        <is>
          <t>Mar</t>
        </is>
      </c>
      <c r="K1479" s="199" t="n">
        <v>2026</v>
      </c>
      <c r="L1479" s="199" t="n">
        <v>2026</v>
      </c>
    </row>
    <row r="1480" ht="15" customHeight="1" s="104">
      <c r="A1480" s="194" t="n">
        <v>46112</v>
      </c>
      <c r="B1480" s="195" t="inlineStr">
        <is>
          <t>Amazon US</t>
        </is>
      </c>
      <c r="C1480" s="195" t="inlineStr">
        <is>
          <t>Refund cost</t>
        </is>
      </c>
      <c r="D1480" s="195" t="inlineStr">
        <is>
          <t>Refund commission</t>
        </is>
      </c>
      <c r="E1480" s="196" t="n">
        <v>-296.16</v>
      </c>
      <c r="F1480" s="204" t="n">
        <v>-0.004147763805</v>
      </c>
      <c r="H1480" s="196" t="n">
        <v>-296.16</v>
      </c>
      <c r="J1480" s="200" t="inlineStr">
        <is>
          <t>Mar</t>
        </is>
      </c>
      <c r="K1480" s="199" t="n">
        <v>2026</v>
      </c>
      <c r="L1480" s="199" t="n">
        <v>2026</v>
      </c>
    </row>
    <row r="1481" ht="15" customHeight="1" s="104">
      <c r="A1481" s="194" t="n">
        <v>46112</v>
      </c>
      <c r="B1481" s="195" t="inlineStr">
        <is>
          <t>Amazon US</t>
        </is>
      </c>
      <c r="C1481" s="195" t="inlineStr">
        <is>
          <t>Refund cost</t>
        </is>
      </c>
      <c r="D1481" s="195" t="inlineStr">
        <is>
          <t>Promotion</t>
        </is>
      </c>
      <c r="E1481" s="196" t="n">
        <v>70.87</v>
      </c>
      <c r="F1481" s="204" t="n">
        <v>0.0009925446411000001</v>
      </c>
      <c r="H1481" s="196" t="n">
        <v>70.87</v>
      </c>
      <c r="J1481" s="200" t="inlineStr">
        <is>
          <t>Mar</t>
        </is>
      </c>
      <c r="K1481" s="199" t="n">
        <v>2026</v>
      </c>
      <c r="L1481" s="199" t="n">
        <v>2026</v>
      </c>
    </row>
    <row r="1482" ht="15" customHeight="1" s="104">
      <c r="A1482" s="194" t="n">
        <v>46112</v>
      </c>
      <c r="B1482" s="195" t="inlineStr">
        <is>
          <t>Amazon US</t>
        </is>
      </c>
      <c r="C1482" s="195" t="inlineStr">
        <is>
          <t>Refund cost</t>
        </is>
      </c>
      <c r="D1482" s="195" t="inlineStr">
        <is>
          <t>Restocking Deduction Principal</t>
        </is>
      </c>
      <c r="E1482" s="196" t="n">
        <v>43.2</v>
      </c>
      <c r="F1482" s="204" t="n">
        <v>0.0006050222731</v>
      </c>
      <c r="H1482" s="196" t="n">
        <v>43.2</v>
      </c>
      <c r="J1482" s="200" t="inlineStr">
        <is>
          <t>Mar</t>
        </is>
      </c>
      <c r="K1482" s="199" t="n">
        <v>2026</v>
      </c>
      <c r="L1482" s="199" t="n">
        <v>2026</v>
      </c>
    </row>
    <row r="1483" ht="15" customHeight="1" s="104">
      <c r="A1483" s="194" t="n">
        <v>46112</v>
      </c>
      <c r="B1483" s="195" t="inlineStr">
        <is>
          <t>Amazon US</t>
        </is>
      </c>
      <c r="C1483" s="195" t="inlineStr">
        <is>
          <t>Refund cost</t>
        </is>
      </c>
      <c r="D1483" s="195" t="inlineStr">
        <is>
          <t>Refunded referral fee</t>
        </is>
      </c>
      <c r="E1483" s="196" t="n">
        <v>1487.29</v>
      </c>
      <c r="F1483" s="204" t="n">
        <v>0.02082971242</v>
      </c>
      <c r="H1483" s="196" t="n">
        <v>1487.29</v>
      </c>
      <c r="J1483" s="200" t="inlineStr">
        <is>
          <t>Mar</t>
        </is>
      </c>
      <c r="K1483" s="199" t="n">
        <v>2026</v>
      </c>
      <c r="L1483" s="199" t="n">
        <v>2026</v>
      </c>
    </row>
    <row r="1484" ht="15" customHeight="1" s="104">
      <c r="A1484" s="194" t="n">
        <v>46112</v>
      </c>
      <c r="B1484" s="195" t="inlineStr">
        <is>
          <t>Amazon US</t>
        </is>
      </c>
      <c r="C1484" s="195" t="inlineStr">
        <is>
          <t>Refund cost</t>
        </is>
      </c>
      <c r="D1484" s="195" t="inlineStr">
        <is>
          <t>Value of returned items</t>
        </is>
      </c>
      <c r="E1484" s="196" t="n">
        <v>1462.19</v>
      </c>
      <c r="F1484" s="204" t="n">
        <v>0.02047818327</v>
      </c>
      <c r="H1484" s="196" t="n">
        <v>1462.19</v>
      </c>
      <c r="J1484" s="200" t="inlineStr">
        <is>
          <t>Mar</t>
        </is>
      </c>
      <c r="K1484" s="199" t="n">
        <v>2026</v>
      </c>
      <c r="L1484" s="199" t="n">
        <v>2026</v>
      </c>
    </row>
    <row r="1485" ht="15" customHeight="1" s="104">
      <c r="A1485" s="194" t="n">
        <v>46112</v>
      </c>
      <c r="B1485" s="195" t="inlineStr">
        <is>
          <t>Amazon US</t>
        </is>
      </c>
      <c r="C1485" s="195" t="inlineStr">
        <is>
          <t>Amazon fees</t>
        </is>
      </c>
      <c r="D1485" s="195" t="inlineStr">
        <is>
          <t>FBA per unit fulfilment fee</t>
        </is>
      </c>
      <c r="E1485" s="196" t="n">
        <v>-13532.74</v>
      </c>
      <c r="F1485" s="204" t="n">
        <v>-0.1895279888</v>
      </c>
      <c r="H1485" s="196" t="n">
        <v>-13532.74</v>
      </c>
      <c r="J1485" s="200" t="inlineStr">
        <is>
          <t>Mar</t>
        </is>
      </c>
      <c r="K1485" s="199" t="n">
        <v>2026</v>
      </c>
      <c r="L1485" s="199" t="n">
        <v>2026</v>
      </c>
    </row>
    <row r="1486" ht="15" customHeight="1" s="104">
      <c r="A1486" s="194" t="n">
        <v>46112</v>
      </c>
      <c r="B1486" s="195" t="inlineStr">
        <is>
          <t>Amazon US</t>
        </is>
      </c>
      <c r="C1486" s="195" t="inlineStr">
        <is>
          <t>Amazon fees</t>
        </is>
      </c>
      <c r="D1486" s="195" t="inlineStr">
        <is>
          <t>Referral fee</t>
        </is>
      </c>
      <c r="E1486" s="196" t="n">
        <v>-10424.63</v>
      </c>
      <c r="F1486" s="204" t="n">
        <v>-0.1459984569</v>
      </c>
      <c r="H1486" s="196" t="n">
        <v>-10424.63</v>
      </c>
      <c r="J1486" s="200" t="inlineStr">
        <is>
          <t>Mar</t>
        </is>
      </c>
      <c r="K1486" s="199" t="n">
        <v>2026</v>
      </c>
      <c r="L1486" s="199" t="n">
        <v>2026</v>
      </c>
    </row>
    <row r="1487" ht="15" customHeight="1" s="104">
      <c r="A1487" s="194" t="n">
        <v>46112</v>
      </c>
      <c r="B1487" s="195" t="inlineStr">
        <is>
          <t>Amazon US</t>
        </is>
      </c>
      <c r="C1487" s="195" t="inlineStr">
        <is>
          <t>Amazon fees</t>
        </is>
      </c>
      <c r="D1487" s="195" t="inlineStr">
        <is>
          <t>FBA storage fee</t>
        </is>
      </c>
      <c r="E1487" s="196" t="n">
        <v>-1774.16</v>
      </c>
      <c r="F1487" s="204" t="n">
        <v>-0.02484736843</v>
      </c>
      <c r="H1487" s="196" t="n">
        <v>-1774.16</v>
      </c>
      <c r="J1487" s="200" t="inlineStr">
        <is>
          <t>Mar</t>
        </is>
      </c>
      <c r="K1487" s="199" t="n">
        <v>2026</v>
      </c>
      <c r="L1487" s="199" t="n">
        <v>2026</v>
      </c>
    </row>
    <row r="1488" ht="15" customHeight="1" s="104">
      <c r="A1488" s="194" t="n">
        <v>46112</v>
      </c>
      <c r="B1488" s="195" t="inlineStr">
        <is>
          <t>Amazon US</t>
        </is>
      </c>
      <c r="C1488" s="195" t="inlineStr">
        <is>
          <t>Amazon fees</t>
        </is>
      </c>
      <c r="D1488" s="195" t="inlineStr">
        <is>
          <t xml:space="preserve">Inbound transportation
</t>
        </is>
      </c>
      <c r="E1488" s="196" t="n">
        <v>-660.5700000000001</v>
      </c>
      <c r="F1488" s="204" t="n">
        <v>-0.009251378772</v>
      </c>
      <c r="J1488" s="200" t="inlineStr">
        <is>
          <t>Mar</t>
        </is>
      </c>
      <c r="K1488" s="199" t="n">
        <v>2026</v>
      </c>
      <c r="L1488" s="199" t="n">
        <v>2026</v>
      </c>
    </row>
    <row r="1489" ht="15" customHeight="1" s="104">
      <c r="A1489" s="194" t="n">
        <v>46112</v>
      </c>
      <c r="B1489" s="195" t="inlineStr">
        <is>
          <t>Amazon US</t>
        </is>
      </c>
      <c r="C1489" s="195" t="inlineStr">
        <is>
          <t>Amazon fees</t>
        </is>
      </c>
      <c r="D1489" s="195" t="inlineStr">
        <is>
          <t>Hrr non apparel rollup</t>
        </is>
      </c>
      <c r="E1489" s="196" t="n">
        <v>-460.79</v>
      </c>
      <c r="F1489" s="204" t="n">
        <v>-0.006453430861</v>
      </c>
      <c r="H1489" s="196" t="n">
        <v>-460.79</v>
      </c>
      <c r="J1489" s="200" t="inlineStr">
        <is>
          <t>Mar</t>
        </is>
      </c>
      <c r="K1489" s="199" t="n">
        <v>2026</v>
      </c>
      <c r="L1489" s="199" t="n">
        <v>2026</v>
      </c>
    </row>
    <row r="1490" ht="15" customHeight="1" s="104">
      <c r="A1490" s="194" t="n">
        <v>46112</v>
      </c>
      <c r="B1490" s="195" t="inlineStr">
        <is>
          <t>Amazon US</t>
        </is>
      </c>
      <c r="C1490" s="195" t="inlineStr">
        <is>
          <t>Amazon fees</t>
        </is>
      </c>
      <c r="D1490" s="195" t="inlineStr">
        <is>
          <t>FBA disposal fee</t>
        </is>
      </c>
      <c r="E1490" s="196" t="n">
        <v>-359.85</v>
      </c>
      <c r="F1490" s="204" t="n">
        <v>-0.005039751504</v>
      </c>
      <c r="H1490" s="196" t="n">
        <v>-359.85</v>
      </c>
      <c r="J1490" s="200" t="inlineStr">
        <is>
          <t>Mar</t>
        </is>
      </c>
      <c r="K1490" s="199" t="n">
        <v>2026</v>
      </c>
      <c r="L1490" s="199" t="n">
        <v>2026</v>
      </c>
    </row>
    <row r="1491" ht="15" customHeight="1" s="104">
      <c r="A1491" s="194" t="n">
        <v>46112</v>
      </c>
      <c r="B1491" s="195" t="inlineStr">
        <is>
          <t>Amazon US</t>
        </is>
      </c>
      <c r="C1491" s="195" t="inlineStr">
        <is>
          <t>Amazon fees</t>
        </is>
      </c>
      <c r="D1491" s="195" t="inlineStr">
        <is>
          <t>Missing from inbound clawback</t>
        </is>
      </c>
      <c r="E1491" s="196" t="n">
        <v>-296.72</v>
      </c>
      <c r="F1491" s="204" t="n">
        <v>-0.004155606687</v>
      </c>
      <c r="H1491" s="196" t="n">
        <v>-296.72</v>
      </c>
      <c r="J1491" s="200" t="inlineStr">
        <is>
          <t>Mar</t>
        </is>
      </c>
      <c r="K1491" s="199" t="n">
        <v>2026</v>
      </c>
      <c r="L1491" s="199" t="n">
        <v>2026</v>
      </c>
    </row>
    <row r="1492" ht="15" customHeight="1" s="104">
      <c r="A1492" s="194" t="n">
        <v>46112</v>
      </c>
      <c r="B1492" s="195" t="inlineStr">
        <is>
          <t>Amazon US</t>
        </is>
      </c>
      <c r="C1492" s="195" t="inlineStr">
        <is>
          <t>Amazon fees</t>
        </is>
      </c>
      <c r="D1492" s="195" t="inlineStr">
        <is>
          <t>AWD transportation fee</t>
        </is>
      </c>
      <c r="E1492" s="196" t="n">
        <v>-96.29000000000001</v>
      </c>
      <c r="F1492" s="204" t="n">
        <v>-0.001348555432</v>
      </c>
      <c r="H1492" s="196" t="n">
        <v>-96.29000000000001</v>
      </c>
      <c r="J1492" s="200" t="inlineStr">
        <is>
          <t>Mar</t>
        </is>
      </c>
      <c r="K1492" s="199" t="n">
        <v>2026</v>
      </c>
      <c r="L1492" s="199" t="n">
        <v>2026</v>
      </c>
    </row>
    <row r="1493" ht="15" customHeight="1" s="104">
      <c r="A1493" s="194" t="n">
        <v>46112</v>
      </c>
      <c r="B1493" s="195" t="inlineStr">
        <is>
          <t>Amazon US</t>
        </is>
      </c>
      <c r="C1493" s="195" t="inlineStr">
        <is>
          <t>Amazon fees</t>
        </is>
      </c>
      <c r="D1493" s="195" t="inlineStr">
        <is>
          <t xml:space="preserve">Deal participation fee rollup
</t>
        </is>
      </c>
      <c r="E1493" s="196" t="n">
        <v>-70</v>
      </c>
      <c r="F1493" s="204" t="n">
        <v>-0.0009803601646999999</v>
      </c>
      <c r="H1493" s="196" t="n">
        <v>-70</v>
      </c>
      <c r="J1493" s="200" t="inlineStr">
        <is>
          <t>Mar</t>
        </is>
      </c>
      <c r="K1493" s="199" t="n">
        <v>2026</v>
      </c>
      <c r="L1493" s="199" t="n">
        <v>2026</v>
      </c>
    </row>
    <row r="1494" ht="15" customHeight="1" s="104">
      <c r="A1494" s="194" t="n">
        <v>46112</v>
      </c>
      <c r="B1494" s="195" t="inlineStr">
        <is>
          <t>Amazon US</t>
        </is>
      </c>
      <c r="C1494" s="195" t="inlineStr">
        <is>
          <t>Amazon fees</t>
        </is>
      </c>
      <c r="D1494" s="195" t="inlineStr">
        <is>
          <t>Re commerce grading and listing charge</t>
        </is>
      </c>
      <c r="E1494" s="196" t="n">
        <v>-59.4</v>
      </c>
      <c r="F1494" s="204" t="n">
        <v>-0.0008319056255</v>
      </c>
      <c r="H1494" s="196" t="n">
        <v>-59.4</v>
      </c>
      <c r="J1494" s="200" t="inlineStr">
        <is>
          <t>Mar</t>
        </is>
      </c>
      <c r="K1494" s="199" t="n">
        <v>2026</v>
      </c>
      <c r="L1494" s="199" t="n">
        <v>2026</v>
      </c>
    </row>
    <row r="1495" ht="15" customHeight="1" s="104">
      <c r="A1495" s="194" t="n">
        <v>46112</v>
      </c>
      <c r="B1495" s="195" t="inlineStr">
        <is>
          <t>Amazon US</t>
        </is>
      </c>
      <c r="C1495" s="195" t="inlineStr">
        <is>
          <t>Amazon fees</t>
        </is>
      </c>
      <c r="D1495" s="195" t="inlineStr">
        <is>
          <t>Compensated clawback</t>
        </is>
      </c>
      <c r="E1495" s="196" t="n">
        <v>-75.34</v>
      </c>
      <c r="F1495" s="204" t="n">
        <v>-0.00105514764</v>
      </c>
      <c r="H1495" s="196" t="n">
        <v>-75.34</v>
      </c>
      <c r="J1495" s="200" t="inlineStr">
        <is>
          <t>Mar</t>
        </is>
      </c>
      <c r="K1495" s="199" t="n">
        <v>2026</v>
      </c>
      <c r="L1495" s="199" t="n">
        <v>2026</v>
      </c>
    </row>
    <row r="1496" ht="15" customHeight="1" s="104">
      <c r="A1496" s="194" t="n">
        <v>46112</v>
      </c>
      <c r="B1496" s="195" t="inlineStr">
        <is>
          <t>Amazon US</t>
        </is>
      </c>
      <c r="C1496" s="195" t="inlineStr">
        <is>
          <t>Amazon fees</t>
        </is>
      </c>
      <c r="D1496" s="195" t="inlineStr">
        <is>
          <t>AWD storage fees</t>
        </is>
      </c>
      <c r="E1496" s="196" t="n">
        <v>-52.18</v>
      </c>
      <c r="F1496" s="204" t="n">
        <v>-0.0007307884771</v>
      </c>
      <c r="H1496" s="196" t="n">
        <v>-52.18</v>
      </c>
      <c r="J1496" s="200" t="inlineStr">
        <is>
          <t>Mar</t>
        </is>
      </c>
      <c r="K1496" s="199" t="n">
        <v>2026</v>
      </c>
      <c r="L1496" s="199" t="n">
        <v>2026</v>
      </c>
    </row>
    <row r="1497" ht="15" customHeight="1" s="104">
      <c r="A1497" s="194" t="n">
        <v>46112</v>
      </c>
      <c r="B1497" s="195" t="inlineStr">
        <is>
          <t>Amazon US</t>
        </is>
      </c>
      <c r="C1497" s="195" t="inlineStr">
        <is>
          <t>Amazon fees</t>
        </is>
      </c>
      <c r="D1497" s="195" t="inlineStr">
        <is>
          <t>Long term storage fee</t>
        </is>
      </c>
      <c r="E1497" s="196" t="n">
        <v>-1.19</v>
      </c>
      <c r="F1497" s="204" t="n">
        <v>-1.66661228e-05</v>
      </c>
      <c r="H1497" s="196" t="n">
        <v>-1.19</v>
      </c>
      <c r="J1497" s="200" t="inlineStr">
        <is>
          <t>Mar</t>
        </is>
      </c>
      <c r="K1497" s="199" t="n">
        <v>2026</v>
      </c>
      <c r="L1497" s="199" t="n">
        <v>2026</v>
      </c>
    </row>
    <row r="1498" ht="15" customHeight="1" s="104">
      <c r="A1498" s="194" t="n">
        <v>46112</v>
      </c>
      <c r="B1498" s="195" t="inlineStr">
        <is>
          <t>Amazon US</t>
        </is>
      </c>
      <c r="C1498" s="195" t="inlineStr">
        <is>
          <t>Amazon fees</t>
        </is>
      </c>
      <c r="D1498" s="195" t="inlineStr">
        <is>
          <t xml:space="preserve">Labeling fee
</t>
        </is>
      </c>
      <c r="E1498" s="196" t="n">
        <v>-15.21</v>
      </c>
      <c r="F1498" s="204" t="n">
        <v>-0.0002130182586</v>
      </c>
      <c r="H1498" s="196" t="n">
        <v>-15.21</v>
      </c>
      <c r="J1498" s="200" t="inlineStr">
        <is>
          <t>Mar</t>
        </is>
      </c>
      <c r="K1498" s="199" t="n">
        <v>2026</v>
      </c>
      <c r="L1498" s="199" t="n">
        <v>2026</v>
      </c>
    </row>
    <row r="1499" ht="15" customHeight="1" s="104">
      <c r="A1499" s="194" t="n">
        <v>46112</v>
      </c>
      <c r="B1499" s="195" t="inlineStr">
        <is>
          <t>Amazon US</t>
        </is>
      </c>
      <c r="C1499" s="195" t="inlineStr">
        <is>
          <t>Amazon fees</t>
        </is>
      </c>
      <c r="D1499" s="195" t="inlineStr">
        <is>
          <t>Coupon participation fee rollup</t>
        </is>
      </c>
      <c r="E1499" s="196" t="n">
        <v>-5</v>
      </c>
      <c r="F1499" s="204" t="n">
        <v>-7.002572605e-05</v>
      </c>
      <c r="H1499" s="196" t="n">
        <v>-5</v>
      </c>
      <c r="J1499" s="200" t="inlineStr">
        <is>
          <t>Mar</t>
        </is>
      </c>
      <c r="K1499" s="199" t="n">
        <v>2026</v>
      </c>
      <c r="L1499" s="199" t="n">
        <v>2026</v>
      </c>
    </row>
    <row r="1500" ht="15" customHeight="1" s="104">
      <c r="A1500" s="194" t="n">
        <v>46112</v>
      </c>
      <c r="B1500" s="195" t="inlineStr">
        <is>
          <t>Amazon US</t>
        </is>
      </c>
      <c r="C1500" s="195" t="inlineStr">
        <is>
          <t>Amazon fees</t>
        </is>
      </c>
      <c r="D1500" s="195" t="inlineStr">
        <is>
          <t>Get paid faster fee</t>
        </is>
      </c>
      <c r="E1500" s="196" t="n">
        <v>-25.16</v>
      </c>
      <c r="F1500" s="204" t="n">
        <v>-0.0003523694535</v>
      </c>
      <c r="H1500" s="196" t="n">
        <v>-25.16</v>
      </c>
      <c r="J1500" s="200" t="inlineStr">
        <is>
          <t>Mar</t>
        </is>
      </c>
      <c r="K1500" s="199" t="n">
        <v>2026</v>
      </c>
      <c r="L1500" s="199" t="n">
        <v>2026</v>
      </c>
    </row>
    <row r="1501" ht="15" customHeight="1" s="104">
      <c r="A1501" s="194" t="n">
        <v>46112</v>
      </c>
      <c r="B1501" s="195" t="inlineStr">
        <is>
          <t>Amazon US</t>
        </is>
      </c>
      <c r="C1501" s="195" t="inlineStr">
        <is>
          <t>Amazon fees</t>
        </is>
      </c>
      <c r="D1501" s="195" t="inlineStr">
        <is>
          <t>Subscription</t>
        </is>
      </c>
      <c r="E1501" s="196" t="n">
        <v>-25.99</v>
      </c>
      <c r="F1501" s="204" t="n">
        <v>-0.000363993724</v>
      </c>
      <c r="H1501" s="196" t="n">
        <v>-25.99</v>
      </c>
      <c r="J1501" s="200" t="inlineStr">
        <is>
          <t>Mar</t>
        </is>
      </c>
      <c r="K1501" s="199" t="n">
        <v>2026</v>
      </c>
      <c r="L1501" s="199" t="n">
        <v>2026</v>
      </c>
    </row>
    <row r="1502" ht="15" customHeight="1" s="104">
      <c r="A1502" s="194" t="n">
        <v>46112</v>
      </c>
      <c r="B1502" s="195" t="inlineStr">
        <is>
          <t>Amazon US</t>
        </is>
      </c>
      <c r="C1502" s="195" t="inlineStr">
        <is>
          <t>Amazon fees</t>
        </is>
      </c>
      <c r="D1502" s="195" t="inlineStr">
        <is>
          <t>AWD processing fee</t>
        </is>
      </c>
      <c r="E1502" s="196" t="n">
        <v>-51.8</v>
      </c>
      <c r="F1502" s="204" t="n">
        <v>-0.0007254665219</v>
      </c>
      <c r="H1502" s="196" t="n">
        <v>-51.8</v>
      </c>
      <c r="J1502" s="200" t="inlineStr">
        <is>
          <t>Mar</t>
        </is>
      </c>
      <c r="K1502" s="199" t="n">
        <v>2026</v>
      </c>
      <c r="L1502" s="199" t="n">
        <v>2026</v>
      </c>
    </row>
    <row r="1503" ht="15" customHeight="1" s="104">
      <c r="A1503" s="194" t="n">
        <v>46112</v>
      </c>
      <c r="B1503" s="195" t="inlineStr">
        <is>
          <t>Amazon US</t>
        </is>
      </c>
      <c r="C1503" s="195" t="inlineStr">
        <is>
          <t>Amazon fees</t>
        </is>
      </c>
      <c r="D1503" s="195" t="inlineStr">
        <is>
          <t>Free replacement refund items</t>
        </is>
      </c>
      <c r="E1503" s="196" t="n">
        <v>189.45</v>
      </c>
      <c r="F1503" s="204" t="n">
        <v>0.00265327476</v>
      </c>
      <c r="H1503" s="196" t="n">
        <v>189.45</v>
      </c>
      <c r="J1503" s="200" t="inlineStr">
        <is>
          <t>Mar</t>
        </is>
      </c>
      <c r="K1503" s="199" t="n">
        <v>2026</v>
      </c>
      <c r="L1503" s="199" t="n">
        <v>2026</v>
      </c>
    </row>
    <row r="1504" ht="15" customHeight="1" s="104">
      <c r="A1504" s="194" t="n">
        <v>46112</v>
      </c>
      <c r="B1504" s="195" t="inlineStr">
        <is>
          <t>Amazon US</t>
        </is>
      </c>
      <c r="C1504" s="195" t="inlineStr">
        <is>
          <t>Amazon fees</t>
        </is>
      </c>
      <c r="D1504" s="195" t="inlineStr">
        <is>
          <t>Warehouse lost</t>
        </is>
      </c>
      <c r="E1504" s="196" t="n">
        <v>89.59</v>
      </c>
      <c r="F1504" s="204" t="n">
        <v>0.001254720959</v>
      </c>
      <c r="H1504" s="196" t="n">
        <v>89.59</v>
      </c>
      <c r="J1504" s="200" t="inlineStr">
        <is>
          <t>Mar</t>
        </is>
      </c>
      <c r="K1504" s="199" t="n">
        <v>2026</v>
      </c>
      <c r="L1504" s="199" t="n">
        <v>2026</v>
      </c>
    </row>
    <row r="1505" ht="15" customHeight="1" s="104">
      <c r="A1505" s="194" t="n">
        <v>46112</v>
      </c>
      <c r="B1505" s="195" t="inlineStr">
        <is>
          <t>Amazon US</t>
        </is>
      </c>
      <c r="C1505" s="195" t="inlineStr">
        <is>
          <t>Amazon fees</t>
        </is>
      </c>
      <c r="D1505" s="195" t="inlineStr">
        <is>
          <t>Missing from inbound</t>
        </is>
      </c>
      <c r="E1505" s="196" t="n">
        <v>296.72</v>
      </c>
      <c r="F1505" s="204" t="n">
        <v>0.004155606687</v>
      </c>
      <c r="H1505" s="196" t="n">
        <v>296.72</v>
      </c>
      <c r="J1505" s="200" t="inlineStr">
        <is>
          <t>Mar</t>
        </is>
      </c>
      <c r="K1505" s="199" t="n">
        <v>2026</v>
      </c>
      <c r="L1505" s="199" t="n">
        <v>2026</v>
      </c>
    </row>
    <row r="1506" ht="15" customHeight="1" s="104">
      <c r="A1506" s="194" t="n">
        <v>46112</v>
      </c>
      <c r="B1506" s="195" t="inlineStr">
        <is>
          <t>Amazon US</t>
        </is>
      </c>
      <c r="C1506" s="195" t="inlineStr">
        <is>
          <t>Amazon fees</t>
        </is>
      </c>
      <c r="D1506" s="195" t="inlineStr">
        <is>
          <t>Warehouse damage</t>
        </is>
      </c>
      <c r="E1506" s="196" t="n">
        <v>84.40000000000001</v>
      </c>
      <c r="F1506" s="204" t="n">
        <v>0.001182034256</v>
      </c>
      <c r="H1506" s="196" t="n">
        <v>84.40000000000001</v>
      </c>
      <c r="J1506" s="200" t="inlineStr">
        <is>
          <t>Mar</t>
        </is>
      </c>
      <c r="K1506" s="199" t="n">
        <v>2026</v>
      </c>
      <c r="L1506" s="199" t="n">
        <v>2026</v>
      </c>
    </row>
    <row r="1507" ht="15" customHeight="1" s="104">
      <c r="A1507" s="194" t="n">
        <v>46112</v>
      </c>
      <c r="B1507" s="195" t="inlineStr">
        <is>
          <t>Amazon US</t>
        </is>
      </c>
      <c r="C1507" s="195" t="inlineStr">
        <is>
          <t>Amazon fees</t>
        </is>
      </c>
      <c r="D1507" s="195" t="inlineStr">
        <is>
          <t>Reversal reimbursement</t>
        </is>
      </c>
      <c r="E1507" s="196" t="n">
        <v>860.58</v>
      </c>
      <c r="F1507" s="204" t="n">
        <v>0.01205254787</v>
      </c>
      <c r="H1507" s="196" t="n">
        <v>860.58</v>
      </c>
      <c r="J1507" s="200" t="inlineStr">
        <is>
          <t>Mar</t>
        </is>
      </c>
      <c r="K1507" s="199" t="n">
        <v>2026</v>
      </c>
      <c r="L1507" s="199" t="n">
        <v>2026</v>
      </c>
    </row>
    <row r="1508" ht="15" customHeight="1" s="104">
      <c r="A1508" s="194" t="n">
        <v>46112</v>
      </c>
      <c r="B1508" s="195" t="inlineStr">
        <is>
          <t>Amazon US</t>
        </is>
      </c>
      <c r="C1508" s="195" t="inlineStr">
        <is>
          <t>Cost of goods</t>
        </is>
      </c>
      <c r="D1508" s="195" t="inlineStr">
        <is>
          <t>Lost/damaged by Amazon</t>
        </is>
      </c>
      <c r="E1508" s="196" t="n">
        <v>-147.16</v>
      </c>
      <c r="F1508" s="204" t="n">
        <v>-0.002060997169</v>
      </c>
      <c r="H1508" s="196" t="n">
        <v>-147.16</v>
      </c>
      <c r="J1508" s="200" t="inlineStr">
        <is>
          <t>Mar</t>
        </is>
      </c>
      <c r="K1508" s="199" t="n">
        <v>2026</v>
      </c>
      <c r="L1508" s="199" t="n">
        <v>2026</v>
      </c>
    </row>
    <row r="1509" ht="15" customHeight="1" s="104">
      <c r="A1509" s="194" t="n">
        <v>46112</v>
      </c>
      <c r="B1509" s="195" t="inlineStr">
        <is>
          <t>Amazon US</t>
        </is>
      </c>
      <c r="C1509" s="195" t="inlineStr">
        <is>
          <t>Cost of goods</t>
        </is>
      </c>
      <c r="D1509" s="195" t="inlineStr">
        <is>
          <t>Cost of goods sold</t>
        </is>
      </c>
      <c r="E1509" s="196" t="n">
        <v>-20484.69</v>
      </c>
      <c r="F1509" s="204" t="n">
        <v>-0.286891058</v>
      </c>
      <c r="H1509" s="196" t="n">
        <v>-20484.69</v>
      </c>
      <c r="J1509" s="200" t="inlineStr">
        <is>
          <t>Mar</t>
        </is>
      </c>
      <c r="K1509" s="199" t="n">
        <v>2026</v>
      </c>
      <c r="L1509" s="199" t="n">
        <v>2026</v>
      </c>
    </row>
    <row r="1510" ht="15" customHeight="1" s="104">
      <c r="A1510" s="194" t="n">
        <v>46112</v>
      </c>
      <c r="B1510" s="195" t="inlineStr">
        <is>
          <t>Amazon CA</t>
        </is>
      </c>
      <c r="C1510" s="195" t="inlineStr">
        <is>
          <t>Advertising cost</t>
        </is>
      </c>
      <c r="D1510" s="195" t="inlineStr">
        <is>
          <t>Sponsored Products</t>
        </is>
      </c>
      <c r="E1510" s="196" t="n">
        <v>-843.62</v>
      </c>
      <c r="F1510" s="204" t="n">
        <v>-0.1536393785</v>
      </c>
      <c r="H1510" s="196" t="n">
        <v>-843.62</v>
      </c>
      <c r="J1510" s="200" t="inlineStr">
        <is>
          <t>Mar</t>
        </is>
      </c>
      <c r="K1510" s="199" t="n">
        <v>2026</v>
      </c>
      <c r="L1510" s="199" t="n">
        <v>2026</v>
      </c>
    </row>
    <row r="1511" ht="15" customHeight="1" s="104">
      <c r="A1511" s="194" t="n">
        <v>46112</v>
      </c>
      <c r="B1511" s="195" t="inlineStr">
        <is>
          <t>Amazon CA</t>
        </is>
      </c>
      <c r="C1511" s="195" t="inlineStr">
        <is>
          <t>Advertising cost</t>
        </is>
      </c>
      <c r="D1511" s="195" t="inlineStr">
        <is>
          <t>Sponsored Brands Video</t>
        </is>
      </c>
      <c r="E1511" s="198" t="n">
        <v>0</v>
      </c>
      <c r="F1511" s="201" t="n">
        <v>0</v>
      </c>
      <c r="H1511" s="198" t="n">
        <v>0</v>
      </c>
      <c r="J1511" s="200" t="inlineStr">
        <is>
          <t>Mar</t>
        </is>
      </c>
      <c r="K1511" s="199" t="n">
        <v>2026</v>
      </c>
      <c r="L1511" s="199" t="n">
        <v>2026</v>
      </c>
    </row>
    <row r="1512" ht="15" customHeight="1" s="104">
      <c r="A1512" s="194" t="n">
        <v>46112</v>
      </c>
      <c r="B1512" s="195" t="inlineStr">
        <is>
          <t>Amazon CA</t>
        </is>
      </c>
      <c r="C1512" s="195" t="inlineStr">
        <is>
          <t>Advertising cost</t>
        </is>
      </c>
      <c r="D1512" s="195" t="inlineStr">
        <is>
          <t>Sponsored Display</t>
        </is>
      </c>
      <c r="E1512" s="198" t="n">
        <v>0</v>
      </c>
      <c r="F1512" s="201" t="n">
        <v>0</v>
      </c>
      <c r="H1512" s="198" t="n">
        <v>0</v>
      </c>
      <c r="J1512" s="200" t="inlineStr">
        <is>
          <t>Mar</t>
        </is>
      </c>
      <c r="K1512" s="199" t="n">
        <v>2026</v>
      </c>
      <c r="L1512" s="199" t="n">
        <v>2026</v>
      </c>
    </row>
    <row r="1513" ht="15" customHeight="1" s="104">
      <c r="A1513" s="194" t="n">
        <v>46112</v>
      </c>
      <c r="B1513" s="195" t="inlineStr">
        <is>
          <t>Amazon CA</t>
        </is>
      </c>
      <c r="C1513" s="195" t="inlineStr">
        <is>
          <t>Advertising cost</t>
        </is>
      </c>
      <c r="D1513" s="195" t="inlineStr">
        <is>
          <t>Sponsored Brands</t>
        </is>
      </c>
      <c r="E1513" s="198" t="n">
        <v>0</v>
      </c>
      <c r="F1513" s="201" t="n">
        <v>0</v>
      </c>
      <c r="H1513" s="198" t="n">
        <v>0</v>
      </c>
      <c r="J1513" s="200" t="inlineStr">
        <is>
          <t>Mar</t>
        </is>
      </c>
      <c r="K1513" s="199" t="n">
        <v>2026</v>
      </c>
      <c r="L1513" s="199" t="n">
        <v>2026</v>
      </c>
    </row>
    <row r="1514" ht="15" customHeight="1" s="104">
      <c r="A1514" s="194" t="n">
        <v>46112</v>
      </c>
      <c r="B1514" s="195" t="inlineStr">
        <is>
          <t>Amazon CA</t>
        </is>
      </c>
      <c r="C1514" s="195" t="inlineStr">
        <is>
          <t>Refund cost</t>
        </is>
      </c>
      <c r="D1514" s="195" t="inlineStr">
        <is>
          <t>Refunded amount</t>
        </is>
      </c>
      <c r="E1514" s="196" t="n">
        <v>-421.46</v>
      </c>
      <c r="F1514" s="204" t="n">
        <v>-0.07675594756</v>
      </c>
      <c r="H1514" s="196" t="n">
        <v>-421.46</v>
      </c>
      <c r="J1514" s="200" t="inlineStr">
        <is>
          <t>Mar</t>
        </is>
      </c>
      <c r="K1514" s="199" t="n">
        <v>2026</v>
      </c>
      <c r="L1514" s="199" t="n">
        <v>2026</v>
      </c>
    </row>
    <row r="1515" ht="15" customHeight="1" s="104">
      <c r="A1515" s="194" t="n">
        <v>46112</v>
      </c>
      <c r="B1515" s="195" t="inlineStr">
        <is>
          <t>Amazon CA</t>
        </is>
      </c>
      <c r="C1515" s="195" t="inlineStr">
        <is>
          <t>Refund cost</t>
        </is>
      </c>
      <c r="D1515" s="195" t="inlineStr">
        <is>
          <t>Refund commission</t>
        </is>
      </c>
      <c r="E1515" s="196" t="n">
        <v>-12.63</v>
      </c>
      <c r="F1515" s="204" t="n">
        <v>-0.002300165182</v>
      </c>
      <c r="H1515" s="196" t="n">
        <v>-12.63</v>
      </c>
      <c r="J1515" s="200" t="inlineStr">
        <is>
          <t>Mar</t>
        </is>
      </c>
      <c r="K1515" s="199" t="n">
        <v>2026</v>
      </c>
      <c r="L1515" s="199" t="n">
        <v>2026</v>
      </c>
    </row>
    <row r="1516" ht="15" customHeight="1" s="104">
      <c r="A1516" s="194" t="n">
        <v>46112</v>
      </c>
      <c r="B1516" s="195" t="inlineStr">
        <is>
          <t>Amazon CA</t>
        </is>
      </c>
      <c r="C1516" s="195" t="inlineStr">
        <is>
          <t>Refund cost</t>
        </is>
      </c>
      <c r="D1516" s="195" t="inlineStr">
        <is>
          <t>Refunded referral fee</t>
        </is>
      </c>
      <c r="E1516" s="196" t="n">
        <v>63.23</v>
      </c>
      <c r="F1516" s="204" t="n">
        <v>0.01151539544</v>
      </c>
      <c r="H1516" s="196" t="n">
        <v>63.23</v>
      </c>
      <c r="J1516" s="200" t="inlineStr">
        <is>
          <t>Mar</t>
        </is>
      </c>
      <c r="K1516" s="199" t="n">
        <v>2026</v>
      </c>
      <c r="L1516" s="199" t="n">
        <v>2026</v>
      </c>
    </row>
    <row r="1517" ht="15" customHeight="1" s="104">
      <c r="A1517" s="194" t="n">
        <v>46112</v>
      </c>
      <c r="B1517" s="195" t="inlineStr">
        <is>
          <t>Amazon CA</t>
        </is>
      </c>
      <c r="C1517" s="195" t="inlineStr">
        <is>
          <t>Refund cost</t>
        </is>
      </c>
      <c r="D1517" s="195" t="inlineStr">
        <is>
          <t>Value of returned items</t>
        </is>
      </c>
      <c r="E1517" s="196" t="n">
        <v>51.87</v>
      </c>
      <c r="F1517" s="204" t="n">
        <v>0.009446521615</v>
      </c>
      <c r="H1517" s="196" t="n">
        <v>51.87</v>
      </c>
      <c r="J1517" s="200" t="inlineStr">
        <is>
          <t>Mar</t>
        </is>
      </c>
      <c r="K1517" s="199" t="n">
        <v>2026</v>
      </c>
      <c r="L1517" s="199" t="n">
        <v>2026</v>
      </c>
    </row>
    <row r="1518" ht="15" customHeight="1" s="104">
      <c r="A1518" s="194" t="n">
        <v>46112</v>
      </c>
      <c r="B1518" s="195" t="inlineStr">
        <is>
          <t>Amazon CA</t>
        </is>
      </c>
      <c r="C1518" s="195" t="inlineStr">
        <is>
          <t>Amazon fees</t>
        </is>
      </c>
      <c r="D1518" s="195" t="inlineStr">
        <is>
          <t>FBA per unit fulfilment fee</t>
        </is>
      </c>
      <c r="E1518" s="196" t="n">
        <v>-1240.51</v>
      </c>
      <c r="F1518" s="204" t="n">
        <v>-0.225920658</v>
      </c>
      <c r="H1518" s="196" t="n">
        <v>-1240.51</v>
      </c>
      <c r="J1518" s="200" t="inlineStr">
        <is>
          <t>Mar</t>
        </is>
      </c>
      <c r="K1518" s="199" t="n">
        <v>2026</v>
      </c>
      <c r="L1518" s="199" t="n">
        <v>2026</v>
      </c>
    </row>
    <row r="1519" ht="15" customHeight="1" s="104">
      <c r="A1519" s="194" t="n">
        <v>46112</v>
      </c>
      <c r="B1519" s="195" t="inlineStr">
        <is>
          <t>Amazon CA</t>
        </is>
      </c>
      <c r="C1519" s="195" t="inlineStr">
        <is>
          <t>Amazon fees</t>
        </is>
      </c>
      <c r="D1519" s="195" t="inlineStr">
        <is>
          <t>Referral fee</t>
        </is>
      </c>
      <c r="E1519" s="196" t="n">
        <v>-818.41</v>
      </c>
      <c r="F1519" s="204" t="n">
        <v>-0.1490481541</v>
      </c>
      <c r="H1519" s="196" t="n">
        <v>-818.41</v>
      </c>
      <c r="J1519" s="200" t="inlineStr">
        <is>
          <t>Mar</t>
        </is>
      </c>
      <c r="K1519" s="199" t="n">
        <v>2026</v>
      </c>
      <c r="L1519" s="199" t="n">
        <v>2026</v>
      </c>
    </row>
    <row r="1520" ht="15" customHeight="1" s="104">
      <c r="A1520" s="194" t="n">
        <v>46112</v>
      </c>
      <c r="B1520" s="195" t="inlineStr">
        <is>
          <t>Amazon CA</t>
        </is>
      </c>
      <c r="C1520" s="195" t="inlineStr">
        <is>
          <t>Amazon fees</t>
        </is>
      </c>
      <c r="D1520" s="195" t="inlineStr">
        <is>
          <t>FBA storage fee</t>
        </is>
      </c>
      <c r="E1520" s="196" t="n">
        <v>-169.96</v>
      </c>
      <c r="F1520" s="204" t="n">
        <v>-0.03095297501</v>
      </c>
      <c r="H1520" s="196" t="n">
        <v>-169.96</v>
      </c>
      <c r="J1520" s="200" t="inlineStr">
        <is>
          <t>Mar</t>
        </is>
      </c>
      <c r="K1520" s="199" t="n">
        <v>2026</v>
      </c>
      <c r="L1520" s="199" t="n">
        <v>2026</v>
      </c>
    </row>
    <row r="1521" ht="15" customHeight="1" s="104">
      <c r="A1521" s="194" t="n">
        <v>46112</v>
      </c>
      <c r="B1521" s="195" t="inlineStr">
        <is>
          <t>Amazon CA</t>
        </is>
      </c>
      <c r="C1521" s="195" t="inlineStr">
        <is>
          <t>Amazon fees</t>
        </is>
      </c>
      <c r="D1521" s="195" t="inlineStr">
        <is>
          <t>Long term storage fee</t>
        </is>
      </c>
      <c r="E1521" s="196" t="n">
        <v>-470.84</v>
      </c>
      <c r="F1521" s="204" t="n">
        <v>-0.08574899243</v>
      </c>
      <c r="H1521" s="196" t="n">
        <v>-470.84</v>
      </c>
      <c r="J1521" s="200" t="inlineStr">
        <is>
          <t>Mar</t>
        </is>
      </c>
      <c r="K1521" s="199" t="n">
        <v>2026</v>
      </c>
      <c r="L1521" s="199" t="n">
        <v>2026</v>
      </c>
    </row>
    <row r="1522" ht="15" customHeight="1" s="104">
      <c r="A1522" s="194" t="n">
        <v>46112</v>
      </c>
      <c r="B1522" s="195" t="inlineStr">
        <is>
          <t>Amazon CA</t>
        </is>
      </c>
      <c r="C1522" s="195" t="inlineStr">
        <is>
          <t>Amazon fees</t>
        </is>
      </c>
      <c r="D1522" s="195" t="inlineStr">
        <is>
          <t>Digital services fee</t>
        </is>
      </c>
      <c r="E1522" s="198" t="n">
        <v>0</v>
      </c>
      <c r="F1522" s="201" t="n">
        <v>0</v>
      </c>
      <c r="H1522" s="198" t="n">
        <v>0</v>
      </c>
      <c r="J1522" s="200" t="inlineStr">
        <is>
          <t>Mar</t>
        </is>
      </c>
      <c r="K1522" s="199" t="n">
        <v>2026</v>
      </c>
      <c r="L1522" s="199" t="n">
        <v>2026</v>
      </c>
    </row>
    <row r="1523" ht="15" customHeight="1" s="104">
      <c r="A1523" s="194" t="n">
        <v>46112</v>
      </c>
      <c r="B1523" s="195" t="inlineStr">
        <is>
          <t>Amazon CA</t>
        </is>
      </c>
      <c r="C1523" s="195" t="inlineStr">
        <is>
          <t>Amazon fees</t>
        </is>
      </c>
      <c r="D1523" s="195" t="inlineStr">
        <is>
          <t>FBA disposal fee</t>
        </is>
      </c>
      <c r="E1523" s="196" t="n">
        <v>-13</v>
      </c>
      <c r="F1523" s="204" t="n">
        <v>-0.002367549277</v>
      </c>
      <c r="H1523" s="196" t="n">
        <v>-13</v>
      </c>
      <c r="J1523" s="200" t="inlineStr">
        <is>
          <t>Mar</t>
        </is>
      </c>
      <c r="K1523" s="199" t="n">
        <v>2026</v>
      </c>
      <c r="L1523" s="199" t="n">
        <v>2026</v>
      </c>
    </row>
    <row r="1524" ht="15" customHeight="1" s="104">
      <c r="A1524" s="194" t="n">
        <v>46112</v>
      </c>
      <c r="B1524" s="195" t="inlineStr">
        <is>
          <t>Amazon CA</t>
        </is>
      </c>
      <c r="C1524" s="195" t="inlineStr">
        <is>
          <t>Amazon fees</t>
        </is>
      </c>
      <c r="D1524" s="195" t="inlineStr">
        <is>
          <t>Reversal reimbursement</t>
        </is>
      </c>
      <c r="E1524" s="198" t="n">
        <v>0</v>
      </c>
      <c r="F1524" s="201" t="n">
        <v>0</v>
      </c>
      <c r="H1524" s="198" t="n">
        <v>0</v>
      </c>
      <c r="J1524" s="200" t="inlineStr">
        <is>
          <t>Mar</t>
        </is>
      </c>
      <c r="K1524" s="199" t="n">
        <v>2026</v>
      </c>
      <c r="L1524" s="199" t="n">
        <v>2026</v>
      </c>
    </row>
    <row r="1525" ht="15" customHeight="1" s="104">
      <c r="A1525" s="194" t="n">
        <v>46112</v>
      </c>
      <c r="B1525" s="195" t="inlineStr">
        <is>
          <t>Amazon CA</t>
        </is>
      </c>
      <c r="C1525" s="195" t="inlineStr">
        <is>
          <t>Cost of goods</t>
        </is>
      </c>
      <c r="D1525" s="195" t="inlineStr">
        <is>
          <t>Cost of goods sold</t>
        </is>
      </c>
      <c r="E1525" s="196" t="n">
        <v>-2011.6</v>
      </c>
      <c r="F1525" s="204" t="n">
        <v>-0.3663509327</v>
      </c>
      <c r="H1525" s="196" t="n">
        <v>-2011.6</v>
      </c>
      <c r="J1525" s="200" t="inlineStr">
        <is>
          <t>Mar</t>
        </is>
      </c>
      <c r="K1525" s="199" t="n">
        <v>2026</v>
      </c>
      <c r="L1525" s="199" t="n">
        <v>2026</v>
      </c>
    </row>
    <row r="1526" ht="15" customHeight="1" s="104">
      <c r="A1526" s="194" t="n">
        <v>46112</v>
      </c>
      <c r="B1526" s="195" t="inlineStr">
        <is>
          <t>Shopify</t>
        </is>
      </c>
      <c r="C1526" s="195" t="inlineStr">
        <is>
          <t>Payment fees</t>
        </is>
      </c>
      <c r="D1526" s="195" t="inlineStr">
        <is>
          <t>Shopify Payments fee</t>
        </is>
      </c>
      <c r="E1526" s="196" t="n">
        <v>-206.07</v>
      </c>
      <c r="F1526" s="204" t="n">
        <v>-0.02895221557</v>
      </c>
      <c r="H1526" s="196" t="n">
        <v>-206.07</v>
      </c>
      <c r="J1526" s="200" t="inlineStr">
        <is>
          <t>Mar</t>
        </is>
      </c>
      <c r="K1526" s="199" t="n">
        <v>2026</v>
      </c>
      <c r="L1526" s="199" t="n">
        <v>2026</v>
      </c>
    </row>
    <row r="1527" ht="15" customHeight="1" s="104">
      <c r="A1527" s="194" t="n">
        <v>46112</v>
      </c>
      <c r="B1527" s="195" t="inlineStr">
        <is>
          <t>Shopify</t>
        </is>
      </c>
      <c r="C1527" s="195" t="inlineStr">
        <is>
          <t>Cost of goods</t>
        </is>
      </c>
      <c r="D1527" s="195" t="inlineStr">
        <is>
          <t>Cost of goods sold</t>
        </is>
      </c>
      <c r="E1527" s="196" t="n">
        <v>-2446.23</v>
      </c>
      <c r="F1527" s="204" t="n">
        <v>-0.3436879618</v>
      </c>
      <c r="H1527" s="196" t="n">
        <v>-2446.23</v>
      </c>
      <c r="J1527" s="200" t="inlineStr">
        <is>
          <t>Mar</t>
        </is>
      </c>
      <c r="K1527" s="199" t="n">
        <v>2026</v>
      </c>
      <c r="L1527" s="199" t="n">
        <v>2026</v>
      </c>
    </row>
    <row r="1528" ht="15" customHeight="1" s="104">
      <c r="A1528" s="194" t="n">
        <v>46112</v>
      </c>
      <c r="B1528" s="195" t="inlineStr">
        <is>
          <t>Shopify</t>
        </is>
      </c>
      <c r="C1528" s="195" t="inlineStr">
        <is>
          <t>Tax</t>
        </is>
      </c>
      <c r="D1528" s="195" t="inlineStr">
        <is>
          <t>New Jersey State Tax</t>
        </is>
      </c>
      <c r="E1528" s="196" t="n">
        <v>-10.94</v>
      </c>
      <c r="F1528" s="204" t="n">
        <v>-0.001537037115</v>
      </c>
      <c r="H1528" s="196" t="n">
        <v>-10.94</v>
      </c>
      <c r="J1528" s="200" t="inlineStr">
        <is>
          <t>Mar</t>
        </is>
      </c>
      <c r="K1528" s="199" t="n">
        <v>2026</v>
      </c>
      <c r="L1528" s="199" t="n">
        <v>2026</v>
      </c>
    </row>
    <row r="1529" ht="15" customHeight="1" s="104">
      <c r="A1529" s="194" t="n">
        <v>46112</v>
      </c>
      <c r="B1529" s="195" t="inlineStr">
        <is>
          <t>Shopify</t>
        </is>
      </c>
      <c r="C1529" s="195" t="inlineStr">
        <is>
          <t>Tax</t>
        </is>
      </c>
      <c r="D1529" s="195" t="inlineStr">
        <is>
          <t>Galveston City Tax</t>
        </is>
      </c>
      <c r="E1529" s="196" t="n">
        <v>-7.08</v>
      </c>
      <c r="F1529" s="204" t="n">
        <v>-0.0009947187180000001</v>
      </c>
      <c r="H1529" s="196" t="n">
        <v>-7.08</v>
      </c>
      <c r="J1529" s="200" t="inlineStr">
        <is>
          <t>Mar</t>
        </is>
      </c>
      <c r="K1529" s="199" t="n">
        <v>2026</v>
      </c>
      <c r="L1529" s="199" t="n">
        <v>2026</v>
      </c>
    </row>
    <row r="1530" ht="15" customHeight="1" s="104">
      <c r="A1530" s="194" t="n">
        <v>46112</v>
      </c>
      <c r="B1530" s="195" t="inlineStr">
        <is>
          <t>Shopify</t>
        </is>
      </c>
      <c r="C1530" s="195" t="inlineStr">
        <is>
          <t>Tax</t>
        </is>
      </c>
      <c r="D1530" s="195" t="inlineStr">
        <is>
          <t>Texas State Tax</t>
        </is>
      </c>
      <c r="E1530" s="196" t="n">
        <v>-22.14</v>
      </c>
      <c r="F1530" s="204" t="n">
        <v>-0.003110603449</v>
      </c>
      <c r="H1530" s="196" t="n">
        <v>-22.14</v>
      </c>
      <c r="J1530" s="200" t="inlineStr">
        <is>
          <t>Mar</t>
        </is>
      </c>
      <c r="K1530" s="199" t="n">
        <v>2026</v>
      </c>
      <c r="L1530" s="199" t="n">
        <v>2026</v>
      </c>
    </row>
    <row r="1531" ht="15" customHeight="1" s="104">
      <c r="A1531" s="194" t="n">
        <v>46112</v>
      </c>
      <c r="B1531" s="195" t="inlineStr">
        <is>
          <t>Shopify</t>
        </is>
      </c>
      <c r="C1531" s="195" t="inlineStr">
        <is>
          <t>Tax</t>
        </is>
      </c>
      <c r="D1531" s="195" t="inlineStr">
        <is>
          <t>Miami Dade County Tax</t>
        </is>
      </c>
      <c r="E1531" s="197" t="n">
        <v>-0.35</v>
      </c>
      <c r="F1531" s="204" t="n">
        <v>-4.917394792e-05</v>
      </c>
      <c r="H1531" s="197" t="n">
        <v>-0.35</v>
      </c>
      <c r="J1531" s="200" t="inlineStr">
        <is>
          <t>Mar</t>
        </is>
      </c>
      <c r="K1531" s="199" t="n">
        <v>2026</v>
      </c>
      <c r="L1531" s="199" t="n">
        <v>2026</v>
      </c>
    </row>
    <row r="1532" ht="15" customHeight="1" s="104">
      <c r="A1532" s="194" t="n">
        <v>46112</v>
      </c>
      <c r="B1532" s="195" t="inlineStr">
        <is>
          <t>Shopify</t>
        </is>
      </c>
      <c r="C1532" s="195" t="inlineStr">
        <is>
          <t>Tax</t>
        </is>
      </c>
      <c r="D1532" s="195" t="inlineStr">
        <is>
          <t>Georgia State Tax</t>
        </is>
      </c>
      <c r="E1532" s="196" t="n">
        <v>-2.77</v>
      </c>
      <c r="F1532" s="204" t="n">
        <v>-0.0003891766736</v>
      </c>
      <c r="H1532" s="196" t="n">
        <v>-2.77</v>
      </c>
      <c r="J1532" s="200" t="inlineStr">
        <is>
          <t>Mar</t>
        </is>
      </c>
      <c r="K1532" s="199" t="n">
        <v>2026</v>
      </c>
      <c r="L1532" s="199" t="n">
        <v>2026</v>
      </c>
    </row>
    <row r="1533" ht="15" customHeight="1" s="104">
      <c r="A1533" s="194" t="n">
        <v>46112</v>
      </c>
      <c r="B1533" s="195" t="inlineStr">
        <is>
          <t>Shopify</t>
        </is>
      </c>
      <c r="C1533" s="195" t="inlineStr">
        <is>
          <t>Tax</t>
        </is>
      </c>
      <c r="D1533" s="195" t="inlineStr">
        <is>
          <t>Florida State Tax</t>
        </is>
      </c>
      <c r="E1533" s="196" t="n">
        <v>-2.1</v>
      </c>
      <c r="F1533" s="204" t="n">
        <v>-0.0002950436875</v>
      </c>
      <c r="H1533" s="196" t="n">
        <v>-2.1</v>
      </c>
      <c r="J1533" s="200" t="inlineStr">
        <is>
          <t>Mar</t>
        </is>
      </c>
      <c r="K1533" s="199" t="n">
        <v>2026</v>
      </c>
      <c r="L1533" s="199" t="n">
        <v>2026</v>
      </c>
    </row>
    <row r="1534" ht="15" customHeight="1" s="104">
      <c r="A1534" s="194" t="n">
        <v>46112</v>
      </c>
      <c r="B1534" s="195" t="inlineStr">
        <is>
          <t>Shopify</t>
        </is>
      </c>
      <c r="C1534" s="195" t="inlineStr">
        <is>
          <t>Tax</t>
        </is>
      </c>
      <c r="D1534" s="195" t="inlineStr">
        <is>
          <t>Forsyth County Tax</t>
        </is>
      </c>
      <c r="E1534" s="196" t="n">
        <v>-1.11</v>
      </c>
      <c r="F1534" s="204" t="n">
        <v>-0.0001559516634</v>
      </c>
      <c r="H1534" s="196" t="n">
        <v>-1.11</v>
      </c>
      <c r="J1534" s="200" t="inlineStr">
        <is>
          <t>Mar</t>
        </is>
      </c>
      <c r="K1534" s="199" t="n">
        <v>2026</v>
      </c>
      <c r="L1534" s="199" t="n">
        <v>2026</v>
      </c>
    </row>
    <row r="1535" ht="15" customHeight="1" s="104">
      <c r="A1535" s="194" t="n">
        <v>46112</v>
      </c>
      <c r="B1535" s="195" t="inlineStr">
        <is>
          <t>Shopify</t>
        </is>
      </c>
      <c r="C1535" s="195" t="inlineStr">
        <is>
          <t>MCF Shipping fees</t>
        </is>
      </c>
      <c r="D1535" s="195" t="inlineStr">
        <is>
          <t>MCF Shipping fees</t>
        </is>
      </c>
      <c r="E1535" s="196" t="n">
        <v>-382.59</v>
      </c>
      <c r="F1535" s="204" t="n">
        <v>-0.05375274496</v>
      </c>
      <c r="H1535" s="196" t="n">
        <v>-382.59</v>
      </c>
      <c r="J1535" s="200" t="inlineStr">
        <is>
          <t>Mar</t>
        </is>
      </c>
      <c r="K1535" s="199" t="n">
        <v>2026</v>
      </c>
      <c r="L1535" s="199" t="n">
        <v>2026</v>
      </c>
    </row>
    <row r="1536" ht="15" customHeight="1" s="104">
      <c r="A1536" s="194" t="n">
        <v>46112</v>
      </c>
      <c r="B1536" s="195" t="inlineStr">
        <is>
          <t>Shopify</t>
        </is>
      </c>
      <c r="C1536" s="195" t="inlineStr">
        <is>
          <t>MCF Shipping fees</t>
        </is>
      </c>
      <c r="D1536" s="195" t="inlineStr">
        <is>
          <t>Shiphype Label Cost</t>
        </is>
      </c>
      <c r="E1536" s="196" t="n">
        <v>-1042.362143</v>
      </c>
      <c r="F1536" s="204" t="n">
        <v>-0.1464487478</v>
      </c>
      <c r="H1536" s="196" t="n">
        <v>-1042.362143</v>
      </c>
      <c r="J1536" s="200" t="inlineStr">
        <is>
          <t>Mar</t>
        </is>
      </c>
      <c r="K1536" s="199" t="n">
        <v>2026</v>
      </c>
      <c r="L1536" s="199" t="n">
        <v>2026</v>
      </c>
    </row>
    <row r="1537" ht="15" customHeight="1" s="104">
      <c r="A1537" s="194" t="n">
        <v>46112</v>
      </c>
      <c r="B1537" s="195" t="inlineStr">
        <is>
          <t>Shopify</t>
        </is>
      </c>
      <c r="C1537" s="195" t="inlineStr">
        <is>
          <t>Shipping Cost</t>
        </is>
      </c>
      <c r="D1537" s="195" t="inlineStr">
        <is>
          <t>Shipping Cost</t>
        </is>
      </c>
      <c r="E1537" s="198" t="n">
        <v>0</v>
      </c>
      <c r="F1537" s="201" t="n">
        <v>0</v>
      </c>
      <c r="H1537" s="198" t="n">
        <v>0</v>
      </c>
      <c r="J1537" s="200" t="inlineStr">
        <is>
          <t>Mar</t>
        </is>
      </c>
      <c r="K1537" s="199" t="n">
        <v>2026</v>
      </c>
      <c r="L1537" s="199" t="n">
        <v>2026</v>
      </c>
    </row>
    <row r="1538" ht="15" customHeight="1" s="104">
      <c r="A1538" s="194" t="n">
        <v>46112</v>
      </c>
      <c r="B1538" s="195" t="inlineStr">
        <is>
          <t>Shopify</t>
        </is>
      </c>
      <c r="C1538" s="195" t="inlineStr">
        <is>
          <t>Advertising cost</t>
        </is>
      </c>
      <c r="D1538" s="195" t="inlineStr">
        <is>
          <t>Advertising Cost</t>
        </is>
      </c>
      <c r="E1538" s="196" t="n">
        <v>-2998.24</v>
      </c>
      <c r="F1538" s="204" t="n">
        <v>-0.4212437075</v>
      </c>
      <c r="H1538" s="196" t="n">
        <v>-2997.818756</v>
      </c>
      <c r="J1538" s="200" t="inlineStr">
        <is>
          <t>Mar</t>
        </is>
      </c>
      <c r="K1538" s="199" t="n">
        <v>2026</v>
      </c>
      <c r="L1538" s="199" t="n">
        <v>2026</v>
      </c>
    </row>
    <row r="1539" ht="15" customHeight="1" s="104">
      <c r="A1539" s="194" t="n">
        <v>46112</v>
      </c>
      <c r="B1539" s="195" t="inlineStr">
        <is>
          <t>Walmart</t>
        </is>
      </c>
      <c r="C1539" s="195" t="inlineStr">
        <is>
          <t>Advertising cost</t>
        </is>
      </c>
      <c r="D1539" s="195" t="inlineStr">
        <is>
          <t>Advertising Cost</t>
        </is>
      </c>
      <c r="E1539" s="196" t="n">
        <v>-810.0599999999999</v>
      </c>
      <c r="F1539" s="204" t="n">
        <v>-0.2213950132</v>
      </c>
      <c r="H1539" s="196" t="n">
        <v>-809.838605</v>
      </c>
      <c r="J1539" s="200" t="inlineStr">
        <is>
          <t>Mar</t>
        </is>
      </c>
      <c r="K1539" s="199" t="n">
        <v>2026</v>
      </c>
      <c r="L1539" s="199" t="n">
        <v>2026</v>
      </c>
    </row>
    <row r="1540" ht="15" customHeight="1" s="104">
      <c r="A1540" s="194" t="n">
        <v>46112</v>
      </c>
      <c r="B1540" s="195" t="inlineStr">
        <is>
          <t>Walmart</t>
        </is>
      </c>
      <c r="C1540" s="195" t="inlineStr">
        <is>
          <t>Shipping Cost</t>
        </is>
      </c>
      <c r="D1540" s="195" t="inlineStr">
        <is>
          <t>WFS Fulfillment fee</t>
        </is>
      </c>
      <c r="E1540" s="196" t="n">
        <v>-34.39</v>
      </c>
      <c r="F1540" s="204" t="n">
        <v>-0.009399025387</v>
      </c>
      <c r="H1540" s="196" t="n">
        <v>-34.38060097</v>
      </c>
      <c r="J1540" s="200" t="inlineStr">
        <is>
          <t>Mar</t>
        </is>
      </c>
      <c r="K1540" s="199" t="n">
        <v>2026</v>
      </c>
      <c r="L1540" s="199" t="n">
        <v>2026</v>
      </c>
    </row>
    <row r="1541" ht="15" customHeight="1" s="104">
      <c r="A1541" s="194" t="n">
        <v>46112</v>
      </c>
      <c r="B1541" s="195" t="inlineStr">
        <is>
          <t>Walmart</t>
        </is>
      </c>
      <c r="C1541" s="195" t="inlineStr">
        <is>
          <t>Shipping Cost</t>
        </is>
      </c>
      <c r="D1541" s="195" t="inlineStr">
        <is>
          <t>WFS Shipping Reversal fee</t>
        </is>
      </c>
      <c r="F1541" s="201" t="n">
        <v>0</v>
      </c>
      <c r="H1541" s="198" t="n">
        <v>0</v>
      </c>
      <c r="J1541" s="200" t="inlineStr">
        <is>
          <t>Mar</t>
        </is>
      </c>
      <c r="K1541" s="199" t="n">
        <v>2026</v>
      </c>
      <c r="L1541" s="199" t="n">
        <v>2026</v>
      </c>
    </row>
    <row r="1542" ht="15" customHeight="1" s="104">
      <c r="A1542" s="194" t="n">
        <v>46112</v>
      </c>
      <c r="B1542" s="195" t="inlineStr">
        <is>
          <t>Walmart</t>
        </is>
      </c>
      <c r="C1542" s="195" t="inlineStr">
        <is>
          <t>Shipping Cost</t>
        </is>
      </c>
      <c r="D1542" s="195" t="inlineStr">
        <is>
          <t>MCF Shipping fees</t>
        </is>
      </c>
      <c r="E1542" s="196" t="n">
        <v>-264.73</v>
      </c>
      <c r="F1542" s="204" t="n">
        <v>-0.07235254408</v>
      </c>
      <c r="H1542" s="196" t="n">
        <v>-264.6576475</v>
      </c>
      <c r="J1542" s="200" t="inlineStr">
        <is>
          <t>Mar</t>
        </is>
      </c>
      <c r="K1542" s="199" t="n">
        <v>2026</v>
      </c>
      <c r="L1542" s="199" t="n">
        <v>2026</v>
      </c>
    </row>
    <row r="1543" ht="15" customHeight="1" s="104">
      <c r="A1543" s="194" t="n">
        <v>46112</v>
      </c>
      <c r="B1543" s="195" t="inlineStr">
        <is>
          <t>Walmart</t>
        </is>
      </c>
      <c r="C1543" s="195" t="inlineStr">
        <is>
          <t>Shipping Cost</t>
        </is>
      </c>
      <c r="D1543" s="195" t="inlineStr">
        <is>
          <t>Shiphero Shipping Cost</t>
        </is>
      </c>
      <c r="E1543" s="196" t="n">
        <v>-565.04</v>
      </c>
      <c r="F1543" s="204" t="n">
        <v>-0.1544293488</v>
      </c>
      <c r="H1543" s="196" t="n">
        <v>-564.8855707</v>
      </c>
      <c r="J1543" s="200" t="inlineStr">
        <is>
          <t>Mar</t>
        </is>
      </c>
      <c r="K1543" s="199" t="n">
        <v>2026</v>
      </c>
      <c r="L1543" s="199" t="n">
        <v>2026</v>
      </c>
    </row>
    <row r="1544" ht="15" customHeight="1" s="104">
      <c r="A1544" s="194" t="n">
        <v>46112</v>
      </c>
      <c r="B1544" s="195" t="inlineStr">
        <is>
          <t>Walmart</t>
        </is>
      </c>
      <c r="C1544" s="195" t="inlineStr">
        <is>
          <t>Fees</t>
        </is>
      </c>
      <c r="D1544" s="195" t="inlineStr">
        <is>
          <t>Commission on product</t>
        </is>
      </c>
      <c r="E1544" s="196" t="n">
        <v>-560.48</v>
      </c>
      <c r="F1544" s="204" t="n">
        <v>-0.1531830692</v>
      </c>
      <c r="H1544" s="196" t="n">
        <v>-560.3268169</v>
      </c>
      <c r="J1544" s="200" t="inlineStr">
        <is>
          <t>Mar</t>
        </is>
      </c>
      <c r="K1544" s="199" t="n">
        <v>2026</v>
      </c>
      <c r="L1544" s="199" t="n">
        <v>2026</v>
      </c>
    </row>
    <row r="1545" ht="15" customHeight="1" s="104">
      <c r="A1545" s="194" t="n">
        <v>46112</v>
      </c>
      <c r="B1545" s="195" t="inlineStr">
        <is>
          <t>Walmart</t>
        </is>
      </c>
      <c r="C1545" s="195" t="inlineStr">
        <is>
          <t>Fees</t>
        </is>
      </c>
      <c r="D1545" s="195" t="inlineStr">
        <is>
          <t>Storage fee</t>
        </is>
      </c>
      <c r="E1545" s="196" t="n">
        <v>-18.68</v>
      </c>
      <c r="F1545" s="204" t="n">
        <v>-0.005105373488</v>
      </c>
      <c r="H1545" s="196" t="n">
        <v>-18.67489463</v>
      </c>
      <c r="J1545" s="200" t="inlineStr">
        <is>
          <t>Mar</t>
        </is>
      </c>
      <c r="K1545" s="199" t="n">
        <v>2026</v>
      </c>
      <c r="L1545" s="199" t="n">
        <v>2026</v>
      </c>
    </row>
    <row r="1546" ht="15" customHeight="1" s="104">
      <c r="A1546" s="194" t="n">
        <v>46112</v>
      </c>
      <c r="B1546" s="195" t="inlineStr">
        <is>
          <t>Walmart</t>
        </is>
      </c>
      <c r="C1546" s="195" t="inlineStr">
        <is>
          <t>Fees</t>
        </is>
      </c>
      <c r="D1546" s="195" t="inlineStr">
        <is>
          <t>Refund product tax</t>
        </is>
      </c>
      <c r="F1546" s="201" t="n">
        <v>0</v>
      </c>
      <c r="H1546" s="198" t="n">
        <v>0</v>
      </c>
      <c r="J1546" s="200" t="inlineStr">
        <is>
          <t>Mar</t>
        </is>
      </c>
      <c r="K1546" s="199" t="n">
        <v>2026</v>
      </c>
      <c r="L1546" s="199" t="n">
        <v>2026</v>
      </c>
    </row>
    <row r="1547" ht="15" customHeight="1" s="104">
      <c r="A1547" s="194" t="n">
        <v>46112</v>
      </c>
      <c r="B1547" s="195" t="inlineStr">
        <is>
          <t>Walmart</t>
        </is>
      </c>
      <c r="C1547" s="195" t="inlineStr">
        <is>
          <t>Fees</t>
        </is>
      </c>
      <c r="D1547" s="195" t="inlineStr">
        <is>
          <t>Refund commission on product</t>
        </is>
      </c>
      <c r="F1547" s="201" t="n">
        <v>0</v>
      </c>
      <c r="H1547" s="198" t="n">
        <v>0</v>
      </c>
      <c r="J1547" s="200" t="inlineStr">
        <is>
          <t>Mar</t>
        </is>
      </c>
      <c r="K1547" s="199" t="n">
        <v>2026</v>
      </c>
      <c r="L1547" s="199" t="n">
        <v>2026</v>
      </c>
    </row>
    <row r="1548" ht="15" customHeight="1" s="104">
      <c r="A1548" s="194" t="n">
        <v>46112</v>
      </c>
      <c r="B1548" s="195" t="inlineStr">
        <is>
          <t>Walmart</t>
        </is>
      </c>
      <c r="C1548" s="195" t="inlineStr">
        <is>
          <t>Fees</t>
        </is>
      </c>
      <c r="D1548" s="195" t="inlineStr">
        <is>
          <t>Wfs inventory fee/reimbursement</t>
        </is>
      </c>
      <c r="E1548" s="196" t="n">
        <v>-48.01</v>
      </c>
      <c r="F1548" s="204" t="n">
        <v>-0.0131214658</v>
      </c>
      <c r="H1548" s="196" t="n">
        <v>-47.99687853</v>
      </c>
      <c r="J1548" s="200" t="inlineStr">
        <is>
          <t>Mar</t>
        </is>
      </c>
      <c r="K1548" s="199" t="n">
        <v>2026</v>
      </c>
      <c r="L1548" s="199" t="n">
        <v>2026</v>
      </c>
    </row>
    <row r="1549" ht="15" customHeight="1" s="104">
      <c r="A1549" s="194" t="n">
        <v>46112</v>
      </c>
      <c r="B1549" s="195" t="inlineStr">
        <is>
          <t>Walmart</t>
        </is>
      </c>
      <c r="C1549" s="195" t="inlineStr">
        <is>
          <t>Fees</t>
        </is>
      </c>
      <c r="D1549" s="195" t="inlineStr">
        <is>
          <t>Total Walmart funded savings</t>
        </is>
      </c>
      <c r="F1549" s="201" t="n">
        <v>0</v>
      </c>
      <c r="H1549" s="198" t="n">
        <v>0</v>
      </c>
      <c r="J1549" s="200" t="inlineStr">
        <is>
          <t>Mar</t>
        </is>
      </c>
      <c r="K1549" s="199" t="n">
        <v>2026</v>
      </c>
      <c r="L1549" s="199" t="n">
        <v>2026</v>
      </c>
    </row>
    <row r="1550" ht="15" customHeight="1" s="104">
      <c r="A1550" s="194" t="n">
        <v>46112</v>
      </c>
      <c r="B1550" s="195" t="inlineStr">
        <is>
          <t>Walmart</t>
        </is>
      </c>
      <c r="C1550" s="195" t="inlineStr">
        <is>
          <t>Fees</t>
        </is>
      </c>
      <c r="D1550" s="195" t="inlineStr">
        <is>
          <t>Lost inventory</t>
        </is>
      </c>
      <c r="F1550" s="201" t="n">
        <v>0</v>
      </c>
      <c r="H1550" s="198" t="n">
        <v>0</v>
      </c>
      <c r="J1550" s="200" t="inlineStr">
        <is>
          <t>Mar</t>
        </is>
      </c>
      <c r="K1550" s="199" t="n">
        <v>2026</v>
      </c>
      <c r="L1550" s="199" t="n">
        <v>2026</v>
      </c>
    </row>
    <row r="1551" ht="15" customHeight="1" s="104">
      <c r="A1551" s="194" t="n">
        <v>46112</v>
      </c>
      <c r="B1551" s="195" t="inlineStr">
        <is>
          <t>Walmart</t>
        </is>
      </c>
      <c r="C1551" s="195" t="inlineStr">
        <is>
          <t>Fees</t>
        </is>
      </c>
      <c r="D1551" s="195" t="inlineStr">
        <is>
          <t>RC inventory disposal fee</t>
        </is>
      </c>
      <c r="E1551" s="196" t="n">
        <v>-1.15</v>
      </c>
      <c r="F1551" s="204" t="n">
        <v>-0.0003143029717</v>
      </c>
      <c r="H1551" s="196" t="n">
        <v>-1.149685697</v>
      </c>
      <c r="J1551" s="200" t="inlineStr">
        <is>
          <t>Mar</t>
        </is>
      </c>
      <c r="K1551" s="199" t="n">
        <v>2026</v>
      </c>
      <c r="L1551" s="199" t="n">
        <v>2026</v>
      </c>
    </row>
    <row r="1552" ht="15" customHeight="1" s="104">
      <c r="A1552" s="194" t="n">
        <v>46112</v>
      </c>
      <c r="B1552" s="195" t="inlineStr">
        <is>
          <t>Walmart</t>
        </is>
      </c>
      <c r="C1552" s="195" t="inlineStr">
        <is>
          <t>Cost of goods</t>
        </is>
      </c>
      <c r="D1552" s="195" t="inlineStr">
        <is>
          <t>Cost of goods sold</t>
        </is>
      </c>
      <c r="E1552" s="196" t="n">
        <v>-1443.86</v>
      </c>
      <c r="F1552" s="204" t="n">
        <v>-0.3946169467</v>
      </c>
      <c r="H1552" s="196" t="n">
        <v>-1443.465383</v>
      </c>
      <c r="J1552" s="200" t="inlineStr">
        <is>
          <t>Mar</t>
        </is>
      </c>
      <c r="K1552" s="199" t="n">
        <v>2026</v>
      </c>
      <c r="L1552" s="199" t="n">
        <v>2026</v>
      </c>
    </row>
    <row r="1553" ht="15" customHeight="1" s="104">
      <c r="A1553" s="194" t="n">
        <v>46112</v>
      </c>
      <c r="B1553" s="195" t="inlineStr">
        <is>
          <t>Walmart</t>
        </is>
      </c>
      <c r="C1553" s="195" t="inlineStr">
        <is>
          <t>Cost of goods</t>
        </is>
      </c>
      <c r="D1553" s="195" t="inlineStr">
        <is>
          <t>Value of returned items</t>
        </is>
      </c>
      <c r="E1553" s="196" t="n">
        <v>36.53</v>
      </c>
      <c r="F1553" s="204" t="n">
        <v>0.009983902221999999</v>
      </c>
      <c r="H1553" s="196" t="n">
        <v>36.5200161</v>
      </c>
      <c r="J1553" s="200" t="inlineStr">
        <is>
          <t>Mar</t>
        </is>
      </c>
      <c r="K1553" s="199" t="n">
        <v>2026</v>
      </c>
      <c r="L1553" s="199" t="n">
        <v>2026</v>
      </c>
    </row>
    <row r="1554" ht="15" customHeight="1" s="104">
      <c r="H1554" s="198" t="n">
        <v>0</v>
      </c>
    </row>
    <row r="1555" ht="15" customHeight="1" s="104">
      <c r="H1555" s="198" t="n">
        <v>0</v>
      </c>
    </row>
    <row r="1556" ht="15" customHeight="1" s="104">
      <c r="H1556" s="198" t="n">
        <v>0</v>
      </c>
    </row>
    <row r="1557" ht="15" customHeight="1" s="104">
      <c r="H1557" s="198" t="n">
        <v>0</v>
      </c>
    </row>
    <row r="1558" ht="15" customHeight="1" s="104">
      <c r="H1558" s="198" t="n">
        <v>0</v>
      </c>
    </row>
    <row r="1559" ht="15" customHeight="1" s="104">
      <c r="H1559" s="198" t="n">
        <v>0</v>
      </c>
    </row>
    <row r="1560" ht="15" customHeight="1" s="104">
      <c r="H1560" s="198" t="n">
        <v>0</v>
      </c>
    </row>
    <row r="1561" ht="15" customHeight="1" s="104">
      <c r="H1561" s="198" t="n">
        <v>0</v>
      </c>
    </row>
    <row r="1562" ht="15" customHeight="1" s="104">
      <c r="H1562" s="198" t="n">
        <v>0</v>
      </c>
    </row>
    <row r="1563" ht="15" customHeight="1" s="104">
      <c r="H1563" s="198" t="n">
        <v>0</v>
      </c>
    </row>
    <row r="1564" ht="15" customHeight="1" s="104">
      <c r="H1564" s="198" t="n">
        <v>0</v>
      </c>
    </row>
    <row r="1565" ht="15" customHeight="1" s="104">
      <c r="H1565" s="198" t="n">
        <v>0</v>
      </c>
    </row>
    <row r="1566" ht="15" customHeight="1" s="104">
      <c r="H1566" s="198" t="n">
        <v>0</v>
      </c>
    </row>
    <row r="1567" ht="15" customHeight="1" s="104">
      <c r="H1567" s="198" t="n">
        <v>0</v>
      </c>
    </row>
    <row r="1568" ht="15" customHeight="1" s="104">
      <c r="H1568" s="198" t="n">
        <v>0</v>
      </c>
    </row>
    <row r="1569" ht="15" customHeight="1" s="104">
      <c r="H1569" s="198" t="n">
        <v>0</v>
      </c>
    </row>
    <row r="1570" ht="15" customHeight="1" s="104">
      <c r="H1570" s="198" t="n">
        <v>0</v>
      </c>
    </row>
    <row r="1571" ht="15" customHeight="1" s="104">
      <c r="H1571" s="198" t="n">
        <v>0</v>
      </c>
    </row>
    <row r="1572" ht="15" customHeight="1" s="104">
      <c r="H1572" s="198" t="n">
        <v>0</v>
      </c>
    </row>
    <row r="1573" ht="15" customHeight="1" s="104">
      <c r="H1573" s="198" t="n">
        <v>0</v>
      </c>
    </row>
    <row r="1574" ht="15" customHeight="1" s="104">
      <c r="H1574" s="198" t="n">
        <v>0</v>
      </c>
    </row>
    <row r="1575" ht="15" customHeight="1" s="104">
      <c r="H1575" s="198" t="n">
        <v>0</v>
      </c>
    </row>
    <row r="1576" ht="15" customHeight="1" s="104">
      <c r="H1576" s="198" t="n">
        <v>0</v>
      </c>
    </row>
    <row r="1577" ht="15" customHeight="1" s="104">
      <c r="H1577" s="198" t="n">
        <v>0</v>
      </c>
    </row>
    <row r="1578" ht="15" customHeight="1" s="104">
      <c r="H1578" s="198" t="n">
        <v>0</v>
      </c>
    </row>
    <row r="1579" ht="15" customHeight="1" s="104">
      <c r="H1579" s="198" t="n">
        <v>0</v>
      </c>
    </row>
    <row r="1580" ht="15" customHeight="1" s="104">
      <c r="H1580" s="198" t="n">
        <v>0</v>
      </c>
    </row>
    <row r="1581" ht="15" customHeight="1" s="104">
      <c r="H1581" s="198" t="n">
        <v>0</v>
      </c>
    </row>
    <row r="1582" ht="15" customHeight="1" s="104">
      <c r="H1582" s="198" t="n">
        <v>0</v>
      </c>
    </row>
    <row r="1583" ht="15" customHeight="1" s="104">
      <c r="H1583" s="198" t="n">
        <v>0</v>
      </c>
    </row>
    <row r="1584" ht="15" customHeight="1" s="104">
      <c r="H1584" s="198" t="n">
        <v>0</v>
      </c>
    </row>
    <row r="1585" ht="15" customHeight="1" s="104">
      <c r="H1585" s="198" t="n">
        <v>0</v>
      </c>
    </row>
    <row r="1586" ht="15" customHeight="1" s="104">
      <c r="H1586" s="198" t="n">
        <v>0</v>
      </c>
    </row>
    <row r="1587" ht="15" customHeight="1" s="104">
      <c r="H1587" s="198" t="n">
        <v>0</v>
      </c>
    </row>
    <row r="1588" ht="15" customHeight="1" s="104">
      <c r="H1588" s="198" t="n">
        <v>0</v>
      </c>
    </row>
    <row r="1589" ht="15" customHeight="1" s="104">
      <c r="H1589" s="198" t="n">
        <v>0</v>
      </c>
    </row>
    <row r="1590" ht="15" customHeight="1" s="104">
      <c r="H1590" s="198" t="n">
        <v>0</v>
      </c>
    </row>
    <row r="1591" ht="15" customHeight="1" s="104">
      <c r="H1591" s="198" t="n">
        <v>0</v>
      </c>
    </row>
    <row r="1592" ht="15" customHeight="1" s="104">
      <c r="H1592" s="198" t="n">
        <v>0</v>
      </c>
    </row>
    <row r="1593" ht="15" customHeight="1" s="104">
      <c r="H1593" s="198" t="n">
        <v>0</v>
      </c>
    </row>
    <row r="1594" ht="15" customHeight="1" s="104">
      <c r="H1594" s="198" t="n">
        <v>0</v>
      </c>
    </row>
    <row r="1595" ht="15" customHeight="1" s="104">
      <c r="H1595" s="198" t="n">
        <v>0</v>
      </c>
    </row>
    <row r="1596" ht="15" customHeight="1" s="104">
      <c r="H1596" s="198" t="n">
        <v>0</v>
      </c>
    </row>
    <row r="1597" ht="15" customHeight="1" s="104">
      <c r="H1597" s="198" t="n">
        <v>0</v>
      </c>
    </row>
    <row r="1598" ht="15" customHeight="1" s="104">
      <c r="H1598" s="198" t="n">
        <v>0</v>
      </c>
    </row>
    <row r="1599" ht="15" customHeight="1" s="104">
      <c r="H1599" s="198" t="n">
        <v>0</v>
      </c>
    </row>
    <row r="1600" ht="15" customHeight="1" s="104">
      <c r="H1600" s="198" t="n">
        <v>0</v>
      </c>
    </row>
    <row r="1601" ht="15" customHeight="1" s="104">
      <c r="H1601" s="198" t="n">
        <v>0</v>
      </c>
    </row>
    <row r="1602" ht="15" customHeight="1" s="104">
      <c r="H1602" s="198" t="n">
        <v>0</v>
      </c>
    </row>
    <row r="1603" ht="15" customHeight="1" s="104">
      <c r="H1603" s="198" t="n">
        <v>0</v>
      </c>
    </row>
    <row r="1604" ht="15" customHeight="1" s="104">
      <c r="H1604" s="198" t="n">
        <v>0</v>
      </c>
    </row>
    <row r="1605" ht="15" customHeight="1" s="104">
      <c r="H1605" s="198" t="n">
        <v>0</v>
      </c>
    </row>
    <row r="1606" ht="15" customHeight="1" s="104">
      <c r="H1606" s="198" t="n">
        <v>0</v>
      </c>
    </row>
    <row r="1607" ht="15" customHeight="1" s="104">
      <c r="H1607" s="198" t="n">
        <v>0</v>
      </c>
    </row>
    <row r="1608" ht="15" customHeight="1" s="104">
      <c r="H1608" s="198" t="n">
        <v>0</v>
      </c>
    </row>
    <row r="1609" ht="15" customHeight="1" s="104">
      <c r="H1609" s="198" t="n">
        <v>0</v>
      </c>
    </row>
    <row r="1610" ht="15" customHeight="1" s="104">
      <c r="H1610" s="198" t="n">
        <v>0</v>
      </c>
    </row>
    <row r="1611" ht="15" customHeight="1" s="104">
      <c r="H1611" s="198" t="n">
        <v>0</v>
      </c>
    </row>
    <row r="1612" ht="15" customHeight="1" s="104">
      <c r="H1612" s="198" t="n">
        <v>0</v>
      </c>
    </row>
    <row r="1613" ht="15" customHeight="1" s="104">
      <c r="H1613" s="198" t="n">
        <v>0</v>
      </c>
    </row>
    <row r="1614" ht="15" customHeight="1" s="104">
      <c r="H1614" s="198" t="n">
        <v>0</v>
      </c>
    </row>
    <row r="1615" ht="15" customHeight="1" s="104">
      <c r="H1615" s="198" t="n">
        <v>0</v>
      </c>
    </row>
    <row r="1616" ht="15" customHeight="1" s="104">
      <c r="H1616" s="198" t="n">
        <v>0</v>
      </c>
    </row>
    <row r="1617" ht="15" customHeight="1" s="104">
      <c r="H1617" s="198" t="n">
        <v>0</v>
      </c>
    </row>
    <row r="1618" ht="15" customHeight="1" s="104">
      <c r="H1618" s="198" t="n">
        <v>0</v>
      </c>
    </row>
    <row r="1619" ht="15" customHeight="1" s="104">
      <c r="H1619" s="198" t="n">
        <v>0</v>
      </c>
    </row>
    <row r="1620" ht="15" customHeight="1" s="104">
      <c r="H1620" s="198" t="n">
        <v>0</v>
      </c>
    </row>
    <row r="1621" ht="15" customHeight="1" s="104">
      <c r="H1621" s="198" t="n">
        <v>0</v>
      </c>
    </row>
    <row r="1622" ht="15" customHeight="1" s="104">
      <c r="H1622" s="198" t="n">
        <v>0</v>
      </c>
    </row>
    <row r="1623" ht="15" customHeight="1" s="104">
      <c r="H1623" s="198" t="n">
        <v>0</v>
      </c>
    </row>
    <row r="1624" ht="15" customHeight="1" s="104">
      <c r="H1624" s="198" t="n">
        <v>0</v>
      </c>
    </row>
    <row r="1625" ht="15" customHeight="1" s="104">
      <c r="H1625" s="198" t="n">
        <v>0</v>
      </c>
    </row>
    <row r="1626" ht="15" customHeight="1" s="104">
      <c r="H1626" s="198" t="n">
        <v>0</v>
      </c>
    </row>
    <row r="1627" ht="15" customHeight="1" s="104">
      <c r="H1627" s="198" t="n">
        <v>0</v>
      </c>
    </row>
    <row r="1628" ht="15" customHeight="1" s="104">
      <c r="H1628" s="198" t="n">
        <v>0</v>
      </c>
    </row>
    <row r="1629" ht="15" customHeight="1" s="104">
      <c r="H1629" s="198" t="n">
        <v>0</v>
      </c>
    </row>
    <row r="1630" ht="15" customHeight="1" s="104">
      <c r="H1630" s="198" t="n">
        <v>0</v>
      </c>
    </row>
    <row r="1631" ht="15" customHeight="1" s="104">
      <c r="H1631" s="198" t="n">
        <v>0</v>
      </c>
    </row>
    <row r="1632" ht="15" customHeight="1" s="104">
      <c r="H1632" s="198" t="n">
        <v>0</v>
      </c>
    </row>
    <row r="1633" ht="15" customHeight="1" s="104">
      <c r="H1633" s="198" t="n">
        <v>0</v>
      </c>
    </row>
    <row r="1634" ht="15" customHeight="1" s="104">
      <c r="H1634" s="198" t="n">
        <v>0</v>
      </c>
    </row>
    <row r="1635" ht="15" customHeight="1" s="104">
      <c r="H1635" s="198" t="n">
        <v>0</v>
      </c>
    </row>
    <row r="1636" ht="15" customHeight="1" s="104">
      <c r="H1636" s="198" t="n">
        <v>0</v>
      </c>
    </row>
    <row r="1637" ht="15" customHeight="1" s="104">
      <c r="H1637" s="198" t="n">
        <v>0</v>
      </c>
    </row>
    <row r="1638" ht="15" customHeight="1" s="104">
      <c r="H1638" s="198" t="n">
        <v>0</v>
      </c>
    </row>
    <row r="1639" ht="15" customHeight="1" s="104">
      <c r="H1639" s="198" t="n">
        <v>0</v>
      </c>
    </row>
    <row r="1640" ht="15" customHeight="1" s="104">
      <c r="H1640" s="198" t="n">
        <v>0</v>
      </c>
    </row>
    <row r="1641" ht="15" customHeight="1" s="104">
      <c r="H1641" s="198" t="n">
        <v>0</v>
      </c>
    </row>
    <row r="1642" ht="15" customHeight="1" s="104">
      <c r="H1642" s="198" t="n">
        <v>0</v>
      </c>
    </row>
    <row r="1643" ht="15" customHeight="1" s="104">
      <c r="H1643" s="198" t="n">
        <v>0</v>
      </c>
    </row>
    <row r="1644" ht="15" customHeight="1" s="104">
      <c r="H1644" s="198" t="n">
        <v>0</v>
      </c>
    </row>
    <row r="1645" ht="15" customHeight="1" s="104">
      <c r="H1645" s="198" t="n">
        <v>0</v>
      </c>
    </row>
    <row r="1646" ht="15" customHeight="1" s="104">
      <c r="H1646" s="198" t="n">
        <v>0</v>
      </c>
    </row>
    <row r="1647" ht="15" customHeight="1" s="104">
      <c r="H1647" s="198" t="n">
        <v>0</v>
      </c>
    </row>
    <row r="1648" ht="15" customHeight="1" s="104">
      <c r="H1648" s="198" t="n">
        <v>0</v>
      </c>
    </row>
    <row r="1649" ht="15" customHeight="1" s="104">
      <c r="H1649" s="198" t="n">
        <v>0</v>
      </c>
    </row>
    <row r="1650" ht="15" customHeight="1" s="104">
      <c r="H1650" s="198" t="n">
        <v>0</v>
      </c>
    </row>
    <row r="1651" ht="15" customHeight="1" s="104">
      <c r="H1651" s="198" t="n">
        <v>0</v>
      </c>
    </row>
    <row r="1652" ht="15" customHeight="1" s="104">
      <c r="H1652" s="198" t="n">
        <v>0</v>
      </c>
    </row>
    <row r="1653" ht="15" customHeight="1" s="104">
      <c r="H1653" s="198" t="n">
        <v>0</v>
      </c>
    </row>
    <row r="1654" ht="15" customHeight="1" s="104">
      <c r="H1654" s="198" t="n">
        <v>0</v>
      </c>
    </row>
    <row r="1655" ht="15" customHeight="1" s="104">
      <c r="H1655" s="198" t="n">
        <v>0</v>
      </c>
    </row>
    <row r="1656" ht="15" customHeight="1" s="104">
      <c r="H1656" s="198" t="n">
        <v>0</v>
      </c>
    </row>
    <row r="1657" ht="15" customHeight="1" s="104">
      <c r="H1657" s="198" t="n">
        <v>0</v>
      </c>
    </row>
    <row r="1658" ht="15" customHeight="1" s="104">
      <c r="H1658" s="198" t="n">
        <v>0</v>
      </c>
    </row>
    <row r="1659" ht="15" customHeight="1" s="104">
      <c r="H1659" s="198" t="n">
        <v>0</v>
      </c>
    </row>
    <row r="1660" ht="15" customHeight="1" s="104">
      <c r="H1660" s="198" t="n">
        <v>0</v>
      </c>
    </row>
    <row r="1661" ht="15" customHeight="1" s="104">
      <c r="H1661" s="198" t="n">
        <v>0</v>
      </c>
    </row>
    <row r="1662" ht="15" customHeight="1" s="104">
      <c r="H1662" s="198" t="n">
        <v>0</v>
      </c>
    </row>
    <row r="1663" ht="15" customHeight="1" s="104">
      <c r="H1663" s="198" t="n">
        <v>0</v>
      </c>
    </row>
    <row r="1664" ht="15" customHeight="1" s="104">
      <c r="H1664" s="198" t="n">
        <v>0</v>
      </c>
    </row>
    <row r="1665" ht="15" customHeight="1" s="104">
      <c r="H1665" s="198" t="n">
        <v>0</v>
      </c>
    </row>
    <row r="1666" ht="15" customHeight="1" s="104">
      <c r="H1666" s="198" t="n">
        <v>0</v>
      </c>
    </row>
    <row r="1667" ht="15" customHeight="1" s="104">
      <c r="H1667" s="198" t="n">
        <v>0</v>
      </c>
    </row>
    <row r="1668" ht="15" customHeight="1" s="104">
      <c r="H1668" s="198" t="n">
        <v>0</v>
      </c>
    </row>
    <row r="1669" ht="15" customHeight="1" s="104">
      <c r="H1669" s="198" t="n">
        <v>0</v>
      </c>
    </row>
    <row r="1670" ht="15" customHeight="1" s="104">
      <c r="H1670" s="198" t="n">
        <v>0</v>
      </c>
    </row>
    <row r="1671" ht="15" customHeight="1" s="104">
      <c r="H1671" s="198" t="n">
        <v>0</v>
      </c>
    </row>
    <row r="1672" ht="15" customHeight="1" s="104">
      <c r="H1672" s="198" t="n">
        <v>0</v>
      </c>
    </row>
    <row r="1673" ht="15" customHeight="1" s="104">
      <c r="H1673" s="198" t="n">
        <v>0</v>
      </c>
    </row>
    <row r="1674" ht="15" customHeight="1" s="104">
      <c r="H1674" s="198" t="n">
        <v>0</v>
      </c>
    </row>
    <row r="1675" ht="15" customHeight="1" s="104">
      <c r="H1675" s="198" t="n">
        <v>0</v>
      </c>
    </row>
    <row r="1676" ht="15" customHeight="1" s="104">
      <c r="H1676" s="198" t="n">
        <v>0</v>
      </c>
    </row>
    <row r="1677" ht="15" customHeight="1" s="104">
      <c r="H1677" s="198" t="n">
        <v>0</v>
      </c>
    </row>
    <row r="1678" ht="15" customHeight="1" s="104">
      <c r="H1678" s="198" t="n">
        <v>0</v>
      </c>
    </row>
    <row r="1679" ht="15" customHeight="1" s="104">
      <c r="H1679" s="198" t="n">
        <v>0</v>
      </c>
    </row>
    <row r="1680" ht="15" customHeight="1" s="104">
      <c r="H1680" s="198" t="n">
        <v>0</v>
      </c>
    </row>
    <row r="1681" ht="15" customHeight="1" s="104">
      <c r="H1681" s="198" t="n">
        <v>0</v>
      </c>
    </row>
    <row r="1682" ht="15" customHeight="1" s="104">
      <c r="H1682" s="198" t="n">
        <v>0</v>
      </c>
    </row>
    <row r="1683" ht="15" customHeight="1" s="104">
      <c r="H1683" s="198" t="n">
        <v>0</v>
      </c>
    </row>
    <row r="1684" ht="15" customHeight="1" s="104">
      <c r="H1684" s="198" t="n">
        <v>0</v>
      </c>
    </row>
    <row r="1685" ht="15" customHeight="1" s="104">
      <c r="H1685" s="198" t="n">
        <v>0</v>
      </c>
    </row>
    <row r="1686" ht="15" customHeight="1" s="104">
      <c r="H1686" s="198" t="n">
        <v>0</v>
      </c>
    </row>
    <row r="1687" ht="15" customHeight="1" s="104">
      <c r="H1687" s="198" t="n">
        <v>0</v>
      </c>
    </row>
    <row r="1688" ht="15" customHeight="1" s="104">
      <c r="H1688" s="198" t="n">
        <v>0</v>
      </c>
    </row>
    <row r="1689" ht="15" customHeight="1" s="104">
      <c r="H1689" s="198" t="n">
        <v>0</v>
      </c>
    </row>
    <row r="1690" ht="15" customHeight="1" s="104">
      <c r="H1690" s="198" t="n">
        <v>0</v>
      </c>
    </row>
    <row r="1691" ht="15" customHeight="1" s="104">
      <c r="H1691" s="198" t="n">
        <v>0</v>
      </c>
    </row>
    <row r="1692" ht="15" customHeight="1" s="104">
      <c r="H1692" s="198" t="n">
        <v>0</v>
      </c>
    </row>
    <row r="1693" ht="15" customHeight="1" s="104">
      <c r="H1693" s="198" t="n">
        <v>0</v>
      </c>
    </row>
    <row r="1694" ht="15" customHeight="1" s="104">
      <c r="H1694" s="198" t="n">
        <v>0</v>
      </c>
    </row>
    <row r="1695" ht="15" customHeight="1" s="104">
      <c r="H1695" s="198" t="n">
        <v>0</v>
      </c>
    </row>
    <row r="1696" ht="15" customHeight="1" s="104">
      <c r="H1696" s="198" t="n">
        <v>0</v>
      </c>
    </row>
    <row r="1697" ht="15" customHeight="1" s="104">
      <c r="H1697" s="198" t="n">
        <v>0</v>
      </c>
    </row>
    <row r="1698" ht="15" customHeight="1" s="104">
      <c r="H1698" s="198" t="n">
        <v>0</v>
      </c>
    </row>
    <row r="1699" ht="15" customHeight="1" s="104">
      <c r="H1699" s="198" t="n">
        <v>0</v>
      </c>
    </row>
    <row r="1700" ht="15" customHeight="1" s="104">
      <c r="H1700" s="198" t="n">
        <v>0</v>
      </c>
    </row>
    <row r="1701" ht="15" customHeight="1" s="104">
      <c r="H1701" s="198" t="n">
        <v>0</v>
      </c>
    </row>
    <row r="1702" ht="15" customHeight="1" s="104">
      <c r="H1702" s="198" t="n">
        <v>0</v>
      </c>
    </row>
    <row r="1703" ht="15" customHeight="1" s="104">
      <c r="H1703" s="198" t="n">
        <v>0</v>
      </c>
    </row>
    <row r="1704" ht="15" customHeight="1" s="104">
      <c r="H1704" s="198" t="n">
        <v>0</v>
      </c>
    </row>
    <row r="1705" ht="15" customHeight="1" s="104">
      <c r="H1705" s="198" t="n">
        <v>0</v>
      </c>
    </row>
    <row r="1706" ht="15" customHeight="1" s="104">
      <c r="H1706" s="198" t="n">
        <v>0</v>
      </c>
    </row>
    <row r="1707" ht="15" customHeight="1" s="104">
      <c r="H1707" s="198" t="n">
        <v>0</v>
      </c>
    </row>
    <row r="1708" ht="15" customHeight="1" s="104">
      <c r="H1708" s="198" t="n">
        <v>0</v>
      </c>
    </row>
    <row r="1709" ht="15" customHeight="1" s="104">
      <c r="H1709" s="198" t="n">
        <v>0</v>
      </c>
    </row>
    <row r="1710" ht="15" customHeight="1" s="104">
      <c r="H1710" s="198" t="n">
        <v>0</v>
      </c>
    </row>
    <row r="1711" ht="15" customHeight="1" s="104">
      <c r="H1711" s="198" t="n">
        <v>0</v>
      </c>
    </row>
    <row r="1712" ht="15" customHeight="1" s="104">
      <c r="H1712" s="198" t="n">
        <v>0</v>
      </c>
    </row>
    <row r="1713" ht="15" customHeight="1" s="104">
      <c r="H1713" s="198" t="n">
        <v>0</v>
      </c>
    </row>
    <row r="1714" ht="15" customHeight="1" s="104">
      <c r="H1714" s="198" t="n">
        <v>0</v>
      </c>
    </row>
    <row r="1715" ht="15" customHeight="1" s="104">
      <c r="H1715" s="198" t="n">
        <v>0</v>
      </c>
    </row>
    <row r="1716" ht="15" customHeight="1" s="104">
      <c r="H1716" s="198" t="n">
        <v>0</v>
      </c>
    </row>
    <row r="1717" ht="15" customHeight="1" s="104">
      <c r="H1717" s="198" t="n">
        <v>0</v>
      </c>
    </row>
    <row r="1718" ht="15" customHeight="1" s="104">
      <c r="H1718" s="198" t="n">
        <v>0</v>
      </c>
    </row>
    <row r="1719" ht="15" customHeight="1" s="104">
      <c r="H1719" s="198" t="n">
        <v>0</v>
      </c>
    </row>
    <row r="1720" ht="15" customHeight="1" s="104">
      <c r="H1720" s="198" t="n">
        <v>0</v>
      </c>
    </row>
    <row r="1721" ht="15" customHeight="1" s="104">
      <c r="H1721" s="198" t="n">
        <v>0</v>
      </c>
    </row>
    <row r="1722" ht="15" customHeight="1" s="104">
      <c r="H1722" s="198" t="n">
        <v>0</v>
      </c>
    </row>
    <row r="1723" ht="15" customHeight="1" s="104">
      <c r="H1723" s="198" t="n">
        <v>0</v>
      </c>
    </row>
    <row r="1724" ht="15" customHeight="1" s="104">
      <c r="H1724" s="198" t="n">
        <v>0</v>
      </c>
    </row>
    <row r="1725" ht="15" customHeight="1" s="104">
      <c r="H1725" s="198" t="n">
        <v>0</v>
      </c>
    </row>
    <row r="1726" ht="15" customHeight="1" s="104">
      <c r="H1726" s="198" t="n">
        <v>0</v>
      </c>
    </row>
    <row r="1727" ht="15" customHeight="1" s="104">
      <c r="H1727" s="198" t="n">
        <v>0</v>
      </c>
    </row>
    <row r="1728" ht="15" customHeight="1" s="104">
      <c r="H1728" s="198" t="n">
        <v>0</v>
      </c>
    </row>
    <row r="1729" ht="15" customHeight="1" s="104">
      <c r="H1729" s="198" t="n">
        <v>0</v>
      </c>
    </row>
    <row r="1730" ht="15" customHeight="1" s="104">
      <c r="H1730" s="198" t="n">
        <v>0</v>
      </c>
    </row>
    <row r="1731" ht="15" customHeight="1" s="104">
      <c r="H1731" s="198" t="n">
        <v>0</v>
      </c>
    </row>
    <row r="1732" ht="15" customHeight="1" s="104">
      <c r="H1732" s="198" t="n">
        <v>0</v>
      </c>
    </row>
    <row r="1733" ht="15" customHeight="1" s="104">
      <c r="H1733" s="198" t="n">
        <v>0</v>
      </c>
    </row>
    <row r="1734" ht="15" customHeight="1" s="104">
      <c r="H1734" s="198" t="n">
        <v>0</v>
      </c>
    </row>
    <row r="1735" ht="15" customHeight="1" s="104">
      <c r="H1735" s="198" t="n">
        <v>0</v>
      </c>
    </row>
    <row r="1736" ht="15" customHeight="1" s="104">
      <c r="H1736" s="198" t="n">
        <v>0</v>
      </c>
    </row>
    <row r="1737" ht="15" customHeight="1" s="104">
      <c r="H1737" s="198" t="n">
        <v>0</v>
      </c>
    </row>
    <row r="1738" ht="15" customHeight="1" s="104">
      <c r="H1738" s="198" t="n">
        <v>0</v>
      </c>
    </row>
    <row r="1739" ht="15" customHeight="1" s="104">
      <c r="H1739" s="198" t="n">
        <v>0</v>
      </c>
    </row>
    <row r="1740" ht="15" customHeight="1" s="104">
      <c r="H1740" s="198" t="n">
        <v>0</v>
      </c>
    </row>
    <row r="1741" ht="15" customHeight="1" s="104">
      <c r="H1741" s="198" t="n">
        <v>0</v>
      </c>
    </row>
    <row r="1742" ht="15" customHeight="1" s="104">
      <c r="H1742" s="198" t="n">
        <v>0</v>
      </c>
    </row>
    <row r="1743" ht="15" customHeight="1" s="104">
      <c r="H1743" s="198" t="n">
        <v>0</v>
      </c>
    </row>
    <row r="1744" ht="15" customHeight="1" s="104">
      <c r="H1744" s="198" t="n">
        <v>0</v>
      </c>
    </row>
    <row r="1745" ht="15" customHeight="1" s="104">
      <c r="H1745" s="198" t="n">
        <v>0</v>
      </c>
    </row>
    <row r="1746" ht="15" customHeight="1" s="104">
      <c r="H1746" s="198" t="n">
        <v>0</v>
      </c>
    </row>
    <row r="1747" ht="15" customHeight="1" s="104">
      <c r="H1747" s="198" t="n">
        <v>0</v>
      </c>
    </row>
    <row r="1748" ht="15" customHeight="1" s="104">
      <c r="H1748" s="198" t="n">
        <v>0</v>
      </c>
    </row>
    <row r="1749" ht="15" customHeight="1" s="104">
      <c r="H1749" s="198" t="n">
        <v>0</v>
      </c>
    </row>
    <row r="1750" ht="15" customHeight="1" s="104">
      <c r="H1750" s="198" t="n">
        <v>0</v>
      </c>
    </row>
    <row r="1751" ht="15" customHeight="1" s="104">
      <c r="H1751" s="198" t="n">
        <v>0</v>
      </c>
    </row>
    <row r="1752" ht="15" customHeight="1" s="104">
      <c r="H1752" s="198" t="n">
        <v>0</v>
      </c>
    </row>
    <row r="1753" ht="15" customHeight="1" s="104">
      <c r="H1753" s="198" t="n">
        <v>0</v>
      </c>
    </row>
    <row r="1754" ht="15" customHeight="1" s="104">
      <c r="H1754" s="198" t="n">
        <v>0</v>
      </c>
    </row>
    <row r="1755" ht="15" customHeight="1" s="104">
      <c r="H1755" s="198" t="n">
        <v>0</v>
      </c>
    </row>
    <row r="1756" ht="15" customHeight="1" s="104">
      <c r="H1756" s="198" t="n">
        <v>0</v>
      </c>
    </row>
    <row r="1757" ht="15" customHeight="1" s="104">
      <c r="H1757" s="198" t="n">
        <v>0</v>
      </c>
    </row>
    <row r="1758" ht="15" customHeight="1" s="104">
      <c r="H1758" s="198" t="n">
        <v>0</v>
      </c>
    </row>
    <row r="1759" ht="15" customHeight="1" s="104">
      <c r="H1759" s="198" t="n">
        <v>0</v>
      </c>
    </row>
    <row r="1760" ht="15" customHeight="1" s="104">
      <c r="H1760" s="198" t="n">
        <v>0</v>
      </c>
    </row>
    <row r="1761" ht="15" customHeight="1" s="104">
      <c r="H1761" s="198" t="n">
        <v>0</v>
      </c>
    </row>
    <row r="1762" ht="15" customHeight="1" s="104">
      <c r="H1762" s="198" t="n">
        <v>0</v>
      </c>
    </row>
    <row r="1763" ht="15" customHeight="1" s="104">
      <c r="H1763" s="198" t="n">
        <v>0</v>
      </c>
    </row>
    <row r="1764" ht="15" customHeight="1" s="104">
      <c r="H1764" s="198" t="n">
        <v>0</v>
      </c>
    </row>
    <row r="1765" ht="15" customHeight="1" s="104">
      <c r="H1765" s="198" t="n">
        <v>0</v>
      </c>
    </row>
    <row r="1766" ht="15" customHeight="1" s="104">
      <c r="H1766" s="198" t="n">
        <v>0</v>
      </c>
    </row>
    <row r="1767" ht="15" customHeight="1" s="104">
      <c r="H1767" s="198" t="n">
        <v>0</v>
      </c>
    </row>
    <row r="1768" ht="15" customHeight="1" s="104">
      <c r="H1768" s="198" t="n">
        <v>0</v>
      </c>
    </row>
    <row r="1769" ht="15" customHeight="1" s="104">
      <c r="H1769" s="198" t="n">
        <v>0</v>
      </c>
    </row>
    <row r="1770" ht="15" customHeight="1" s="104">
      <c r="H1770" s="198" t="n">
        <v>0</v>
      </c>
    </row>
    <row r="1771" ht="15" customHeight="1" s="104">
      <c r="H1771" s="198" t="n">
        <v>0</v>
      </c>
    </row>
    <row r="1772" ht="15" customHeight="1" s="104">
      <c r="H1772" s="198" t="n">
        <v>0</v>
      </c>
    </row>
    <row r="1773" ht="15" customHeight="1" s="104">
      <c r="H1773" s="198" t="n">
        <v>0</v>
      </c>
    </row>
    <row r="1774" ht="15" customHeight="1" s="104">
      <c r="H1774" s="198" t="n">
        <v>0</v>
      </c>
    </row>
    <row r="1775" ht="15" customHeight="1" s="104">
      <c r="H1775" s="198" t="n">
        <v>0</v>
      </c>
    </row>
    <row r="1776" ht="15" customHeight="1" s="104">
      <c r="H1776" s="198" t="n">
        <v>0</v>
      </c>
    </row>
    <row r="1777" ht="15" customHeight="1" s="104">
      <c r="H1777" s="198" t="n">
        <v>0</v>
      </c>
    </row>
    <row r="1778" ht="15" customHeight="1" s="104">
      <c r="H1778" s="198" t="n">
        <v>0</v>
      </c>
    </row>
    <row r="1779" ht="15" customHeight="1" s="104">
      <c r="H1779" s="198" t="n">
        <v>0</v>
      </c>
    </row>
    <row r="1780" ht="15" customHeight="1" s="104">
      <c r="H1780" s="198" t="n">
        <v>0</v>
      </c>
    </row>
    <row r="1781" ht="15" customHeight="1" s="104">
      <c r="H1781" s="198" t="n">
        <v>0</v>
      </c>
    </row>
    <row r="1782" ht="15" customHeight="1" s="104">
      <c r="H1782" s="198" t="n">
        <v>0</v>
      </c>
    </row>
    <row r="1783" ht="15" customHeight="1" s="104">
      <c r="H1783" s="198" t="n">
        <v>0</v>
      </c>
    </row>
    <row r="1784" ht="15" customHeight="1" s="104">
      <c r="H1784" s="198" t="n">
        <v>0</v>
      </c>
    </row>
    <row r="1785" ht="15" customHeight="1" s="104">
      <c r="H1785" s="198" t="n">
        <v>0</v>
      </c>
    </row>
    <row r="1786" ht="15" customHeight="1" s="104">
      <c r="H1786" s="198" t="n">
        <v>0</v>
      </c>
    </row>
    <row r="1787" ht="15" customHeight="1" s="104">
      <c r="H1787" s="198" t="n">
        <v>0</v>
      </c>
    </row>
    <row r="1788" ht="15" customHeight="1" s="104">
      <c r="H1788" s="198" t="n">
        <v>0</v>
      </c>
    </row>
    <row r="1789" ht="15" customHeight="1" s="104">
      <c r="H1789" s="198" t="n">
        <v>0</v>
      </c>
    </row>
    <row r="1790" ht="15" customHeight="1" s="104">
      <c r="H1790" s="198" t="n">
        <v>0</v>
      </c>
    </row>
    <row r="1791" ht="15" customHeight="1" s="104">
      <c r="H1791" s="198" t="n">
        <v>0</v>
      </c>
    </row>
    <row r="1792" ht="15" customHeight="1" s="104">
      <c r="H1792" s="198" t="n">
        <v>0</v>
      </c>
    </row>
    <row r="1793" ht="15" customHeight="1" s="104">
      <c r="H1793" s="198" t="n">
        <v>0</v>
      </c>
    </row>
    <row r="1794" ht="15" customHeight="1" s="104">
      <c r="H1794" s="198" t="n">
        <v>0</v>
      </c>
    </row>
    <row r="1795" ht="15" customHeight="1" s="104">
      <c r="H1795" s="198" t="n">
        <v>0</v>
      </c>
    </row>
    <row r="1796" ht="15" customHeight="1" s="104">
      <c r="H1796" s="198" t="n">
        <v>0</v>
      </c>
    </row>
    <row r="1797" ht="15" customHeight="1" s="104">
      <c r="H1797" s="198" t="n">
        <v>0</v>
      </c>
    </row>
    <row r="1798" ht="15" customHeight="1" s="104">
      <c r="H1798" s="198" t="n">
        <v>0</v>
      </c>
    </row>
    <row r="1799" ht="15" customHeight="1" s="104">
      <c r="H1799" s="198" t="n">
        <v>0</v>
      </c>
    </row>
    <row r="1800" ht="15" customHeight="1" s="104">
      <c r="H1800" s="198" t="n">
        <v>0</v>
      </c>
    </row>
    <row r="1801" ht="15" customHeight="1" s="104">
      <c r="H1801" s="198" t="n">
        <v>0</v>
      </c>
    </row>
    <row r="1802" ht="15" customHeight="1" s="104">
      <c r="H1802" s="198" t="n">
        <v>0</v>
      </c>
    </row>
    <row r="1803" ht="15" customHeight="1" s="104">
      <c r="H1803" s="198" t="n">
        <v>0</v>
      </c>
    </row>
    <row r="1804" ht="15" customHeight="1" s="104">
      <c r="H1804" s="198" t="n">
        <v>0</v>
      </c>
    </row>
    <row r="1805" ht="15" customHeight="1" s="104">
      <c r="H1805" s="198" t="n">
        <v>0</v>
      </c>
    </row>
    <row r="1806" ht="15" customHeight="1" s="104">
      <c r="H1806" s="198" t="n">
        <v>0</v>
      </c>
    </row>
    <row r="1807" ht="15" customHeight="1" s="104">
      <c r="H1807" s="198" t="n">
        <v>0</v>
      </c>
    </row>
    <row r="1808" ht="15" customHeight="1" s="104">
      <c r="H1808" s="198" t="n">
        <v>0</v>
      </c>
    </row>
    <row r="1809" ht="15" customHeight="1" s="104">
      <c r="H1809" s="198" t="n">
        <v>0</v>
      </c>
    </row>
    <row r="1810" ht="15" customHeight="1" s="104">
      <c r="H1810" s="198" t="n">
        <v>0</v>
      </c>
    </row>
    <row r="1811" ht="15" customHeight="1" s="104">
      <c r="H1811" s="198" t="n">
        <v>0</v>
      </c>
    </row>
    <row r="1812" ht="15" customHeight="1" s="104">
      <c r="H1812" s="198" t="n">
        <v>0</v>
      </c>
    </row>
    <row r="1813" ht="15" customHeight="1" s="104">
      <c r="H1813" s="198" t="n">
        <v>0</v>
      </c>
    </row>
    <row r="1814" ht="15" customHeight="1" s="104">
      <c r="H1814" s="198" t="n">
        <v>0</v>
      </c>
    </row>
    <row r="1815" ht="15" customHeight="1" s="104">
      <c r="H1815" s="198" t="n">
        <v>0</v>
      </c>
    </row>
    <row r="1816" ht="15" customHeight="1" s="104">
      <c r="H1816" s="198" t="n">
        <v>0</v>
      </c>
    </row>
    <row r="1817" ht="15" customHeight="1" s="104">
      <c r="H1817" s="198" t="n">
        <v>0</v>
      </c>
    </row>
    <row r="1818" ht="15" customHeight="1" s="104">
      <c r="H1818" s="198" t="n">
        <v>0</v>
      </c>
    </row>
    <row r="1819" ht="15" customHeight="1" s="104">
      <c r="H1819" s="198" t="n">
        <v>0</v>
      </c>
    </row>
    <row r="1820" ht="15" customHeight="1" s="104">
      <c r="H1820" s="198" t="n">
        <v>0</v>
      </c>
    </row>
    <row r="1821" ht="15" customHeight="1" s="104">
      <c r="H1821" s="198" t="n">
        <v>0</v>
      </c>
    </row>
    <row r="1822" ht="15" customHeight="1" s="104">
      <c r="H1822" s="198" t="n">
        <v>0</v>
      </c>
    </row>
    <row r="1823" ht="15" customHeight="1" s="104">
      <c r="H1823" s="198" t="n">
        <v>0</v>
      </c>
    </row>
    <row r="1824" ht="15" customHeight="1" s="104">
      <c r="H1824" s="198" t="n">
        <v>0</v>
      </c>
    </row>
    <row r="1825" ht="15" customHeight="1" s="104">
      <c r="H1825" s="198" t="n">
        <v>0</v>
      </c>
    </row>
    <row r="1826" ht="15" customHeight="1" s="104">
      <c r="H1826" s="198" t="n">
        <v>0</v>
      </c>
    </row>
    <row r="1827" ht="15" customHeight="1" s="104">
      <c r="H1827" s="198" t="n">
        <v>0</v>
      </c>
    </row>
    <row r="1828" ht="15" customHeight="1" s="104">
      <c r="H1828" s="198" t="n">
        <v>0</v>
      </c>
    </row>
    <row r="1829" ht="15" customHeight="1" s="104">
      <c r="H1829" s="198" t="n">
        <v>0</v>
      </c>
    </row>
    <row r="1830" ht="15" customHeight="1" s="104">
      <c r="H1830" s="198" t="n">
        <v>0</v>
      </c>
    </row>
    <row r="1831" ht="15" customHeight="1" s="104">
      <c r="H1831" s="198" t="n">
        <v>0</v>
      </c>
    </row>
    <row r="1832" ht="15" customHeight="1" s="104">
      <c r="H1832" s="198" t="n">
        <v>0</v>
      </c>
    </row>
    <row r="1833" ht="15" customHeight="1" s="104">
      <c r="H1833" s="198" t="n">
        <v>0</v>
      </c>
    </row>
    <row r="1834" ht="15" customHeight="1" s="104">
      <c r="H1834" s="198" t="n">
        <v>0</v>
      </c>
    </row>
    <row r="1835" ht="15" customHeight="1" s="104">
      <c r="H1835" s="198" t="n">
        <v>0</v>
      </c>
    </row>
    <row r="1836" ht="15" customHeight="1" s="104">
      <c r="H1836" s="198" t="n">
        <v>0</v>
      </c>
    </row>
    <row r="1837" ht="15" customHeight="1" s="104">
      <c r="H1837" s="198" t="n">
        <v>0</v>
      </c>
    </row>
    <row r="1838" ht="15" customHeight="1" s="104">
      <c r="H1838" s="198" t="n">
        <v>0</v>
      </c>
    </row>
    <row r="1839" ht="15" customHeight="1" s="104">
      <c r="H1839" s="198" t="n">
        <v>0</v>
      </c>
    </row>
    <row r="1840" ht="15" customHeight="1" s="104">
      <c r="H1840" s="198" t="n">
        <v>0</v>
      </c>
    </row>
    <row r="1841" ht="15" customHeight="1" s="104">
      <c r="H1841" s="198" t="n">
        <v>0</v>
      </c>
    </row>
    <row r="1842" ht="15" customHeight="1" s="104">
      <c r="H1842" s="198" t="n">
        <v>0</v>
      </c>
    </row>
    <row r="1843" ht="15" customHeight="1" s="104">
      <c r="H1843" s="198" t="n">
        <v>0</v>
      </c>
    </row>
    <row r="1844" ht="15" customHeight="1" s="104">
      <c r="H1844" s="198" t="n">
        <v>0</v>
      </c>
    </row>
    <row r="1845" ht="15" customHeight="1" s="104">
      <c r="H1845" s="198" t="n">
        <v>0</v>
      </c>
    </row>
    <row r="1846" ht="15" customHeight="1" s="104">
      <c r="H1846" s="198" t="n">
        <v>0</v>
      </c>
    </row>
    <row r="1847" ht="15" customHeight="1" s="104">
      <c r="H1847" s="198" t="n">
        <v>0</v>
      </c>
    </row>
    <row r="1848" ht="15" customHeight="1" s="104">
      <c r="H1848" s="198" t="n">
        <v>0</v>
      </c>
    </row>
    <row r="1849" ht="15" customHeight="1" s="104">
      <c r="H1849" s="198" t="n">
        <v>0</v>
      </c>
    </row>
    <row r="1850" ht="15" customHeight="1" s="104">
      <c r="H1850" s="198" t="n">
        <v>0</v>
      </c>
    </row>
    <row r="1851" ht="15" customHeight="1" s="104">
      <c r="H1851" s="198" t="n">
        <v>0</v>
      </c>
    </row>
    <row r="1852" ht="15" customHeight="1" s="104">
      <c r="H1852" s="198" t="n">
        <v>0</v>
      </c>
    </row>
    <row r="1853" ht="15" customHeight="1" s="104">
      <c r="H1853" s="198" t="n">
        <v>0</v>
      </c>
    </row>
    <row r="1854" ht="15" customHeight="1" s="104">
      <c r="H1854" s="198" t="n">
        <v>0</v>
      </c>
    </row>
    <row r="1855" ht="15" customHeight="1" s="104">
      <c r="H1855" s="198" t="n">
        <v>0</v>
      </c>
    </row>
    <row r="1856" ht="15" customHeight="1" s="104">
      <c r="H1856" s="198" t="n">
        <v>0</v>
      </c>
    </row>
    <row r="1857" ht="15" customHeight="1" s="104">
      <c r="H1857" s="198" t="n">
        <v>0</v>
      </c>
    </row>
    <row r="1858" ht="15" customHeight="1" s="104">
      <c r="H1858" s="198" t="n">
        <v>0</v>
      </c>
    </row>
    <row r="1859" ht="15" customHeight="1" s="104">
      <c r="H1859" s="198" t="n">
        <v>0</v>
      </c>
    </row>
    <row r="1860" ht="15" customHeight="1" s="104">
      <c r="H1860" s="198" t="n">
        <v>0</v>
      </c>
    </row>
    <row r="1861" ht="15" customHeight="1" s="104">
      <c r="H1861" s="198" t="n">
        <v>0</v>
      </c>
    </row>
    <row r="1862" ht="15" customHeight="1" s="104">
      <c r="H1862" s="198" t="n">
        <v>0</v>
      </c>
    </row>
    <row r="1863" ht="15" customHeight="1" s="104">
      <c r="H1863" s="198" t="n">
        <v>0</v>
      </c>
    </row>
    <row r="1864" ht="15" customHeight="1" s="104">
      <c r="H1864" s="198" t="n">
        <v>0</v>
      </c>
    </row>
    <row r="1865" ht="15" customHeight="1" s="104">
      <c r="H1865" s="198" t="n">
        <v>0</v>
      </c>
    </row>
    <row r="1866" ht="15" customHeight="1" s="104">
      <c r="H1866" s="198" t="n">
        <v>0</v>
      </c>
    </row>
    <row r="1867" ht="15" customHeight="1" s="104">
      <c r="H1867" s="198" t="n">
        <v>0</v>
      </c>
    </row>
    <row r="1868" ht="15" customHeight="1" s="104">
      <c r="H1868" s="198" t="n">
        <v>0</v>
      </c>
    </row>
    <row r="1869" ht="15" customHeight="1" s="104">
      <c r="H1869" s="198" t="n">
        <v>0</v>
      </c>
    </row>
    <row r="1870" ht="15" customHeight="1" s="104">
      <c r="H1870" s="198" t="n">
        <v>0</v>
      </c>
    </row>
    <row r="1871" ht="15" customHeight="1" s="104">
      <c r="H1871" s="198" t="n">
        <v>0</v>
      </c>
    </row>
    <row r="1872" ht="15" customHeight="1" s="104">
      <c r="H1872" s="198" t="n">
        <v>0</v>
      </c>
    </row>
    <row r="1873" ht="15" customHeight="1" s="104">
      <c r="H1873" s="198" t="n">
        <v>0</v>
      </c>
    </row>
    <row r="1874" ht="15" customHeight="1" s="104">
      <c r="H1874" s="198" t="n">
        <v>0</v>
      </c>
    </row>
    <row r="1875" ht="15" customHeight="1" s="104">
      <c r="H1875" s="198" t="n">
        <v>0</v>
      </c>
    </row>
    <row r="1876" ht="15" customHeight="1" s="104">
      <c r="H1876" s="198" t="n">
        <v>0</v>
      </c>
    </row>
    <row r="1877" ht="15" customHeight="1" s="104">
      <c r="H1877" s="198" t="n">
        <v>0</v>
      </c>
    </row>
    <row r="1878" ht="15" customHeight="1" s="104">
      <c r="H1878" s="198" t="n">
        <v>0</v>
      </c>
    </row>
    <row r="1879" ht="15" customHeight="1" s="104">
      <c r="H1879" s="198" t="n">
        <v>0</v>
      </c>
    </row>
    <row r="1880" ht="15" customHeight="1" s="104">
      <c r="H1880" s="198" t="n">
        <v>0</v>
      </c>
    </row>
    <row r="1881" ht="15" customHeight="1" s="104">
      <c r="H1881" s="198" t="n">
        <v>0</v>
      </c>
    </row>
    <row r="1882" ht="15" customHeight="1" s="104">
      <c r="H1882" s="198" t="n">
        <v>0</v>
      </c>
    </row>
    <row r="1883" ht="15" customHeight="1" s="104">
      <c r="H1883" s="198" t="n">
        <v>0</v>
      </c>
    </row>
    <row r="1884" ht="15" customHeight="1" s="104">
      <c r="H1884" s="198" t="n">
        <v>0</v>
      </c>
    </row>
    <row r="1885" ht="15" customHeight="1" s="104">
      <c r="H1885" s="198" t="n">
        <v>0</v>
      </c>
    </row>
    <row r="1886" ht="15" customHeight="1" s="104">
      <c r="H1886" s="198" t="n">
        <v>0</v>
      </c>
    </row>
    <row r="1887" ht="15" customHeight="1" s="104">
      <c r="H1887" s="198" t="n">
        <v>0</v>
      </c>
    </row>
    <row r="1888" ht="15" customHeight="1" s="104">
      <c r="H1888" s="198" t="n">
        <v>0</v>
      </c>
    </row>
    <row r="1889" ht="15" customHeight="1" s="104">
      <c r="H1889" s="198" t="n">
        <v>0</v>
      </c>
    </row>
    <row r="1890" ht="15" customHeight="1" s="104">
      <c r="H1890" s="198" t="n">
        <v>0</v>
      </c>
    </row>
    <row r="1891" ht="15" customHeight="1" s="104">
      <c r="H1891" s="198" t="n">
        <v>0</v>
      </c>
    </row>
    <row r="1892" ht="15" customHeight="1" s="104">
      <c r="H1892" s="198" t="n">
        <v>0</v>
      </c>
    </row>
    <row r="1893" ht="15" customHeight="1" s="104">
      <c r="H1893" s="198" t="n">
        <v>0</v>
      </c>
    </row>
    <row r="1894" ht="15" customHeight="1" s="104">
      <c r="H1894" s="198" t="n">
        <v>0</v>
      </c>
    </row>
    <row r="1895" ht="15" customHeight="1" s="104">
      <c r="H1895" s="198" t="n">
        <v>0</v>
      </c>
    </row>
    <row r="1896" ht="15" customHeight="1" s="104">
      <c r="H1896" s="198" t="n">
        <v>0</v>
      </c>
    </row>
    <row r="1897" ht="15" customHeight="1" s="104">
      <c r="H1897" s="198" t="n">
        <v>0</v>
      </c>
    </row>
    <row r="1898" ht="15" customHeight="1" s="104">
      <c r="H1898" s="198" t="n">
        <v>0</v>
      </c>
    </row>
    <row r="1899" ht="15" customHeight="1" s="104">
      <c r="H1899" s="198" t="n">
        <v>0</v>
      </c>
    </row>
    <row r="1900" ht="15" customHeight="1" s="104">
      <c r="H1900" s="198" t="n">
        <v>0</v>
      </c>
    </row>
    <row r="1901" ht="15" customHeight="1" s="104">
      <c r="H1901" s="198" t="n">
        <v>0</v>
      </c>
    </row>
    <row r="1902" ht="15" customHeight="1" s="104">
      <c r="H1902" s="198" t="n">
        <v>0</v>
      </c>
    </row>
    <row r="1903" ht="15" customHeight="1" s="104">
      <c r="H1903" s="198" t="n">
        <v>0</v>
      </c>
    </row>
    <row r="1904" ht="15" customHeight="1" s="104">
      <c r="H1904" s="198" t="n">
        <v>0</v>
      </c>
    </row>
    <row r="1905" ht="15" customHeight="1" s="104">
      <c r="H1905" s="198" t="n">
        <v>0</v>
      </c>
    </row>
    <row r="1906" ht="15" customHeight="1" s="104">
      <c r="H1906" s="198" t="n">
        <v>0</v>
      </c>
    </row>
    <row r="1907" ht="15" customHeight="1" s="104">
      <c r="H1907" s="198" t="n">
        <v>0</v>
      </c>
    </row>
    <row r="1908" ht="15" customHeight="1" s="104">
      <c r="H1908" s="198" t="n">
        <v>0</v>
      </c>
    </row>
    <row r="1909" ht="15" customHeight="1" s="104">
      <c r="H1909" s="198" t="n">
        <v>0</v>
      </c>
    </row>
    <row r="1910" ht="15" customHeight="1" s="104">
      <c r="H1910" s="198" t="n">
        <v>0</v>
      </c>
    </row>
    <row r="1911" ht="15" customHeight="1" s="104">
      <c r="H1911" s="198" t="n">
        <v>0</v>
      </c>
    </row>
    <row r="1912" ht="15" customHeight="1" s="104">
      <c r="H1912" s="198" t="n">
        <v>0</v>
      </c>
    </row>
    <row r="1913" ht="15" customHeight="1" s="104">
      <c r="H1913" s="198" t="n">
        <v>0</v>
      </c>
    </row>
    <row r="1914" ht="15" customHeight="1" s="104">
      <c r="H1914" s="198" t="n">
        <v>0</v>
      </c>
    </row>
    <row r="1915" ht="15" customHeight="1" s="104">
      <c r="H1915" s="198" t="n">
        <v>0</v>
      </c>
    </row>
    <row r="1916" ht="15" customHeight="1" s="104">
      <c r="H1916" s="198" t="n">
        <v>0</v>
      </c>
    </row>
    <row r="1917" ht="15" customHeight="1" s="104">
      <c r="H1917" s="198" t="n">
        <v>0</v>
      </c>
    </row>
    <row r="1918" ht="15" customHeight="1" s="104">
      <c r="H1918" s="198" t="n">
        <v>0</v>
      </c>
    </row>
    <row r="1919" ht="15" customHeight="1" s="104">
      <c r="H1919" s="198" t="n">
        <v>0</v>
      </c>
    </row>
    <row r="1920" ht="15" customHeight="1" s="104">
      <c r="H1920" s="198" t="n">
        <v>0</v>
      </c>
    </row>
    <row r="1921" ht="15" customHeight="1" s="104">
      <c r="H1921" s="198" t="n">
        <v>0</v>
      </c>
    </row>
    <row r="1922" ht="15" customHeight="1" s="104">
      <c r="H1922" s="198" t="n">
        <v>0</v>
      </c>
    </row>
    <row r="1923" ht="15" customHeight="1" s="104">
      <c r="H1923" s="198" t="n">
        <v>0</v>
      </c>
    </row>
    <row r="1924" ht="15" customHeight="1" s="104">
      <c r="H1924" s="198" t="n">
        <v>0</v>
      </c>
    </row>
    <row r="1925" ht="15" customHeight="1" s="104">
      <c r="H1925" s="198" t="n">
        <v>0</v>
      </c>
    </row>
    <row r="1926" ht="15" customHeight="1" s="104">
      <c r="H1926" s="198" t="n">
        <v>0</v>
      </c>
    </row>
    <row r="1927" ht="15" customHeight="1" s="104">
      <c r="H1927" s="198" t="n">
        <v>0</v>
      </c>
    </row>
    <row r="1928" ht="15" customHeight="1" s="104">
      <c r="H1928" s="198" t="n">
        <v>0</v>
      </c>
    </row>
    <row r="1929" ht="15" customHeight="1" s="104">
      <c r="H1929" s="198" t="n">
        <v>0</v>
      </c>
    </row>
    <row r="1930" ht="15" customHeight="1" s="104">
      <c r="H1930" s="198" t="n">
        <v>0</v>
      </c>
    </row>
    <row r="1931" ht="15" customHeight="1" s="104">
      <c r="H1931" s="198" t="n">
        <v>0</v>
      </c>
    </row>
    <row r="1932" ht="15" customHeight="1" s="104">
      <c r="H1932" s="198" t="n">
        <v>0</v>
      </c>
    </row>
    <row r="1933" ht="15" customHeight="1" s="104">
      <c r="H1933" s="198" t="n">
        <v>0</v>
      </c>
    </row>
    <row r="1934" ht="15" customHeight="1" s="104">
      <c r="H1934" s="198" t="n">
        <v>0</v>
      </c>
    </row>
    <row r="1935" ht="15" customHeight="1" s="104">
      <c r="H1935" s="198" t="n">
        <v>0</v>
      </c>
    </row>
    <row r="1936" ht="15" customHeight="1" s="104">
      <c r="H1936" s="198" t="n">
        <v>0</v>
      </c>
    </row>
    <row r="1937" ht="15" customHeight="1" s="104">
      <c r="H1937" s="198" t="n">
        <v>0</v>
      </c>
    </row>
    <row r="1938" ht="15" customHeight="1" s="104">
      <c r="H1938" s="198" t="n">
        <v>0</v>
      </c>
    </row>
    <row r="1939" ht="15" customHeight="1" s="104">
      <c r="H1939" s="198" t="n">
        <v>0</v>
      </c>
    </row>
    <row r="1940" ht="15" customHeight="1" s="104">
      <c r="H1940" s="198" t="n">
        <v>0</v>
      </c>
    </row>
    <row r="1941" ht="15" customHeight="1" s="104">
      <c r="H1941" s="198" t="n">
        <v>0</v>
      </c>
    </row>
    <row r="1942" ht="15" customHeight="1" s="104">
      <c r="H1942" s="198" t="n">
        <v>0</v>
      </c>
    </row>
    <row r="1943" ht="15" customHeight="1" s="104">
      <c r="H1943" s="198" t="n">
        <v>0</v>
      </c>
    </row>
    <row r="1944" ht="15" customHeight="1" s="104">
      <c r="H1944" s="198" t="n">
        <v>0</v>
      </c>
    </row>
    <row r="1945" ht="15" customHeight="1" s="104">
      <c r="H1945" s="198" t="n">
        <v>0</v>
      </c>
    </row>
    <row r="1946" ht="15" customHeight="1" s="104">
      <c r="H1946" s="198" t="n">
        <v>0</v>
      </c>
    </row>
    <row r="1947" ht="15" customHeight="1" s="104">
      <c r="H1947" s="198" t="n">
        <v>0</v>
      </c>
    </row>
    <row r="1948" ht="15" customHeight="1" s="104">
      <c r="H1948" s="198" t="n">
        <v>0</v>
      </c>
    </row>
    <row r="1949" ht="15" customHeight="1" s="104">
      <c r="H1949" s="198" t="n">
        <v>0</v>
      </c>
    </row>
    <row r="1950" ht="15" customHeight="1" s="104">
      <c r="H1950" s="198" t="n">
        <v>0</v>
      </c>
    </row>
    <row r="1951" ht="15" customHeight="1" s="104">
      <c r="H1951" s="198" t="n">
        <v>0</v>
      </c>
    </row>
    <row r="1952" ht="15" customHeight="1" s="104">
      <c r="H1952" s="198" t="n">
        <v>0</v>
      </c>
    </row>
    <row r="1953" ht="15" customHeight="1" s="104">
      <c r="H1953" s="198" t="n">
        <v>0</v>
      </c>
    </row>
    <row r="1954" ht="15" customHeight="1" s="104">
      <c r="H1954" s="198" t="n">
        <v>0</v>
      </c>
    </row>
    <row r="1955" ht="15" customHeight="1" s="104">
      <c r="H1955" s="198" t="n">
        <v>0</v>
      </c>
    </row>
    <row r="1956" ht="15" customHeight="1" s="104">
      <c r="H1956" s="198" t="n">
        <v>0</v>
      </c>
    </row>
    <row r="1957" ht="15" customHeight="1" s="104">
      <c r="H1957" s="198" t="n">
        <v>0</v>
      </c>
    </row>
    <row r="1958" ht="15" customHeight="1" s="104">
      <c r="H1958" s="198" t="n">
        <v>0</v>
      </c>
    </row>
    <row r="1959" ht="15" customHeight="1" s="104">
      <c r="H1959" s="198" t="n">
        <v>0</v>
      </c>
    </row>
    <row r="1960" ht="15" customHeight="1" s="104">
      <c r="H1960" s="198" t="n">
        <v>0</v>
      </c>
    </row>
    <row r="1961" ht="15" customHeight="1" s="104">
      <c r="H1961" s="198" t="n">
        <v>0</v>
      </c>
    </row>
    <row r="1962" ht="15" customHeight="1" s="104">
      <c r="H1962" s="198" t="n">
        <v>0</v>
      </c>
    </row>
    <row r="1963" ht="15" customHeight="1" s="104">
      <c r="H1963" s="198" t="n">
        <v>0</v>
      </c>
    </row>
    <row r="1964" ht="15" customHeight="1" s="104">
      <c r="H1964" s="198" t="n">
        <v>0</v>
      </c>
    </row>
    <row r="1965" ht="15" customHeight="1" s="104">
      <c r="H1965" s="198" t="n">
        <v>0</v>
      </c>
    </row>
    <row r="1966" ht="15" customHeight="1" s="104">
      <c r="H1966" s="198" t="n">
        <v>0</v>
      </c>
    </row>
    <row r="1967" ht="15" customHeight="1" s="104">
      <c r="H1967" s="198" t="n">
        <v>0</v>
      </c>
    </row>
    <row r="1968" ht="15" customHeight="1" s="104">
      <c r="H1968" s="198" t="n">
        <v>0</v>
      </c>
    </row>
    <row r="1969" ht="15" customHeight="1" s="104">
      <c r="H1969" s="198" t="n">
        <v>0</v>
      </c>
    </row>
    <row r="1970" ht="15" customHeight="1" s="104">
      <c r="H1970" s="198" t="n">
        <v>0</v>
      </c>
    </row>
    <row r="1971" ht="15" customHeight="1" s="104">
      <c r="H1971" s="198" t="n">
        <v>0</v>
      </c>
    </row>
    <row r="1972" ht="15" customHeight="1" s="104">
      <c r="H1972" s="198" t="n">
        <v>0</v>
      </c>
    </row>
    <row r="1973" ht="15" customHeight="1" s="104">
      <c r="H1973" s="198" t="n">
        <v>0</v>
      </c>
    </row>
    <row r="1974" ht="15" customHeight="1" s="104">
      <c r="H1974" s="198" t="n">
        <v>0</v>
      </c>
    </row>
    <row r="1975" ht="15" customHeight="1" s="104">
      <c r="H1975" s="198" t="n">
        <v>0</v>
      </c>
    </row>
    <row r="1976" ht="15" customHeight="1" s="104">
      <c r="H1976" s="198" t="n">
        <v>0</v>
      </c>
    </row>
    <row r="1977" ht="15" customHeight="1" s="104">
      <c r="H1977" s="198" t="n">
        <v>0</v>
      </c>
    </row>
    <row r="1978" ht="15" customHeight="1" s="104">
      <c r="H1978" s="198" t="n">
        <v>0</v>
      </c>
    </row>
    <row r="1979" ht="15" customHeight="1" s="104">
      <c r="H1979" s="198" t="n">
        <v>0</v>
      </c>
    </row>
    <row r="1980" ht="15" customHeight="1" s="104">
      <c r="H1980" s="198" t="n">
        <v>0</v>
      </c>
    </row>
    <row r="1981" ht="15" customHeight="1" s="104">
      <c r="H1981" s="198" t="n">
        <v>0</v>
      </c>
    </row>
    <row r="1982" ht="15" customHeight="1" s="104">
      <c r="H1982" s="198" t="n">
        <v>0</v>
      </c>
    </row>
    <row r="1983" ht="15" customHeight="1" s="104">
      <c r="H1983" s="198" t="n">
        <v>0</v>
      </c>
    </row>
    <row r="1984" ht="15" customHeight="1" s="104">
      <c r="H1984" s="198" t="n">
        <v>0</v>
      </c>
    </row>
    <row r="1985" ht="15" customHeight="1" s="104">
      <c r="H1985" s="198" t="n">
        <v>0</v>
      </c>
    </row>
    <row r="1986" ht="15" customHeight="1" s="104">
      <c r="H1986" s="198" t="n">
        <v>0</v>
      </c>
    </row>
    <row r="1987" ht="15" customHeight="1" s="104">
      <c r="H1987" s="198" t="n">
        <v>0</v>
      </c>
    </row>
    <row r="1988" ht="15" customHeight="1" s="104">
      <c r="H1988" s="198" t="n">
        <v>0</v>
      </c>
    </row>
    <row r="1989" ht="15" customHeight="1" s="104">
      <c r="H1989" s="198" t="n">
        <v>0</v>
      </c>
    </row>
    <row r="1990" ht="15" customHeight="1" s="104">
      <c r="H1990" s="198" t="n">
        <v>0</v>
      </c>
    </row>
    <row r="1991" ht="15" customHeight="1" s="104">
      <c r="H1991" s="198" t="n">
        <v>0</v>
      </c>
    </row>
    <row r="1992" ht="15" customHeight="1" s="104">
      <c r="H1992" s="198" t="n">
        <v>0</v>
      </c>
    </row>
    <row r="1993" ht="15" customHeight="1" s="104">
      <c r="H1993" s="198" t="n">
        <v>0</v>
      </c>
    </row>
    <row r="1994" ht="15" customHeight="1" s="104">
      <c r="H1994" s="198" t="n">
        <v>0</v>
      </c>
    </row>
    <row r="1995" ht="15" customHeight="1" s="104">
      <c r="H1995" s="198" t="n">
        <v>0</v>
      </c>
    </row>
    <row r="1996" ht="15" customHeight="1" s="104">
      <c r="H1996" s="198" t="n">
        <v>0</v>
      </c>
    </row>
    <row r="1997" ht="15" customHeight="1" s="104">
      <c r="H1997" s="198" t="n">
        <v>0</v>
      </c>
    </row>
    <row r="1998" ht="15" customHeight="1" s="104">
      <c r="H1998" s="198" t="n">
        <v>0</v>
      </c>
    </row>
    <row r="1999" ht="15" customHeight="1" s="104">
      <c r="H1999" s="198" t="n">
        <v>0</v>
      </c>
    </row>
    <row r="2000" ht="15" customHeight="1" s="104">
      <c r="H2000" s="198" t="n">
        <v>0</v>
      </c>
    </row>
    <row r="2001" ht="15" customHeight="1" s="104">
      <c r="H2001" s="198" t="n">
        <v>0</v>
      </c>
    </row>
    <row r="2002" ht="15" customHeight="1" s="104">
      <c r="H2002" s="198" t="n">
        <v>0</v>
      </c>
    </row>
    <row r="2003" ht="15" customHeight="1" s="104">
      <c r="H2003" s="198" t="n">
        <v>0</v>
      </c>
    </row>
    <row r="2004" ht="15" customHeight="1" s="104">
      <c r="H2004" s="198" t="n">
        <v>0</v>
      </c>
    </row>
    <row r="2005" ht="15" customHeight="1" s="104">
      <c r="H2005" s="198" t="n">
        <v>0</v>
      </c>
    </row>
    <row r="2006" ht="15" customHeight="1" s="104">
      <c r="H2006" s="198" t="n">
        <v>0</v>
      </c>
    </row>
    <row r="2007" ht="15" customHeight="1" s="104">
      <c r="H2007" s="198" t="n">
        <v>0</v>
      </c>
    </row>
    <row r="2008" ht="15" customHeight="1" s="104">
      <c r="H2008" s="198" t="n">
        <v>0</v>
      </c>
    </row>
    <row r="2009" ht="15" customHeight="1" s="104">
      <c r="H2009" s="198" t="n">
        <v>0</v>
      </c>
    </row>
    <row r="2010" ht="15" customHeight="1" s="104">
      <c r="H2010" s="198" t="n">
        <v>0</v>
      </c>
    </row>
    <row r="2011" ht="15" customHeight="1" s="104">
      <c r="H2011" s="198" t="n">
        <v>0</v>
      </c>
    </row>
    <row r="2012" ht="15" customHeight="1" s="104">
      <c r="H2012" s="198" t="n">
        <v>0</v>
      </c>
    </row>
    <row r="2013" ht="15" customHeight="1" s="104">
      <c r="H2013" s="198" t="n">
        <v>0</v>
      </c>
    </row>
    <row r="2014" ht="15" customHeight="1" s="104">
      <c r="H2014" s="198" t="n">
        <v>0</v>
      </c>
    </row>
    <row r="2015" ht="15" customHeight="1" s="104">
      <c r="H2015" s="198" t="n">
        <v>0</v>
      </c>
    </row>
    <row r="2016" ht="15" customHeight="1" s="104">
      <c r="H2016" s="198" t="n">
        <v>0</v>
      </c>
    </row>
    <row r="2017" ht="15" customHeight="1" s="104">
      <c r="H2017" s="198" t="n">
        <v>0</v>
      </c>
    </row>
    <row r="2018" ht="15" customHeight="1" s="104">
      <c r="H2018" s="198" t="n">
        <v>0</v>
      </c>
    </row>
    <row r="2019" ht="15" customHeight="1" s="104">
      <c r="H2019" s="198" t="n">
        <v>0</v>
      </c>
    </row>
    <row r="2020" ht="15" customHeight="1" s="104">
      <c r="H2020" s="198" t="n">
        <v>0</v>
      </c>
    </row>
    <row r="2021" ht="15" customHeight="1" s="104">
      <c r="H2021" s="198" t="n">
        <v>0</v>
      </c>
    </row>
    <row r="2022" ht="15" customHeight="1" s="104">
      <c r="H2022" s="198" t="n">
        <v>0</v>
      </c>
    </row>
    <row r="2023" ht="15" customHeight="1" s="104">
      <c r="H2023" s="198" t="n">
        <v>0</v>
      </c>
    </row>
    <row r="2024" ht="15" customHeight="1" s="104">
      <c r="H2024" s="198" t="n">
        <v>0</v>
      </c>
    </row>
    <row r="2025" ht="15" customHeight="1" s="104">
      <c r="H2025" s="198" t="n">
        <v>0</v>
      </c>
    </row>
    <row r="2026" ht="15" customHeight="1" s="104">
      <c r="H2026" s="198" t="n">
        <v>0</v>
      </c>
    </row>
    <row r="2027" ht="15" customHeight="1" s="104">
      <c r="H2027" s="198" t="n">
        <v>0</v>
      </c>
    </row>
    <row r="2028" ht="15" customHeight="1" s="104">
      <c r="H2028" s="198" t="n">
        <v>0</v>
      </c>
    </row>
    <row r="2029" ht="15" customHeight="1" s="104">
      <c r="H2029" s="198" t="n">
        <v>0</v>
      </c>
    </row>
    <row r="2030" ht="15" customHeight="1" s="104">
      <c r="H2030" s="198" t="n">
        <v>0</v>
      </c>
    </row>
    <row r="2031" ht="15" customHeight="1" s="104">
      <c r="H2031" s="198" t="n">
        <v>0</v>
      </c>
    </row>
    <row r="2032" ht="15" customHeight="1" s="104">
      <c r="H2032" s="198" t="n">
        <v>0</v>
      </c>
    </row>
    <row r="2033" ht="15" customHeight="1" s="104">
      <c r="H2033" s="198" t="n">
        <v>0</v>
      </c>
    </row>
    <row r="2034" ht="15" customHeight="1" s="104">
      <c r="H2034" s="198" t="n">
        <v>0</v>
      </c>
    </row>
    <row r="2035" ht="15" customHeight="1" s="104">
      <c r="H2035" s="198" t="n">
        <v>0</v>
      </c>
    </row>
    <row r="2036" ht="15" customHeight="1" s="104">
      <c r="H2036" s="198" t="n">
        <v>0</v>
      </c>
    </row>
    <row r="2037" ht="15" customHeight="1" s="104">
      <c r="H2037" s="198" t="n">
        <v>0</v>
      </c>
    </row>
    <row r="2038" ht="15" customHeight="1" s="104">
      <c r="H2038" s="198" t="n">
        <v>0</v>
      </c>
    </row>
    <row r="2039" ht="15" customHeight="1" s="104">
      <c r="H2039" s="198" t="n">
        <v>0</v>
      </c>
    </row>
    <row r="2040" ht="15" customHeight="1" s="104">
      <c r="H2040" s="198" t="n">
        <v>0</v>
      </c>
    </row>
    <row r="2041" ht="15" customHeight="1" s="104">
      <c r="H2041" s="198" t="n">
        <v>0</v>
      </c>
    </row>
    <row r="2042" ht="15" customHeight="1" s="104">
      <c r="H2042" s="198" t="n">
        <v>0</v>
      </c>
    </row>
    <row r="2043" ht="15" customHeight="1" s="104">
      <c r="H2043" s="198" t="n">
        <v>0</v>
      </c>
    </row>
    <row r="2044" ht="15" customHeight="1" s="104">
      <c r="H2044" s="198" t="n">
        <v>0</v>
      </c>
    </row>
    <row r="2045" ht="15" customHeight="1" s="104">
      <c r="H2045" s="198" t="n">
        <v>0</v>
      </c>
    </row>
    <row r="2046" ht="15" customHeight="1" s="104">
      <c r="H2046" s="198" t="n">
        <v>0</v>
      </c>
    </row>
    <row r="2047" ht="15" customHeight="1" s="104">
      <c r="H2047" s="198" t="n">
        <v>0</v>
      </c>
    </row>
    <row r="2048" ht="15" customHeight="1" s="104">
      <c r="H2048" s="198" t="n">
        <v>0</v>
      </c>
    </row>
    <row r="2049" ht="15" customHeight="1" s="104">
      <c r="H2049" s="198" t="n">
        <v>0</v>
      </c>
    </row>
    <row r="2050" ht="15" customHeight="1" s="104">
      <c r="H2050" s="198" t="n">
        <v>0</v>
      </c>
    </row>
    <row r="2051" ht="15" customHeight="1" s="104">
      <c r="H2051" s="198" t="n">
        <v>0</v>
      </c>
    </row>
    <row r="2052" ht="15" customHeight="1" s="104">
      <c r="H2052" s="198" t="n">
        <v>0</v>
      </c>
    </row>
    <row r="2053" ht="15" customHeight="1" s="104">
      <c r="H2053" s="198" t="n">
        <v>0</v>
      </c>
    </row>
    <row r="2054" ht="15" customHeight="1" s="104">
      <c r="H2054" s="198" t="n">
        <v>0</v>
      </c>
    </row>
    <row r="2055" ht="15" customHeight="1" s="104">
      <c r="H2055" s="198" t="n">
        <v>0</v>
      </c>
    </row>
    <row r="2056" ht="15" customHeight="1" s="104">
      <c r="H2056" s="198" t="n">
        <v>0</v>
      </c>
    </row>
    <row r="2057" ht="15" customHeight="1" s="104">
      <c r="H2057" s="198" t="n">
        <v>0</v>
      </c>
    </row>
    <row r="2058" ht="15" customHeight="1" s="104">
      <c r="H2058" s="198" t="n">
        <v>0</v>
      </c>
    </row>
    <row r="2059" ht="15" customHeight="1" s="104">
      <c r="H2059" s="198" t="n">
        <v>0</v>
      </c>
    </row>
    <row r="2060" ht="15" customHeight="1" s="104">
      <c r="H2060" s="198" t="n">
        <v>0</v>
      </c>
    </row>
    <row r="2061" ht="15" customHeight="1" s="104">
      <c r="H2061" s="198" t="n">
        <v>0</v>
      </c>
    </row>
    <row r="2062" ht="15" customHeight="1" s="104">
      <c r="H2062" s="198" t="n">
        <v>0</v>
      </c>
    </row>
    <row r="2063" ht="15" customHeight="1" s="104">
      <c r="H2063" s="198" t="n">
        <v>0</v>
      </c>
    </row>
    <row r="2064" ht="15" customHeight="1" s="104">
      <c r="H2064" s="198" t="n">
        <v>0</v>
      </c>
    </row>
    <row r="2065" ht="15" customHeight="1" s="104">
      <c r="H2065" s="198" t="n">
        <v>0</v>
      </c>
    </row>
    <row r="2066" ht="15" customHeight="1" s="104">
      <c r="H2066" s="198" t="n">
        <v>0</v>
      </c>
    </row>
    <row r="2067" ht="15" customHeight="1" s="104">
      <c r="H2067" s="198" t="n">
        <v>0</v>
      </c>
    </row>
    <row r="2068" ht="15" customHeight="1" s="104">
      <c r="H2068" s="198" t="n">
        <v>0</v>
      </c>
    </row>
    <row r="2069" ht="15" customHeight="1" s="104">
      <c r="H2069" s="198" t="n">
        <v>0</v>
      </c>
    </row>
    <row r="2070" ht="15" customHeight="1" s="104">
      <c r="H2070" s="198" t="n">
        <v>0</v>
      </c>
    </row>
    <row r="2071" ht="15" customHeight="1" s="104">
      <c r="H2071" s="198" t="n">
        <v>0</v>
      </c>
    </row>
    <row r="2072" ht="15" customHeight="1" s="104">
      <c r="H2072" s="198" t="n">
        <v>0</v>
      </c>
    </row>
    <row r="2073" ht="15" customHeight="1" s="104">
      <c r="H2073" s="198" t="n">
        <v>0</v>
      </c>
    </row>
    <row r="2074" ht="15" customHeight="1" s="104">
      <c r="H2074" s="198" t="n">
        <v>0</v>
      </c>
    </row>
    <row r="2075" ht="15" customHeight="1" s="104">
      <c r="H2075" s="198" t="n">
        <v>0</v>
      </c>
    </row>
    <row r="2076" ht="15" customHeight="1" s="104">
      <c r="H2076" s="198" t="n">
        <v>0</v>
      </c>
    </row>
    <row r="2077" ht="15" customHeight="1" s="104">
      <c r="H2077" s="198" t="n">
        <v>0</v>
      </c>
    </row>
    <row r="2078" ht="15" customHeight="1" s="104">
      <c r="H2078" s="198" t="n">
        <v>0</v>
      </c>
    </row>
    <row r="2079" ht="15" customHeight="1" s="104">
      <c r="H2079" s="198" t="n">
        <v>0</v>
      </c>
    </row>
    <row r="2080" ht="15" customHeight="1" s="104">
      <c r="H2080" s="198" t="n">
        <v>0</v>
      </c>
    </row>
    <row r="2081" ht="15" customHeight="1" s="104">
      <c r="H2081" s="198" t="n">
        <v>0</v>
      </c>
    </row>
    <row r="2082" ht="15" customHeight="1" s="104">
      <c r="H2082" s="198" t="n">
        <v>0</v>
      </c>
    </row>
    <row r="2083" ht="15" customHeight="1" s="104">
      <c r="H2083" s="198" t="n">
        <v>0</v>
      </c>
    </row>
    <row r="2084" ht="15" customHeight="1" s="104">
      <c r="H2084" s="198" t="n">
        <v>0</v>
      </c>
    </row>
    <row r="2085" ht="15" customHeight="1" s="104">
      <c r="H2085" s="198" t="n">
        <v>0</v>
      </c>
    </row>
    <row r="2086" ht="15" customHeight="1" s="104">
      <c r="H2086" s="198" t="n">
        <v>0</v>
      </c>
    </row>
    <row r="2087" ht="15" customHeight="1" s="104">
      <c r="H2087" s="198" t="n">
        <v>0</v>
      </c>
    </row>
    <row r="2088" ht="15" customHeight="1" s="104">
      <c r="H2088" s="198" t="n">
        <v>0</v>
      </c>
    </row>
    <row r="2089" ht="15" customHeight="1" s="104">
      <c r="H2089" s="198" t="n">
        <v>0</v>
      </c>
    </row>
    <row r="2090" ht="15" customHeight="1" s="104">
      <c r="H2090" s="198" t="n">
        <v>0</v>
      </c>
    </row>
    <row r="2091" ht="15" customHeight="1" s="104">
      <c r="H2091" s="198" t="n">
        <v>0</v>
      </c>
    </row>
    <row r="2092" ht="15" customHeight="1" s="104">
      <c r="H2092" s="198" t="n">
        <v>0</v>
      </c>
    </row>
    <row r="2093" ht="15" customHeight="1" s="104">
      <c r="H2093" s="198" t="n">
        <v>0</v>
      </c>
    </row>
    <row r="2094" ht="15" customHeight="1" s="104">
      <c r="H2094" s="198" t="n">
        <v>0</v>
      </c>
    </row>
    <row r="2095" ht="15" customHeight="1" s="104">
      <c r="H2095" s="198" t="n">
        <v>0</v>
      </c>
    </row>
    <row r="2096" ht="15" customHeight="1" s="104">
      <c r="H2096" s="198" t="n">
        <v>0</v>
      </c>
    </row>
    <row r="2097" ht="15" customHeight="1" s="104">
      <c r="H2097" s="198" t="n">
        <v>0</v>
      </c>
    </row>
    <row r="2098" ht="15" customHeight="1" s="104">
      <c r="H2098" s="198" t="n">
        <v>0</v>
      </c>
    </row>
    <row r="2099" ht="15" customHeight="1" s="104">
      <c r="H2099" s="198" t="n">
        <v>0</v>
      </c>
    </row>
    <row r="2100" ht="15" customHeight="1" s="104">
      <c r="H2100" s="198" t="n">
        <v>0</v>
      </c>
    </row>
    <row r="2101" ht="15" customHeight="1" s="104">
      <c r="H2101" s="198" t="n">
        <v>0</v>
      </c>
    </row>
    <row r="2102" ht="15" customHeight="1" s="104">
      <c r="H2102" s="198" t="n">
        <v>0</v>
      </c>
    </row>
    <row r="2103" ht="15" customHeight="1" s="104">
      <c r="H2103" s="198" t="n">
        <v>0</v>
      </c>
    </row>
    <row r="2104" ht="15" customHeight="1" s="104">
      <c r="H2104" s="198" t="n">
        <v>0</v>
      </c>
    </row>
    <row r="2105" ht="15" customHeight="1" s="104">
      <c r="H2105" s="198" t="n">
        <v>0</v>
      </c>
    </row>
    <row r="2106" ht="15" customHeight="1" s="104">
      <c r="H2106" s="198" t="n">
        <v>0</v>
      </c>
    </row>
    <row r="2107" ht="15" customHeight="1" s="104">
      <c r="H2107" s="198" t="n">
        <v>0</v>
      </c>
    </row>
    <row r="2108" ht="15" customHeight="1" s="104">
      <c r="H2108" s="198" t="n">
        <v>0</v>
      </c>
    </row>
    <row r="2109" ht="15" customHeight="1" s="104">
      <c r="H2109" s="198" t="n">
        <v>0</v>
      </c>
    </row>
    <row r="2110" ht="15" customHeight="1" s="104">
      <c r="H2110" s="198" t="n">
        <v>0</v>
      </c>
    </row>
    <row r="2111" ht="15" customHeight="1" s="104">
      <c r="H2111" s="198" t="n">
        <v>0</v>
      </c>
    </row>
    <row r="2112" ht="15" customHeight="1" s="104">
      <c r="H2112" s="198" t="n">
        <v>0</v>
      </c>
    </row>
    <row r="2113" ht="15" customHeight="1" s="104">
      <c r="H2113" s="198" t="n">
        <v>0</v>
      </c>
    </row>
    <row r="2114" ht="15" customHeight="1" s="104">
      <c r="H2114" s="198" t="n">
        <v>0</v>
      </c>
    </row>
    <row r="2115" ht="15" customHeight="1" s="104">
      <c r="H2115" s="198" t="n">
        <v>0</v>
      </c>
    </row>
    <row r="2116" ht="15" customHeight="1" s="104">
      <c r="H2116" s="198" t="n">
        <v>0</v>
      </c>
    </row>
    <row r="2117" ht="15" customHeight="1" s="104">
      <c r="H2117" s="198" t="n">
        <v>0</v>
      </c>
    </row>
    <row r="2118" ht="15" customHeight="1" s="104">
      <c r="H2118" s="198" t="n">
        <v>0</v>
      </c>
    </row>
    <row r="2119" ht="15" customHeight="1" s="104">
      <c r="H2119" s="198" t="n">
        <v>0</v>
      </c>
    </row>
    <row r="2120" ht="15" customHeight="1" s="104">
      <c r="H2120" s="198" t="n">
        <v>0</v>
      </c>
    </row>
    <row r="2121" ht="15" customHeight="1" s="104">
      <c r="H2121" s="198" t="n">
        <v>0</v>
      </c>
    </row>
    <row r="2122" ht="15" customHeight="1" s="104">
      <c r="H2122" s="198" t="n">
        <v>0</v>
      </c>
    </row>
    <row r="2123" ht="15" customHeight="1" s="104">
      <c r="H2123" s="198" t="n">
        <v>0</v>
      </c>
    </row>
    <row r="2124" ht="15" customHeight="1" s="104">
      <c r="H2124" s="198" t="n">
        <v>0</v>
      </c>
    </row>
    <row r="2125" ht="15" customHeight="1" s="104">
      <c r="H2125" s="198" t="n">
        <v>0</v>
      </c>
    </row>
    <row r="2126" ht="15" customHeight="1" s="104">
      <c r="H2126" s="198" t="n">
        <v>0</v>
      </c>
    </row>
    <row r="2127" ht="15" customHeight="1" s="104">
      <c r="H2127" s="198" t="n">
        <v>0</v>
      </c>
    </row>
    <row r="2128" ht="15" customHeight="1" s="104">
      <c r="H2128" s="198" t="n">
        <v>0</v>
      </c>
    </row>
    <row r="2129" ht="15" customHeight="1" s="104">
      <c r="H2129" s="198" t="n">
        <v>0</v>
      </c>
    </row>
    <row r="2130" ht="15" customHeight="1" s="104">
      <c r="H2130" s="198" t="n">
        <v>0</v>
      </c>
    </row>
    <row r="2131" ht="15" customHeight="1" s="104">
      <c r="H2131" s="198" t="n">
        <v>0</v>
      </c>
    </row>
    <row r="2132" ht="15" customHeight="1" s="104">
      <c r="H2132" s="198" t="n">
        <v>0</v>
      </c>
    </row>
    <row r="2133" ht="15" customHeight="1" s="104">
      <c r="H2133" s="198" t="n">
        <v>0</v>
      </c>
    </row>
    <row r="2134" ht="15" customHeight="1" s="104">
      <c r="H2134" s="198" t="n">
        <v>0</v>
      </c>
    </row>
    <row r="2135" ht="15" customHeight="1" s="104">
      <c r="H2135" s="198" t="n">
        <v>0</v>
      </c>
    </row>
    <row r="2136" ht="15" customHeight="1" s="104">
      <c r="H2136" s="198" t="n">
        <v>0</v>
      </c>
    </row>
    <row r="2137" ht="15" customHeight="1" s="104">
      <c r="H2137" s="198" t="n">
        <v>0</v>
      </c>
    </row>
    <row r="2138" ht="15" customHeight="1" s="104">
      <c r="H2138" s="198" t="n">
        <v>0</v>
      </c>
    </row>
    <row r="2139" ht="15" customHeight="1" s="104">
      <c r="H2139" s="198" t="n">
        <v>0</v>
      </c>
    </row>
    <row r="2140" ht="15" customHeight="1" s="104">
      <c r="H2140" s="198" t="n">
        <v>0</v>
      </c>
    </row>
    <row r="2141" ht="15" customHeight="1" s="104">
      <c r="H2141" s="198" t="n">
        <v>0</v>
      </c>
    </row>
    <row r="2142" ht="15" customHeight="1" s="104">
      <c r="H2142" s="198" t="n">
        <v>0</v>
      </c>
    </row>
    <row r="2143" ht="15" customHeight="1" s="104">
      <c r="H2143" s="198" t="n">
        <v>0</v>
      </c>
    </row>
    <row r="2144" ht="15" customHeight="1" s="104">
      <c r="H2144" s="198" t="n">
        <v>0</v>
      </c>
    </row>
    <row r="2145" ht="15" customHeight="1" s="104">
      <c r="H2145" s="198" t="n">
        <v>0</v>
      </c>
    </row>
    <row r="2146" ht="15" customHeight="1" s="104">
      <c r="H2146" s="198" t="n">
        <v>0</v>
      </c>
    </row>
    <row r="2147" ht="15" customHeight="1" s="104">
      <c r="H2147" s="198" t="n">
        <v>0</v>
      </c>
    </row>
    <row r="2148" ht="15" customHeight="1" s="104">
      <c r="H2148" s="198" t="n">
        <v>0</v>
      </c>
    </row>
    <row r="2149" ht="15" customHeight="1" s="104">
      <c r="H2149" s="198" t="n">
        <v>0</v>
      </c>
    </row>
    <row r="2150" ht="15" customHeight="1" s="104">
      <c r="H2150" s="198" t="n">
        <v>0</v>
      </c>
    </row>
    <row r="2151" ht="15" customHeight="1" s="104">
      <c r="H2151" s="198" t="n">
        <v>0</v>
      </c>
    </row>
    <row r="2152" ht="15" customHeight="1" s="104">
      <c r="H2152" s="198" t="n">
        <v>0</v>
      </c>
    </row>
    <row r="2153" ht="15" customHeight="1" s="104">
      <c r="H2153" s="198" t="n">
        <v>0</v>
      </c>
    </row>
    <row r="2154" ht="15" customHeight="1" s="104">
      <c r="H2154" s="198" t="n">
        <v>0</v>
      </c>
    </row>
    <row r="2155" ht="15" customHeight="1" s="104">
      <c r="H2155" s="198" t="n">
        <v>0</v>
      </c>
    </row>
    <row r="2156" ht="15" customHeight="1" s="104">
      <c r="H2156" s="198" t="n">
        <v>0</v>
      </c>
    </row>
    <row r="2157" ht="15" customHeight="1" s="104">
      <c r="H2157" s="198" t="n">
        <v>0</v>
      </c>
    </row>
    <row r="2158" ht="15" customHeight="1" s="104">
      <c r="H2158" s="198" t="n">
        <v>0</v>
      </c>
    </row>
    <row r="2159" ht="15" customHeight="1" s="104">
      <c r="H2159" s="198" t="n">
        <v>0</v>
      </c>
    </row>
    <row r="2160" ht="15" customHeight="1" s="104">
      <c r="H2160" s="198" t="n">
        <v>0</v>
      </c>
    </row>
    <row r="2161" ht="15" customHeight="1" s="104">
      <c r="H2161" s="198" t="n">
        <v>0</v>
      </c>
    </row>
    <row r="2162" ht="15" customHeight="1" s="104">
      <c r="H2162" s="198" t="n">
        <v>0</v>
      </c>
    </row>
    <row r="2163" ht="15" customHeight="1" s="104">
      <c r="H2163" s="198" t="n">
        <v>0</v>
      </c>
    </row>
    <row r="2164" ht="15" customHeight="1" s="104">
      <c r="H2164" s="198" t="n">
        <v>0</v>
      </c>
    </row>
    <row r="2165" ht="15" customHeight="1" s="104">
      <c r="H2165" s="198" t="n">
        <v>0</v>
      </c>
    </row>
    <row r="2166" ht="15" customHeight="1" s="104">
      <c r="H2166" s="198" t="n">
        <v>0</v>
      </c>
    </row>
    <row r="2167" ht="15" customHeight="1" s="104">
      <c r="H2167" s="198" t="n">
        <v>0</v>
      </c>
    </row>
    <row r="2168" ht="15" customHeight="1" s="104">
      <c r="H2168" s="198" t="n">
        <v>0</v>
      </c>
    </row>
    <row r="2169" ht="15" customHeight="1" s="104">
      <c r="H2169" s="198" t="n">
        <v>0</v>
      </c>
    </row>
    <row r="2170" ht="15" customHeight="1" s="104">
      <c r="H2170" s="198" t="n">
        <v>0</v>
      </c>
    </row>
    <row r="2171" ht="15" customHeight="1" s="104">
      <c r="H2171" s="198" t="n">
        <v>0</v>
      </c>
    </row>
    <row r="2172" ht="15" customHeight="1" s="104">
      <c r="H2172" s="198" t="n">
        <v>0</v>
      </c>
    </row>
    <row r="2173" ht="15" customHeight="1" s="104">
      <c r="H2173" s="198" t="n">
        <v>0</v>
      </c>
    </row>
    <row r="2174" ht="15" customHeight="1" s="104">
      <c r="H2174" s="198" t="n">
        <v>0</v>
      </c>
    </row>
    <row r="2175" ht="15" customHeight="1" s="104">
      <c r="H2175" s="198" t="n">
        <v>0</v>
      </c>
    </row>
    <row r="2176" ht="15" customHeight="1" s="104">
      <c r="H2176" s="198" t="n">
        <v>0</v>
      </c>
    </row>
    <row r="2177" ht="15" customHeight="1" s="104">
      <c r="H2177" s="198" t="n">
        <v>0</v>
      </c>
    </row>
    <row r="2178" ht="15" customHeight="1" s="104">
      <c r="H2178" s="198" t="n">
        <v>0</v>
      </c>
    </row>
    <row r="2179" ht="15" customHeight="1" s="104">
      <c r="H2179" s="198" t="n">
        <v>0</v>
      </c>
    </row>
    <row r="2180" ht="15" customHeight="1" s="104">
      <c r="H2180" s="198" t="n">
        <v>0</v>
      </c>
    </row>
    <row r="2181" ht="15" customHeight="1" s="104">
      <c r="H2181" s="198" t="n">
        <v>0</v>
      </c>
    </row>
    <row r="2182" ht="15" customHeight="1" s="104">
      <c r="H2182" s="198" t="n">
        <v>0</v>
      </c>
    </row>
    <row r="2183" ht="15" customHeight="1" s="104">
      <c r="H2183" s="198" t="n">
        <v>0</v>
      </c>
    </row>
    <row r="2184" ht="15" customHeight="1" s="104">
      <c r="H2184" s="198" t="n">
        <v>0</v>
      </c>
    </row>
    <row r="2185" ht="15" customHeight="1" s="104">
      <c r="H2185" s="198" t="n">
        <v>0</v>
      </c>
    </row>
    <row r="2186" ht="15" customHeight="1" s="104">
      <c r="H2186" s="198" t="n">
        <v>0</v>
      </c>
    </row>
    <row r="2187" ht="15" customHeight="1" s="104">
      <c r="H2187" s="198" t="n">
        <v>0</v>
      </c>
    </row>
    <row r="2188" ht="15" customHeight="1" s="104">
      <c r="H2188" s="198" t="n">
        <v>0</v>
      </c>
    </row>
    <row r="2189" ht="15" customHeight="1" s="104">
      <c r="H2189" s="198" t="n">
        <v>0</v>
      </c>
    </row>
    <row r="2190" ht="15" customHeight="1" s="104">
      <c r="H2190" s="198" t="n">
        <v>0</v>
      </c>
    </row>
    <row r="2191" ht="15" customHeight="1" s="104">
      <c r="H2191" s="198" t="n">
        <v>0</v>
      </c>
    </row>
    <row r="2192" ht="15" customHeight="1" s="104">
      <c r="H2192" s="198" t="n">
        <v>0</v>
      </c>
    </row>
    <row r="2193" ht="15" customHeight="1" s="104">
      <c r="H2193" s="198" t="n">
        <v>0</v>
      </c>
    </row>
    <row r="2194" ht="15" customHeight="1" s="104">
      <c r="H2194" s="198" t="n">
        <v>0</v>
      </c>
    </row>
    <row r="2195" ht="15" customHeight="1" s="104">
      <c r="H2195" s="198" t="n">
        <v>0</v>
      </c>
    </row>
    <row r="2196" ht="15" customHeight="1" s="104">
      <c r="H2196" s="198" t="n">
        <v>0</v>
      </c>
    </row>
    <row r="2197" ht="15" customHeight="1" s="104">
      <c r="H2197" s="198" t="n">
        <v>0</v>
      </c>
    </row>
    <row r="2198" ht="15" customHeight="1" s="104">
      <c r="H2198" s="198" t="n">
        <v>0</v>
      </c>
    </row>
    <row r="2199" ht="15" customHeight="1" s="104">
      <c r="H2199" s="198" t="n">
        <v>0</v>
      </c>
    </row>
    <row r="2200" ht="15" customHeight="1" s="104">
      <c r="H2200" s="198" t="n">
        <v>0</v>
      </c>
    </row>
    <row r="2201" ht="15" customHeight="1" s="104">
      <c r="H2201" s="198" t="n">
        <v>0</v>
      </c>
    </row>
    <row r="2202" ht="15" customHeight="1" s="104">
      <c r="H2202" s="198" t="n">
        <v>0</v>
      </c>
    </row>
    <row r="2203" ht="15" customHeight="1" s="104">
      <c r="H2203" s="198" t="n">
        <v>0</v>
      </c>
    </row>
    <row r="2204" ht="15" customHeight="1" s="104">
      <c r="H2204" s="198" t="n">
        <v>0</v>
      </c>
    </row>
    <row r="2205" ht="15" customHeight="1" s="104">
      <c r="H2205" s="198" t="n">
        <v>0</v>
      </c>
    </row>
    <row r="2206" ht="15" customHeight="1" s="104">
      <c r="H2206" s="198" t="n">
        <v>0</v>
      </c>
    </row>
    <row r="2207" ht="15" customHeight="1" s="104">
      <c r="H2207" s="198" t="n">
        <v>0</v>
      </c>
    </row>
    <row r="2208" ht="15" customHeight="1" s="104">
      <c r="H2208" s="198" t="n">
        <v>0</v>
      </c>
    </row>
    <row r="2209" ht="15" customHeight="1" s="104">
      <c r="H2209" s="198" t="n">
        <v>0</v>
      </c>
    </row>
    <row r="2210" ht="15" customHeight="1" s="104">
      <c r="H2210" s="198" t="n">
        <v>0</v>
      </c>
    </row>
    <row r="2211" ht="15" customHeight="1" s="104">
      <c r="H2211" s="198" t="n">
        <v>0</v>
      </c>
    </row>
    <row r="2212" ht="15" customHeight="1" s="104">
      <c r="H2212" s="198" t="n">
        <v>0</v>
      </c>
    </row>
    <row r="2213" ht="15" customHeight="1" s="104">
      <c r="H2213" s="198" t="n">
        <v>0</v>
      </c>
    </row>
    <row r="2214" ht="15" customHeight="1" s="104">
      <c r="H2214" s="198" t="n">
        <v>0</v>
      </c>
    </row>
    <row r="2215" ht="15" customHeight="1" s="104">
      <c r="H2215" s="198" t="n">
        <v>0</v>
      </c>
    </row>
    <row r="2216" ht="15" customHeight="1" s="104">
      <c r="H2216" s="198" t="n">
        <v>0</v>
      </c>
    </row>
    <row r="2217" ht="15" customHeight="1" s="104">
      <c r="H2217" s="198" t="n">
        <v>0</v>
      </c>
    </row>
    <row r="2218" ht="15" customHeight="1" s="104">
      <c r="H2218" s="198" t="n">
        <v>0</v>
      </c>
    </row>
    <row r="2219" ht="15" customHeight="1" s="104">
      <c r="H2219" s="198" t="n">
        <v>0</v>
      </c>
    </row>
    <row r="2220" ht="15" customHeight="1" s="104">
      <c r="H2220" s="198" t="n">
        <v>0</v>
      </c>
    </row>
    <row r="2221" ht="15" customHeight="1" s="104">
      <c r="H2221" s="198" t="n">
        <v>0</v>
      </c>
    </row>
    <row r="2222" ht="15" customHeight="1" s="104">
      <c r="H2222" s="198" t="n">
        <v>0</v>
      </c>
    </row>
    <row r="2223" ht="15" customHeight="1" s="104">
      <c r="H2223" s="198" t="n">
        <v>0</v>
      </c>
    </row>
    <row r="2224" ht="15" customHeight="1" s="104">
      <c r="H2224" s="198" t="n">
        <v>0</v>
      </c>
    </row>
    <row r="2225" ht="15" customHeight="1" s="104">
      <c r="H2225" s="198" t="n">
        <v>0</v>
      </c>
    </row>
    <row r="2226" ht="15" customHeight="1" s="104">
      <c r="H2226" s="198" t="n">
        <v>0</v>
      </c>
    </row>
    <row r="2227" ht="15" customHeight="1" s="104">
      <c r="H2227" s="198" t="n">
        <v>0</v>
      </c>
    </row>
    <row r="2228" ht="15" customHeight="1" s="104">
      <c r="H2228" s="198" t="n">
        <v>0</v>
      </c>
    </row>
    <row r="2229" ht="15" customHeight="1" s="104">
      <c r="H2229" s="198" t="n">
        <v>0</v>
      </c>
    </row>
    <row r="2230" ht="15" customHeight="1" s="104">
      <c r="H2230" s="198" t="n">
        <v>0</v>
      </c>
    </row>
    <row r="2231" ht="15" customHeight="1" s="104">
      <c r="H2231" s="198" t="n">
        <v>0</v>
      </c>
    </row>
    <row r="2232" ht="15" customHeight="1" s="104">
      <c r="H2232" s="198" t="n">
        <v>0</v>
      </c>
    </row>
    <row r="2233" ht="15" customHeight="1" s="104">
      <c r="H2233" s="198" t="n">
        <v>0</v>
      </c>
    </row>
    <row r="2234" ht="15" customHeight="1" s="104">
      <c r="H2234" s="198" t="n">
        <v>0</v>
      </c>
    </row>
    <row r="2235" ht="15" customHeight="1" s="104">
      <c r="H2235" s="198" t="n">
        <v>0</v>
      </c>
    </row>
    <row r="2236" ht="15" customHeight="1" s="104">
      <c r="H2236" s="198" t="n">
        <v>0</v>
      </c>
    </row>
    <row r="2237" ht="15" customHeight="1" s="104">
      <c r="H2237" s="198" t="n">
        <v>0</v>
      </c>
    </row>
    <row r="2238" ht="15" customHeight="1" s="104">
      <c r="H2238" s="198" t="n">
        <v>0</v>
      </c>
    </row>
    <row r="2239" ht="15" customHeight="1" s="104">
      <c r="H2239" s="198" t="n">
        <v>0</v>
      </c>
    </row>
    <row r="2240" ht="15" customHeight="1" s="104">
      <c r="H2240" s="198" t="n">
        <v>0</v>
      </c>
    </row>
    <row r="2241" ht="15" customHeight="1" s="104">
      <c r="H2241" s="198" t="n">
        <v>0</v>
      </c>
    </row>
    <row r="2242" ht="15" customHeight="1" s="104">
      <c r="H2242" s="198" t="n">
        <v>0</v>
      </c>
    </row>
    <row r="2243" ht="15" customHeight="1" s="104">
      <c r="H2243" s="198" t="n">
        <v>0</v>
      </c>
    </row>
    <row r="2244" ht="15" customHeight="1" s="104">
      <c r="H2244" s="198" t="n">
        <v>0</v>
      </c>
    </row>
    <row r="2245" ht="15" customHeight="1" s="104">
      <c r="H2245" s="198" t="n">
        <v>0</v>
      </c>
    </row>
    <row r="2246" ht="15" customHeight="1" s="104">
      <c r="H2246" s="198" t="n">
        <v>0</v>
      </c>
    </row>
    <row r="2247" ht="15" customHeight="1" s="104">
      <c r="H2247" s="198" t="n">
        <v>0</v>
      </c>
    </row>
    <row r="2248" ht="15" customHeight="1" s="104">
      <c r="H2248" s="198" t="n">
        <v>0</v>
      </c>
    </row>
    <row r="2249" ht="15" customHeight="1" s="104">
      <c r="H2249" s="198" t="n">
        <v>0</v>
      </c>
    </row>
    <row r="2250" ht="15" customHeight="1" s="104">
      <c r="H2250" s="198" t="n">
        <v>0</v>
      </c>
    </row>
    <row r="2251" ht="15" customHeight="1" s="104">
      <c r="H2251" s="198" t="n">
        <v>0</v>
      </c>
    </row>
    <row r="2252" ht="15" customHeight="1" s="104">
      <c r="H2252" s="198" t="n">
        <v>0</v>
      </c>
    </row>
    <row r="2253" ht="15" customHeight="1" s="104">
      <c r="H2253" s="198" t="n">
        <v>0</v>
      </c>
    </row>
    <row r="2254" ht="15" customHeight="1" s="104">
      <c r="H2254" s="198" t="n">
        <v>0</v>
      </c>
    </row>
    <row r="2255" ht="15" customHeight="1" s="104">
      <c r="H2255" s="198" t="n">
        <v>0</v>
      </c>
    </row>
    <row r="2256" ht="15" customHeight="1" s="104">
      <c r="H2256" s="198" t="n">
        <v>0</v>
      </c>
    </row>
    <row r="2257" ht="15" customHeight="1" s="104">
      <c r="H2257" s="198" t="n">
        <v>0</v>
      </c>
    </row>
    <row r="2258" ht="15" customHeight="1" s="104">
      <c r="H2258" s="198" t="n">
        <v>0</v>
      </c>
    </row>
    <row r="2259" ht="15" customHeight="1" s="104">
      <c r="H2259" s="198" t="n">
        <v>0</v>
      </c>
    </row>
    <row r="2260" ht="15" customHeight="1" s="104">
      <c r="H2260" s="198" t="n">
        <v>0</v>
      </c>
    </row>
    <row r="2261" ht="15" customHeight="1" s="104">
      <c r="H2261" s="198" t="n">
        <v>0</v>
      </c>
    </row>
    <row r="2262" ht="15" customHeight="1" s="104">
      <c r="H2262" s="198" t="n">
        <v>0</v>
      </c>
    </row>
    <row r="2263" ht="15" customHeight="1" s="104">
      <c r="H2263" s="198" t="n">
        <v>0</v>
      </c>
    </row>
    <row r="2264" ht="15" customHeight="1" s="104">
      <c r="H2264" s="198" t="n">
        <v>0</v>
      </c>
    </row>
    <row r="2265" ht="15" customHeight="1" s="104">
      <c r="H2265" s="198" t="n">
        <v>0</v>
      </c>
    </row>
    <row r="2266" ht="15" customHeight="1" s="104">
      <c r="H2266" s="198" t="n">
        <v>0</v>
      </c>
    </row>
    <row r="2267" ht="15" customHeight="1" s="104">
      <c r="H2267" s="198" t="n">
        <v>0</v>
      </c>
    </row>
    <row r="2268" ht="15" customHeight="1" s="104">
      <c r="H2268" s="198" t="n">
        <v>0</v>
      </c>
    </row>
    <row r="2269" ht="15" customHeight="1" s="104">
      <c r="H2269" s="198" t="n">
        <v>0</v>
      </c>
    </row>
    <row r="2270" ht="15" customHeight="1" s="104">
      <c r="H2270" s="198" t="n">
        <v>0</v>
      </c>
    </row>
    <row r="2271" ht="15" customHeight="1" s="104">
      <c r="H2271" s="198" t="n">
        <v>0</v>
      </c>
    </row>
    <row r="2272" ht="15" customHeight="1" s="104">
      <c r="H2272" s="198" t="n">
        <v>0</v>
      </c>
    </row>
    <row r="2273" ht="15" customHeight="1" s="104">
      <c r="H2273" s="198" t="n">
        <v>0</v>
      </c>
    </row>
    <row r="2274" ht="15" customHeight="1" s="104">
      <c r="H2274" s="198" t="n">
        <v>0</v>
      </c>
    </row>
    <row r="2275" ht="15" customHeight="1" s="104">
      <c r="H2275" s="198" t="n">
        <v>0</v>
      </c>
    </row>
    <row r="2276" ht="15" customHeight="1" s="104">
      <c r="H2276" s="198" t="n">
        <v>0</v>
      </c>
    </row>
    <row r="2277" ht="15" customHeight="1" s="104">
      <c r="H2277" s="198" t="n">
        <v>0</v>
      </c>
    </row>
    <row r="2278" ht="15" customHeight="1" s="104">
      <c r="H2278" s="198" t="n">
        <v>0</v>
      </c>
    </row>
    <row r="2279" ht="15" customHeight="1" s="104">
      <c r="H2279" s="198" t="n">
        <v>0</v>
      </c>
    </row>
    <row r="2280" ht="15" customHeight="1" s="104">
      <c r="H2280" s="198" t="n">
        <v>0</v>
      </c>
    </row>
    <row r="2281" ht="15" customHeight="1" s="104">
      <c r="H2281" s="198" t="n">
        <v>0</v>
      </c>
    </row>
    <row r="2282" ht="15" customHeight="1" s="104">
      <c r="H2282" s="198" t="n">
        <v>0</v>
      </c>
    </row>
    <row r="2283" ht="15" customHeight="1" s="104">
      <c r="H2283" s="198" t="n">
        <v>0</v>
      </c>
    </row>
    <row r="2284" ht="15" customHeight="1" s="104">
      <c r="H2284" s="198" t="n">
        <v>0</v>
      </c>
    </row>
    <row r="2285" ht="15" customHeight="1" s="104">
      <c r="H2285" s="198" t="n">
        <v>0</v>
      </c>
    </row>
    <row r="2286" ht="15" customHeight="1" s="104">
      <c r="H2286" s="198" t="n">
        <v>0</v>
      </c>
    </row>
    <row r="2287" ht="15" customHeight="1" s="104">
      <c r="H2287" s="198" t="n">
        <v>0</v>
      </c>
    </row>
    <row r="2288" ht="15" customHeight="1" s="104">
      <c r="H2288" s="198" t="n">
        <v>0</v>
      </c>
    </row>
    <row r="2289" ht="15" customHeight="1" s="104">
      <c r="H2289" s="198" t="n">
        <v>0</v>
      </c>
    </row>
    <row r="2290" ht="15" customHeight="1" s="104">
      <c r="H2290" s="198" t="n">
        <v>0</v>
      </c>
    </row>
    <row r="2291" ht="15" customHeight="1" s="104">
      <c r="H2291" s="198" t="n">
        <v>0</v>
      </c>
    </row>
    <row r="2292" ht="15" customHeight="1" s="104">
      <c r="H2292" s="198" t="n">
        <v>0</v>
      </c>
    </row>
    <row r="2293" ht="15" customHeight="1" s="104">
      <c r="H2293" s="198" t="n">
        <v>0</v>
      </c>
    </row>
    <row r="2294" ht="15" customHeight="1" s="104">
      <c r="H2294" s="198" t="n">
        <v>0</v>
      </c>
    </row>
    <row r="2295" ht="15" customHeight="1" s="104">
      <c r="H2295" s="198" t="n">
        <v>0</v>
      </c>
    </row>
    <row r="2296" ht="15" customHeight="1" s="104">
      <c r="H2296" s="198" t="n">
        <v>0</v>
      </c>
    </row>
    <row r="2297" ht="15" customHeight="1" s="104">
      <c r="H2297" s="198" t="n">
        <v>0</v>
      </c>
    </row>
    <row r="2298" ht="15" customHeight="1" s="104">
      <c r="H2298" s="198" t="n">
        <v>0</v>
      </c>
    </row>
    <row r="2299" ht="15" customHeight="1" s="104">
      <c r="H2299" s="198" t="n">
        <v>0</v>
      </c>
    </row>
    <row r="2300" ht="15" customHeight="1" s="104">
      <c r="H2300" s="198" t="n">
        <v>0</v>
      </c>
    </row>
    <row r="2301" ht="15" customHeight="1" s="104">
      <c r="H2301" s="198" t="n">
        <v>0</v>
      </c>
    </row>
    <row r="2302" ht="15" customHeight="1" s="104">
      <c r="H2302" s="198" t="n">
        <v>0</v>
      </c>
    </row>
    <row r="2303" ht="15" customHeight="1" s="104">
      <c r="H2303" s="198" t="n">
        <v>0</v>
      </c>
    </row>
    <row r="2304" ht="15" customHeight="1" s="104">
      <c r="H2304" s="198" t="n">
        <v>0</v>
      </c>
    </row>
    <row r="2305" ht="15" customHeight="1" s="104">
      <c r="H2305" s="198" t="n">
        <v>0</v>
      </c>
    </row>
    <row r="2306" ht="15" customHeight="1" s="104">
      <c r="H2306" s="198" t="n">
        <v>0</v>
      </c>
    </row>
    <row r="2307" ht="15" customHeight="1" s="104">
      <c r="H2307" s="198" t="n">
        <v>0</v>
      </c>
    </row>
    <row r="2308" ht="15" customHeight="1" s="104">
      <c r="H2308" s="198" t="n">
        <v>0</v>
      </c>
    </row>
    <row r="2309" ht="15" customHeight="1" s="104">
      <c r="H2309" s="198" t="n">
        <v>0</v>
      </c>
    </row>
    <row r="2310" ht="15" customHeight="1" s="104">
      <c r="H2310" s="198" t="n">
        <v>0</v>
      </c>
    </row>
    <row r="2311" ht="15" customHeight="1" s="104">
      <c r="H2311" s="198" t="n">
        <v>0</v>
      </c>
    </row>
    <row r="2312" ht="15" customHeight="1" s="104">
      <c r="H2312" s="198" t="n">
        <v>0</v>
      </c>
    </row>
    <row r="2313" ht="15" customHeight="1" s="104">
      <c r="H2313" s="198" t="n">
        <v>0</v>
      </c>
    </row>
    <row r="2314" ht="15" customHeight="1" s="104">
      <c r="H2314" s="198" t="n">
        <v>0</v>
      </c>
    </row>
    <row r="2315" ht="15" customHeight="1" s="104">
      <c r="H2315" s="198" t="n">
        <v>0</v>
      </c>
    </row>
    <row r="2316" ht="15" customHeight="1" s="104">
      <c r="H2316" s="198" t="n">
        <v>0</v>
      </c>
    </row>
    <row r="2317" ht="15" customHeight="1" s="104">
      <c r="H2317" s="198" t="n">
        <v>0</v>
      </c>
    </row>
    <row r="2318" ht="15" customHeight="1" s="104">
      <c r="H2318" s="198" t="n">
        <v>0</v>
      </c>
    </row>
    <row r="2319" ht="15" customHeight="1" s="104">
      <c r="H2319" s="198" t="n">
        <v>0</v>
      </c>
    </row>
    <row r="2320" ht="15" customHeight="1" s="104">
      <c r="H2320" s="198" t="n">
        <v>0</v>
      </c>
    </row>
    <row r="2321" ht="15" customHeight="1" s="104">
      <c r="H2321" s="198" t="n">
        <v>0</v>
      </c>
    </row>
    <row r="2322" ht="15" customHeight="1" s="104">
      <c r="H2322" s="198" t="n">
        <v>0</v>
      </c>
    </row>
    <row r="2323" ht="15" customHeight="1" s="104">
      <c r="H2323" s="198" t="n">
        <v>0</v>
      </c>
    </row>
    <row r="2324" ht="15" customHeight="1" s="104">
      <c r="H2324" s="198" t="n">
        <v>0</v>
      </c>
    </row>
    <row r="2325" ht="15" customHeight="1" s="104">
      <c r="H2325" s="198" t="n">
        <v>0</v>
      </c>
    </row>
    <row r="2326" ht="15" customHeight="1" s="104">
      <c r="H2326" s="198" t="n">
        <v>0</v>
      </c>
    </row>
    <row r="2327" ht="15" customHeight="1" s="104">
      <c r="H2327" s="198" t="n">
        <v>0</v>
      </c>
    </row>
    <row r="2328" ht="15" customHeight="1" s="104">
      <c r="H2328" s="198" t="n">
        <v>0</v>
      </c>
    </row>
    <row r="2329" ht="15" customHeight="1" s="104">
      <c r="H2329" s="198" t="n">
        <v>0</v>
      </c>
    </row>
    <row r="2330" ht="15" customHeight="1" s="104">
      <c r="H2330" s="198" t="n">
        <v>0</v>
      </c>
    </row>
    <row r="2331" ht="15" customHeight="1" s="104">
      <c r="H2331" s="198" t="n">
        <v>0</v>
      </c>
    </row>
    <row r="2332" ht="15" customHeight="1" s="104">
      <c r="H2332" s="198" t="n">
        <v>0</v>
      </c>
    </row>
    <row r="2333" ht="15" customHeight="1" s="104">
      <c r="H2333" s="198" t="n">
        <v>0</v>
      </c>
    </row>
    <row r="2334" ht="15" customHeight="1" s="104">
      <c r="H2334" s="198" t="n">
        <v>0</v>
      </c>
    </row>
    <row r="2335" ht="15" customHeight="1" s="104">
      <c r="H2335" s="198" t="n">
        <v>0</v>
      </c>
    </row>
    <row r="2336" ht="15" customHeight="1" s="104">
      <c r="H2336" s="198" t="n">
        <v>0</v>
      </c>
    </row>
    <row r="2337" ht="15" customHeight="1" s="104">
      <c r="H2337" s="198" t="n">
        <v>0</v>
      </c>
    </row>
    <row r="2338" ht="15" customHeight="1" s="104">
      <c r="H2338" s="198" t="n">
        <v>0</v>
      </c>
    </row>
    <row r="2339" ht="15" customHeight="1" s="104">
      <c r="H2339" s="198" t="n">
        <v>0</v>
      </c>
    </row>
    <row r="2340" ht="15" customHeight="1" s="104">
      <c r="H2340" s="198" t="n">
        <v>0</v>
      </c>
    </row>
    <row r="2341" ht="15" customHeight="1" s="104">
      <c r="H2341" s="198" t="n">
        <v>0</v>
      </c>
    </row>
    <row r="2342" ht="15" customHeight="1" s="104">
      <c r="H2342" s="198" t="n">
        <v>0</v>
      </c>
    </row>
    <row r="2343" ht="15" customHeight="1" s="104">
      <c r="H2343" s="198" t="n">
        <v>0</v>
      </c>
    </row>
    <row r="2344" ht="15" customHeight="1" s="104">
      <c r="H2344" s="198" t="n">
        <v>0</v>
      </c>
    </row>
    <row r="2345" ht="15" customHeight="1" s="104">
      <c r="H2345" s="198" t="n">
        <v>0</v>
      </c>
    </row>
    <row r="2346" ht="15" customHeight="1" s="104">
      <c r="H2346" s="198" t="n">
        <v>0</v>
      </c>
    </row>
    <row r="2347" ht="15" customHeight="1" s="104">
      <c r="H2347" s="198" t="n">
        <v>0</v>
      </c>
    </row>
    <row r="2348" ht="15" customHeight="1" s="104">
      <c r="H2348" s="198" t="n">
        <v>0</v>
      </c>
    </row>
    <row r="2349" ht="15" customHeight="1" s="104">
      <c r="H2349" s="198" t="n">
        <v>0</v>
      </c>
    </row>
    <row r="2350" ht="15" customHeight="1" s="104">
      <c r="H2350" s="198" t="n">
        <v>0</v>
      </c>
    </row>
    <row r="2351" ht="15" customHeight="1" s="104">
      <c r="H2351" s="198" t="n">
        <v>0</v>
      </c>
    </row>
    <row r="2352" ht="15" customHeight="1" s="104">
      <c r="H2352" s="198" t="n">
        <v>0</v>
      </c>
    </row>
    <row r="2353" ht="15" customHeight="1" s="104">
      <c r="H2353" s="198" t="n">
        <v>0</v>
      </c>
    </row>
    <row r="2354" ht="15" customHeight="1" s="104">
      <c r="H2354" s="198" t="n">
        <v>0</v>
      </c>
    </row>
    <row r="2355" ht="15" customHeight="1" s="104">
      <c r="H2355" s="198" t="n">
        <v>0</v>
      </c>
    </row>
    <row r="2356" ht="15" customHeight="1" s="104">
      <c r="H2356" s="198" t="n">
        <v>0</v>
      </c>
    </row>
    <row r="2357" ht="15" customHeight="1" s="104">
      <c r="H2357" s="198" t="n">
        <v>0</v>
      </c>
    </row>
    <row r="2358" ht="15" customHeight="1" s="104">
      <c r="H2358" s="198" t="n">
        <v>0</v>
      </c>
    </row>
    <row r="2359" ht="15" customHeight="1" s="104">
      <c r="H2359" s="198" t="n">
        <v>0</v>
      </c>
    </row>
    <row r="2360" ht="15" customHeight="1" s="104">
      <c r="H2360" s="198" t="n">
        <v>0</v>
      </c>
    </row>
    <row r="2361" ht="15" customHeight="1" s="104">
      <c r="H2361" s="198" t="n">
        <v>0</v>
      </c>
    </row>
    <row r="2362" ht="15" customHeight="1" s="104">
      <c r="H2362" s="198" t="n">
        <v>0</v>
      </c>
    </row>
    <row r="2363" ht="15" customHeight="1" s="104">
      <c r="H2363" s="198" t="n">
        <v>0</v>
      </c>
    </row>
    <row r="2364" ht="15" customHeight="1" s="104">
      <c r="H2364" s="198" t="n">
        <v>0</v>
      </c>
    </row>
    <row r="2365" ht="15" customHeight="1" s="104">
      <c r="H2365" s="198" t="n">
        <v>0</v>
      </c>
    </row>
    <row r="2366" ht="15" customHeight="1" s="104">
      <c r="H2366" s="198" t="n">
        <v>0</v>
      </c>
    </row>
    <row r="2367" ht="15" customHeight="1" s="104">
      <c r="H2367" s="198" t="n">
        <v>0</v>
      </c>
    </row>
    <row r="2368" ht="15" customHeight="1" s="104">
      <c r="H2368" s="198" t="n">
        <v>0</v>
      </c>
    </row>
    <row r="2369" ht="15" customHeight="1" s="104">
      <c r="H2369" s="198" t="n">
        <v>0</v>
      </c>
    </row>
    <row r="2370" ht="15" customHeight="1" s="104">
      <c r="H2370" s="198" t="n">
        <v>0</v>
      </c>
    </row>
    <row r="2371" ht="15" customHeight="1" s="104">
      <c r="H2371" s="198" t="n">
        <v>0</v>
      </c>
    </row>
    <row r="2372" ht="15" customHeight="1" s="104">
      <c r="H2372" s="198" t="n">
        <v>0</v>
      </c>
    </row>
    <row r="2373" ht="15" customHeight="1" s="104">
      <c r="H2373" s="198" t="n">
        <v>0</v>
      </c>
    </row>
    <row r="2374" ht="15" customHeight="1" s="104">
      <c r="H2374" s="198" t="n">
        <v>0</v>
      </c>
    </row>
    <row r="2375" ht="15" customHeight="1" s="104">
      <c r="H2375" s="198" t="n">
        <v>0</v>
      </c>
    </row>
    <row r="2376" ht="15" customHeight="1" s="104">
      <c r="H2376" s="198" t="n">
        <v>0</v>
      </c>
    </row>
    <row r="2377" ht="15" customHeight="1" s="104">
      <c r="H2377" s="198" t="n">
        <v>0</v>
      </c>
    </row>
    <row r="2378" ht="15" customHeight="1" s="104">
      <c r="H2378" s="198" t="n">
        <v>0</v>
      </c>
    </row>
    <row r="2379" ht="15" customHeight="1" s="104">
      <c r="H2379" s="198" t="n">
        <v>0</v>
      </c>
    </row>
    <row r="2380" ht="15" customHeight="1" s="104">
      <c r="H2380" s="198" t="n">
        <v>0</v>
      </c>
    </row>
    <row r="2381" ht="15" customHeight="1" s="104">
      <c r="H2381" s="198" t="n">
        <v>0</v>
      </c>
    </row>
    <row r="2382" ht="15" customHeight="1" s="104">
      <c r="H2382" s="198" t="n">
        <v>0</v>
      </c>
    </row>
    <row r="2383" ht="15" customHeight="1" s="104">
      <c r="H2383" s="198" t="n">
        <v>0</v>
      </c>
    </row>
    <row r="2384" ht="15" customHeight="1" s="104">
      <c r="H2384" s="198" t="n">
        <v>0</v>
      </c>
    </row>
    <row r="2385" ht="15" customHeight="1" s="104">
      <c r="H2385" s="198" t="n">
        <v>0</v>
      </c>
    </row>
    <row r="2386" ht="15" customHeight="1" s="104">
      <c r="H2386" s="198" t="n">
        <v>0</v>
      </c>
    </row>
    <row r="2387" ht="15" customHeight="1" s="104">
      <c r="H2387" s="198" t="n">
        <v>0</v>
      </c>
    </row>
    <row r="2388" ht="15" customHeight="1" s="104">
      <c r="H2388" s="198" t="n">
        <v>0</v>
      </c>
    </row>
    <row r="2389" ht="15" customHeight="1" s="104">
      <c r="H2389" s="198" t="n">
        <v>0</v>
      </c>
    </row>
    <row r="2390" ht="15" customHeight="1" s="104">
      <c r="H2390" s="198" t="n">
        <v>0</v>
      </c>
    </row>
    <row r="2391" ht="15" customHeight="1" s="104">
      <c r="H2391" s="198" t="n">
        <v>0</v>
      </c>
    </row>
    <row r="2392" ht="15" customHeight="1" s="104">
      <c r="H2392" s="198" t="n">
        <v>0</v>
      </c>
    </row>
    <row r="2393" ht="15" customHeight="1" s="104">
      <c r="H2393" s="198" t="n">
        <v>0</v>
      </c>
    </row>
    <row r="2394" ht="15" customHeight="1" s="104">
      <c r="H2394" s="198" t="n">
        <v>0</v>
      </c>
    </row>
    <row r="2395" ht="15" customHeight="1" s="104">
      <c r="H2395" s="198" t="n">
        <v>0</v>
      </c>
    </row>
    <row r="2396" ht="15" customHeight="1" s="104">
      <c r="H2396" s="198" t="n">
        <v>0</v>
      </c>
    </row>
    <row r="2397" ht="15" customHeight="1" s="104">
      <c r="H2397" s="198" t="n">
        <v>0</v>
      </c>
    </row>
    <row r="2398" ht="15" customHeight="1" s="104">
      <c r="H2398" s="198" t="n">
        <v>0</v>
      </c>
    </row>
    <row r="2399" ht="15" customHeight="1" s="104">
      <c r="H2399" s="198" t="n">
        <v>0</v>
      </c>
    </row>
    <row r="2400" ht="15" customHeight="1" s="104">
      <c r="H2400" s="198" t="n">
        <v>0</v>
      </c>
    </row>
    <row r="2401" ht="15" customHeight="1" s="104">
      <c r="H2401" s="198" t="n">
        <v>0</v>
      </c>
    </row>
    <row r="2402" ht="15" customHeight="1" s="104">
      <c r="H2402" s="198" t="n">
        <v>0</v>
      </c>
    </row>
    <row r="2403" ht="15" customHeight="1" s="104">
      <c r="H2403" s="198" t="n">
        <v>0</v>
      </c>
    </row>
    <row r="2404" ht="15" customHeight="1" s="104">
      <c r="H2404" s="198" t="n">
        <v>0</v>
      </c>
    </row>
    <row r="2405" ht="15" customHeight="1" s="104">
      <c r="H2405" s="198" t="n">
        <v>0</v>
      </c>
    </row>
    <row r="2406" ht="15" customHeight="1" s="104">
      <c r="H2406" s="198" t="n">
        <v>0</v>
      </c>
    </row>
    <row r="2407" ht="15" customHeight="1" s="104">
      <c r="H2407" s="198" t="n">
        <v>0</v>
      </c>
    </row>
    <row r="2408" ht="15" customHeight="1" s="104">
      <c r="H2408" s="198" t="n">
        <v>0</v>
      </c>
    </row>
    <row r="2409" ht="15" customHeight="1" s="104">
      <c r="H2409" s="198" t="n">
        <v>0</v>
      </c>
    </row>
    <row r="2410" ht="15" customHeight="1" s="104">
      <c r="H2410" s="198" t="n">
        <v>0</v>
      </c>
    </row>
    <row r="2411" ht="15" customHeight="1" s="104">
      <c r="H2411" s="198" t="n">
        <v>0</v>
      </c>
    </row>
    <row r="2412" ht="15" customHeight="1" s="104">
      <c r="H2412" s="198" t="n">
        <v>0</v>
      </c>
    </row>
    <row r="2413" ht="15" customHeight="1" s="104">
      <c r="H2413" s="198" t="n">
        <v>0</v>
      </c>
    </row>
    <row r="2414" ht="15" customHeight="1" s="104">
      <c r="H2414" s="198" t="n">
        <v>0</v>
      </c>
    </row>
    <row r="2415" ht="15" customHeight="1" s="104">
      <c r="H2415" s="198" t="n">
        <v>0</v>
      </c>
    </row>
    <row r="2416" ht="15" customHeight="1" s="104">
      <c r="H2416" s="198" t="n">
        <v>0</v>
      </c>
    </row>
    <row r="2417" ht="15" customHeight="1" s="104">
      <c r="H2417" s="198" t="n">
        <v>0</v>
      </c>
    </row>
    <row r="2418" ht="15" customHeight="1" s="104">
      <c r="H2418" s="198" t="n">
        <v>0</v>
      </c>
    </row>
    <row r="2419" ht="15" customHeight="1" s="104">
      <c r="H2419" s="198" t="n">
        <v>0</v>
      </c>
    </row>
    <row r="2420" ht="15" customHeight="1" s="104">
      <c r="H2420" s="198" t="n">
        <v>0</v>
      </c>
    </row>
    <row r="2421" ht="15" customHeight="1" s="104">
      <c r="H2421" s="198" t="n">
        <v>0</v>
      </c>
    </row>
    <row r="2422" ht="15" customHeight="1" s="104">
      <c r="H2422" s="198" t="n">
        <v>0</v>
      </c>
    </row>
    <row r="2423" ht="15" customHeight="1" s="104">
      <c r="H2423" s="198" t="n">
        <v>0</v>
      </c>
    </row>
    <row r="2424" ht="15" customHeight="1" s="104">
      <c r="H2424" s="198" t="n">
        <v>0</v>
      </c>
    </row>
    <row r="2425" ht="15" customHeight="1" s="104">
      <c r="H2425" s="198" t="n">
        <v>0</v>
      </c>
    </row>
    <row r="2426" ht="15" customHeight="1" s="104">
      <c r="H2426" s="198" t="n">
        <v>0</v>
      </c>
    </row>
    <row r="2427" ht="15" customHeight="1" s="104">
      <c r="H2427" s="198" t="n">
        <v>0</v>
      </c>
    </row>
    <row r="2428" ht="15" customHeight="1" s="104">
      <c r="H2428" s="198" t="n">
        <v>0</v>
      </c>
    </row>
    <row r="2429" ht="15" customHeight="1" s="104">
      <c r="H2429" s="198" t="n">
        <v>0</v>
      </c>
    </row>
    <row r="2430" ht="15" customHeight="1" s="104">
      <c r="H2430" s="198" t="n">
        <v>0</v>
      </c>
    </row>
    <row r="2431" ht="15" customHeight="1" s="104">
      <c r="H2431" s="198" t="n">
        <v>0</v>
      </c>
    </row>
    <row r="2432" ht="15" customHeight="1" s="104">
      <c r="H2432" s="198" t="n">
        <v>0</v>
      </c>
    </row>
    <row r="2433" ht="15" customHeight="1" s="104">
      <c r="H2433" s="198" t="n">
        <v>0</v>
      </c>
    </row>
    <row r="2434" ht="15" customHeight="1" s="104">
      <c r="H2434" s="198" t="n">
        <v>0</v>
      </c>
    </row>
    <row r="2435" ht="15" customHeight="1" s="104">
      <c r="H2435" s="198" t="n">
        <v>0</v>
      </c>
    </row>
    <row r="2436" ht="15" customHeight="1" s="104">
      <c r="H2436" s="198" t="n">
        <v>0</v>
      </c>
    </row>
    <row r="2437" ht="15" customHeight="1" s="104">
      <c r="H2437" s="198" t="n">
        <v>0</v>
      </c>
    </row>
    <row r="2438" ht="15" customHeight="1" s="104">
      <c r="H2438" s="198" t="n">
        <v>0</v>
      </c>
    </row>
    <row r="2439" ht="15" customHeight="1" s="104">
      <c r="H2439" s="198" t="n">
        <v>0</v>
      </c>
    </row>
    <row r="2440" ht="15" customHeight="1" s="104">
      <c r="H2440" s="198" t="n">
        <v>0</v>
      </c>
    </row>
    <row r="2441" ht="15" customHeight="1" s="104">
      <c r="H2441" s="198" t="n">
        <v>0</v>
      </c>
    </row>
    <row r="2442" ht="15" customHeight="1" s="104">
      <c r="H2442" s="198" t="n">
        <v>0</v>
      </c>
    </row>
    <row r="2443" ht="15" customHeight="1" s="104">
      <c r="H2443" s="198" t="n">
        <v>0</v>
      </c>
    </row>
    <row r="2444" ht="15" customHeight="1" s="104">
      <c r="H2444" s="198" t="n">
        <v>0</v>
      </c>
    </row>
    <row r="2445" ht="15" customHeight="1" s="104">
      <c r="H2445" s="198" t="n">
        <v>0</v>
      </c>
    </row>
    <row r="2446" ht="15" customHeight="1" s="104">
      <c r="H2446" s="198" t="n">
        <v>0</v>
      </c>
    </row>
    <row r="2447" ht="15" customHeight="1" s="104">
      <c r="H2447" s="198" t="n">
        <v>0</v>
      </c>
    </row>
    <row r="2448" ht="15" customHeight="1" s="104">
      <c r="H2448" s="198" t="n">
        <v>0</v>
      </c>
    </row>
    <row r="2449" ht="15" customHeight="1" s="104">
      <c r="H2449" s="198" t="n">
        <v>0</v>
      </c>
    </row>
    <row r="2450" ht="15" customHeight="1" s="104">
      <c r="H2450" s="198" t="n">
        <v>0</v>
      </c>
    </row>
    <row r="2451" ht="15" customHeight="1" s="104">
      <c r="H2451" s="198" t="n">
        <v>0</v>
      </c>
    </row>
    <row r="2452" ht="15" customHeight="1" s="104">
      <c r="H2452" s="198" t="n">
        <v>0</v>
      </c>
    </row>
    <row r="2453" ht="15" customHeight="1" s="104">
      <c r="H2453" s="198" t="n">
        <v>0</v>
      </c>
    </row>
    <row r="2454" ht="15" customHeight="1" s="104">
      <c r="H2454" s="198" t="n">
        <v>0</v>
      </c>
    </row>
    <row r="2455" ht="15" customHeight="1" s="104">
      <c r="H2455" s="198" t="n">
        <v>0</v>
      </c>
    </row>
    <row r="2456" ht="15" customHeight="1" s="104">
      <c r="H2456" s="198" t="n">
        <v>0</v>
      </c>
    </row>
    <row r="2457" ht="15" customHeight="1" s="104">
      <c r="H2457" s="198" t="n">
        <v>0</v>
      </c>
    </row>
    <row r="2458" ht="15" customHeight="1" s="104">
      <c r="H2458" s="198" t="n">
        <v>0</v>
      </c>
    </row>
    <row r="2459" ht="15" customHeight="1" s="104">
      <c r="H2459" s="198" t="n">
        <v>0</v>
      </c>
    </row>
    <row r="2460" ht="15" customHeight="1" s="104">
      <c r="H2460" s="198" t="n">
        <v>0</v>
      </c>
    </row>
    <row r="2461" ht="15" customHeight="1" s="104">
      <c r="H2461" s="198" t="n">
        <v>0</v>
      </c>
    </row>
    <row r="2462" ht="15" customHeight="1" s="104">
      <c r="H2462" s="198" t="n">
        <v>0</v>
      </c>
    </row>
    <row r="2463" ht="15" customHeight="1" s="104">
      <c r="H2463" s="198" t="n">
        <v>0</v>
      </c>
    </row>
    <row r="2464" ht="15" customHeight="1" s="104">
      <c r="H2464" s="198" t="n">
        <v>0</v>
      </c>
    </row>
    <row r="2465" ht="15" customHeight="1" s="104">
      <c r="H2465" s="198" t="n">
        <v>0</v>
      </c>
    </row>
    <row r="2466" ht="15" customHeight="1" s="104">
      <c r="H2466" s="198" t="n">
        <v>0</v>
      </c>
    </row>
    <row r="2467" ht="15" customHeight="1" s="104">
      <c r="H2467" s="198" t="n">
        <v>0</v>
      </c>
    </row>
    <row r="2468" ht="15" customHeight="1" s="104">
      <c r="H2468" s="198" t="n">
        <v>0</v>
      </c>
    </row>
    <row r="2469" ht="15" customHeight="1" s="104">
      <c r="H2469" s="198" t="n">
        <v>0</v>
      </c>
    </row>
    <row r="2470" ht="15" customHeight="1" s="104">
      <c r="H2470" s="198" t="n">
        <v>0</v>
      </c>
    </row>
    <row r="2471" ht="15" customHeight="1" s="104">
      <c r="H2471" s="198" t="n">
        <v>0</v>
      </c>
    </row>
    <row r="2472" ht="15" customHeight="1" s="104">
      <c r="H2472" s="198" t="n">
        <v>0</v>
      </c>
    </row>
    <row r="2473" ht="15" customHeight="1" s="104">
      <c r="H2473" s="198" t="n">
        <v>0</v>
      </c>
    </row>
    <row r="2474" ht="15" customHeight="1" s="104">
      <c r="H2474" s="198" t="n">
        <v>0</v>
      </c>
    </row>
    <row r="2475" ht="15" customHeight="1" s="104">
      <c r="H2475" s="198" t="n">
        <v>0</v>
      </c>
    </row>
    <row r="2476" ht="15" customHeight="1" s="104">
      <c r="H2476" s="198" t="n">
        <v>0</v>
      </c>
    </row>
    <row r="2477" ht="15" customHeight="1" s="104">
      <c r="H2477" s="198" t="n">
        <v>0</v>
      </c>
    </row>
    <row r="2478" ht="15" customHeight="1" s="104">
      <c r="H2478" s="198" t="n">
        <v>0</v>
      </c>
    </row>
    <row r="2479" ht="15" customHeight="1" s="104">
      <c r="H2479" s="198" t="n">
        <v>0</v>
      </c>
    </row>
    <row r="2480" ht="15" customHeight="1" s="104">
      <c r="H2480" s="198" t="n">
        <v>0</v>
      </c>
    </row>
    <row r="2481" ht="15" customHeight="1" s="104">
      <c r="H2481" s="198" t="n">
        <v>0</v>
      </c>
    </row>
    <row r="2482" ht="15" customHeight="1" s="104">
      <c r="H2482" s="198" t="n">
        <v>0</v>
      </c>
    </row>
    <row r="2483" ht="15" customHeight="1" s="104">
      <c r="H2483" s="198" t="n">
        <v>0</v>
      </c>
    </row>
    <row r="2484" ht="15" customHeight="1" s="104">
      <c r="H2484" s="198" t="n">
        <v>0</v>
      </c>
    </row>
    <row r="2485" ht="15" customHeight="1" s="104">
      <c r="H2485" s="198" t="n">
        <v>0</v>
      </c>
    </row>
    <row r="2486" ht="15" customHeight="1" s="104">
      <c r="H2486" s="198" t="n">
        <v>0</v>
      </c>
    </row>
    <row r="2487" ht="15" customHeight="1" s="104">
      <c r="H2487" s="198" t="n">
        <v>0</v>
      </c>
    </row>
    <row r="2488" ht="15" customHeight="1" s="104">
      <c r="H2488" s="198" t="n">
        <v>0</v>
      </c>
    </row>
    <row r="2489" ht="15" customHeight="1" s="104">
      <c r="H2489" s="198" t="n">
        <v>0</v>
      </c>
    </row>
    <row r="2490" ht="15" customHeight="1" s="104">
      <c r="H2490" s="198" t="n">
        <v>0</v>
      </c>
    </row>
    <row r="2491" ht="15" customHeight="1" s="104">
      <c r="H2491" s="198" t="n">
        <v>0</v>
      </c>
    </row>
    <row r="2492" ht="15" customHeight="1" s="104">
      <c r="H2492" s="198" t="n">
        <v>0</v>
      </c>
    </row>
    <row r="2493" ht="15" customHeight="1" s="104">
      <c r="H2493" s="198" t="n">
        <v>0</v>
      </c>
    </row>
    <row r="2494" ht="15" customHeight="1" s="104">
      <c r="H2494" s="198" t="n">
        <v>0</v>
      </c>
    </row>
    <row r="2495" ht="15" customHeight="1" s="104">
      <c r="H2495" s="198" t="n">
        <v>0</v>
      </c>
    </row>
    <row r="2496" ht="15" customHeight="1" s="104">
      <c r="H2496" s="198" t="n">
        <v>0</v>
      </c>
    </row>
    <row r="2497" ht="15" customHeight="1" s="104">
      <c r="H2497" s="198" t="n">
        <v>0</v>
      </c>
    </row>
    <row r="2498" ht="15" customHeight="1" s="104">
      <c r="H2498" s="198" t="n">
        <v>0</v>
      </c>
    </row>
    <row r="2499" ht="15" customHeight="1" s="104">
      <c r="H2499" s="198" t="n">
        <v>0</v>
      </c>
    </row>
    <row r="2500" ht="15" customHeight="1" s="104">
      <c r="H2500" s="198" t="n">
        <v>0</v>
      </c>
    </row>
    <row r="2501" ht="15" customHeight="1" s="104">
      <c r="H2501" s="198" t="n">
        <v>0</v>
      </c>
    </row>
    <row r="2502" ht="15" customHeight="1" s="104">
      <c r="H2502" s="198" t="n">
        <v>0</v>
      </c>
    </row>
    <row r="2503" ht="15" customHeight="1" s="104">
      <c r="H2503" s="198" t="n">
        <v>0</v>
      </c>
    </row>
    <row r="2504" ht="15" customHeight="1" s="104">
      <c r="H2504" s="198" t="n">
        <v>0</v>
      </c>
    </row>
    <row r="2505" ht="15" customHeight="1" s="104">
      <c r="H2505" s="198" t="n">
        <v>0</v>
      </c>
    </row>
    <row r="2506" ht="15" customHeight="1" s="104">
      <c r="H2506" s="198" t="n">
        <v>0</v>
      </c>
    </row>
    <row r="2507" ht="15" customHeight="1" s="104">
      <c r="H2507" s="198" t="n">
        <v>0</v>
      </c>
    </row>
    <row r="2508" ht="15" customHeight="1" s="104">
      <c r="H2508" s="198" t="n">
        <v>0</v>
      </c>
    </row>
    <row r="2509" ht="15" customHeight="1" s="104">
      <c r="H2509" s="198" t="n">
        <v>0</v>
      </c>
    </row>
    <row r="2510" ht="15" customHeight="1" s="104">
      <c r="H2510" s="198" t="n">
        <v>0</v>
      </c>
    </row>
    <row r="2511" ht="15" customHeight="1" s="104">
      <c r="H2511" s="198" t="n">
        <v>0</v>
      </c>
    </row>
    <row r="2512" ht="15" customHeight="1" s="104">
      <c r="H2512" s="198" t="n">
        <v>0</v>
      </c>
    </row>
    <row r="2513" ht="15" customHeight="1" s="104">
      <c r="H2513" s="198" t="n">
        <v>0</v>
      </c>
    </row>
    <row r="2514" ht="15" customHeight="1" s="104">
      <c r="H2514" s="198" t="n">
        <v>0</v>
      </c>
    </row>
    <row r="2515" ht="15" customHeight="1" s="104">
      <c r="H2515" s="198" t="n">
        <v>0</v>
      </c>
    </row>
    <row r="2516" ht="15" customHeight="1" s="104">
      <c r="H2516" s="198" t="n">
        <v>0</v>
      </c>
    </row>
    <row r="2517" ht="15" customHeight="1" s="104">
      <c r="H2517" s="198" t="n">
        <v>0</v>
      </c>
    </row>
    <row r="2518" ht="15" customHeight="1" s="104">
      <c r="H2518" s="198" t="n">
        <v>0</v>
      </c>
    </row>
    <row r="2519" ht="15" customHeight="1" s="104">
      <c r="H2519" s="198" t="n">
        <v>0</v>
      </c>
    </row>
    <row r="2520" ht="15" customHeight="1" s="104">
      <c r="H2520" s="198" t="n">
        <v>0</v>
      </c>
    </row>
    <row r="2521" ht="15" customHeight="1" s="104">
      <c r="H2521" s="198" t="n">
        <v>0</v>
      </c>
    </row>
    <row r="2522" ht="15" customHeight="1" s="104">
      <c r="H2522" s="198" t="n">
        <v>0</v>
      </c>
    </row>
    <row r="2523" ht="15" customHeight="1" s="104">
      <c r="H2523" s="198" t="n">
        <v>0</v>
      </c>
    </row>
    <row r="2524" ht="15" customHeight="1" s="104">
      <c r="H2524" s="198" t="n">
        <v>0</v>
      </c>
    </row>
    <row r="2525" ht="15" customHeight="1" s="104">
      <c r="H2525" s="198" t="n">
        <v>0</v>
      </c>
    </row>
    <row r="2526" ht="15" customHeight="1" s="104">
      <c r="H2526" s="198" t="n">
        <v>0</v>
      </c>
    </row>
    <row r="2527" ht="15" customHeight="1" s="104">
      <c r="H2527" s="198" t="n">
        <v>0</v>
      </c>
    </row>
    <row r="2528" ht="15" customHeight="1" s="104">
      <c r="H2528" s="198" t="n">
        <v>0</v>
      </c>
    </row>
    <row r="2529" ht="15" customHeight="1" s="104">
      <c r="H2529" s="198" t="n">
        <v>0</v>
      </c>
    </row>
    <row r="2530" ht="15" customHeight="1" s="104">
      <c r="H2530" s="198" t="n">
        <v>0</v>
      </c>
    </row>
    <row r="2531" ht="15" customHeight="1" s="104">
      <c r="H2531" s="198" t="n">
        <v>0</v>
      </c>
    </row>
    <row r="2532" ht="15" customHeight="1" s="104">
      <c r="H2532" s="198" t="n">
        <v>0</v>
      </c>
    </row>
    <row r="2533" ht="15" customHeight="1" s="104">
      <c r="H2533" s="198" t="n">
        <v>0</v>
      </c>
    </row>
    <row r="2534" ht="15" customHeight="1" s="104">
      <c r="H2534" s="198" t="n">
        <v>0</v>
      </c>
    </row>
    <row r="2535" ht="15" customHeight="1" s="104">
      <c r="H2535" s="198" t="n">
        <v>0</v>
      </c>
    </row>
    <row r="2536" ht="15" customHeight="1" s="104">
      <c r="H2536" s="198" t="n">
        <v>0</v>
      </c>
    </row>
    <row r="2537" ht="15" customHeight="1" s="104">
      <c r="H2537" s="198" t="n">
        <v>0</v>
      </c>
    </row>
    <row r="2538" ht="15" customHeight="1" s="104">
      <c r="H2538" s="198" t="n">
        <v>0</v>
      </c>
    </row>
    <row r="2539" ht="15" customHeight="1" s="104">
      <c r="H2539" s="198" t="n">
        <v>0</v>
      </c>
    </row>
    <row r="2540" ht="15" customHeight="1" s="104">
      <c r="H2540" s="198" t="n">
        <v>0</v>
      </c>
    </row>
    <row r="2541" ht="15" customHeight="1" s="104">
      <c r="H2541" s="198" t="n">
        <v>0</v>
      </c>
    </row>
    <row r="2542" ht="15" customHeight="1" s="104">
      <c r="H2542" s="198" t="n">
        <v>0</v>
      </c>
    </row>
    <row r="2543" ht="15" customHeight="1" s="104">
      <c r="H2543" s="198" t="n">
        <v>0</v>
      </c>
    </row>
    <row r="2544" ht="15" customHeight="1" s="104">
      <c r="H2544" s="198" t="n">
        <v>0</v>
      </c>
    </row>
    <row r="2545" ht="15" customHeight="1" s="104">
      <c r="H2545" s="198" t="n">
        <v>0</v>
      </c>
    </row>
    <row r="2546" ht="15" customHeight="1" s="104">
      <c r="H2546" s="198" t="n">
        <v>0</v>
      </c>
    </row>
    <row r="2547" ht="15" customHeight="1" s="104">
      <c r="H2547" s="198" t="n">
        <v>0</v>
      </c>
    </row>
    <row r="2548" ht="15" customHeight="1" s="104">
      <c r="H2548" s="198" t="n">
        <v>0</v>
      </c>
    </row>
    <row r="2549" ht="15" customHeight="1" s="104">
      <c r="H2549" s="198" t="n">
        <v>0</v>
      </c>
    </row>
    <row r="2550" ht="15" customHeight="1" s="104">
      <c r="H2550" s="198" t="n">
        <v>0</v>
      </c>
    </row>
    <row r="2551" ht="15" customHeight="1" s="104">
      <c r="H2551" s="198" t="n">
        <v>0</v>
      </c>
    </row>
    <row r="2552" ht="15" customHeight="1" s="104">
      <c r="H2552" s="198" t="n">
        <v>0</v>
      </c>
    </row>
    <row r="2553" ht="15" customHeight="1" s="104">
      <c r="H2553" s="198" t="n">
        <v>0</v>
      </c>
    </row>
    <row r="2554" ht="15" customHeight="1" s="104">
      <c r="H2554" s="198" t="n">
        <v>0</v>
      </c>
    </row>
    <row r="2555" ht="15" customHeight="1" s="104">
      <c r="H2555" s="198" t="n">
        <v>0</v>
      </c>
    </row>
    <row r="2556" ht="15" customHeight="1" s="104">
      <c r="H2556" s="198" t="n">
        <v>0</v>
      </c>
    </row>
    <row r="2557" ht="15" customHeight="1" s="104">
      <c r="H2557" s="198" t="n">
        <v>0</v>
      </c>
    </row>
    <row r="2558" ht="15" customHeight="1" s="104">
      <c r="H2558" s="198" t="n">
        <v>0</v>
      </c>
    </row>
    <row r="2559" ht="15" customHeight="1" s="104">
      <c r="H2559" s="198" t="n">
        <v>0</v>
      </c>
    </row>
    <row r="2560" ht="15" customHeight="1" s="104">
      <c r="H2560" s="198" t="n">
        <v>0</v>
      </c>
    </row>
    <row r="2561" ht="15" customHeight="1" s="104">
      <c r="H2561" s="198" t="n">
        <v>0</v>
      </c>
    </row>
    <row r="2562" ht="15" customHeight="1" s="104">
      <c r="H2562" s="198" t="n">
        <v>0</v>
      </c>
    </row>
    <row r="2563" ht="15" customHeight="1" s="104">
      <c r="H2563" s="198" t="n">
        <v>0</v>
      </c>
    </row>
    <row r="2564" ht="15" customHeight="1" s="104">
      <c r="H2564" s="198" t="n">
        <v>0</v>
      </c>
    </row>
    <row r="2565" ht="15" customHeight="1" s="104">
      <c r="H2565" s="198" t="n">
        <v>0</v>
      </c>
    </row>
    <row r="2566" ht="15" customHeight="1" s="104">
      <c r="H2566" s="198" t="n">
        <v>0</v>
      </c>
    </row>
    <row r="2567" ht="15" customHeight="1" s="104">
      <c r="H2567" s="198" t="n">
        <v>0</v>
      </c>
    </row>
    <row r="2568" ht="15" customHeight="1" s="104">
      <c r="H2568" s="198" t="n">
        <v>0</v>
      </c>
    </row>
    <row r="2569" ht="15" customHeight="1" s="104">
      <c r="H2569" s="198" t="n">
        <v>0</v>
      </c>
    </row>
    <row r="2570" ht="15" customHeight="1" s="104">
      <c r="H2570" s="198" t="n">
        <v>0</v>
      </c>
    </row>
    <row r="2571" ht="15" customHeight="1" s="104">
      <c r="H2571" s="198" t="n">
        <v>0</v>
      </c>
    </row>
    <row r="2572" ht="15" customHeight="1" s="104">
      <c r="H2572" s="198" t="n">
        <v>0</v>
      </c>
    </row>
    <row r="2573" ht="15" customHeight="1" s="104">
      <c r="H2573" s="198" t="n">
        <v>0</v>
      </c>
    </row>
    <row r="2574" ht="15" customHeight="1" s="104">
      <c r="H2574" s="198" t="n">
        <v>0</v>
      </c>
    </row>
    <row r="2575" ht="15" customHeight="1" s="104">
      <c r="H2575" s="198" t="n">
        <v>0</v>
      </c>
    </row>
    <row r="2576" ht="15" customHeight="1" s="104">
      <c r="H2576" s="198" t="n">
        <v>0</v>
      </c>
    </row>
    <row r="2577" ht="15" customHeight="1" s="104">
      <c r="H2577" s="198" t="n">
        <v>0</v>
      </c>
    </row>
    <row r="2578" ht="15" customHeight="1" s="104">
      <c r="H2578" s="198" t="n">
        <v>0</v>
      </c>
    </row>
    <row r="2579" ht="15" customHeight="1" s="104">
      <c r="H2579" s="198" t="n">
        <v>0</v>
      </c>
    </row>
    <row r="2580" ht="15" customHeight="1" s="104">
      <c r="H2580" s="198" t="n">
        <v>0</v>
      </c>
    </row>
    <row r="2581" ht="15" customHeight="1" s="104">
      <c r="H2581" s="198" t="n">
        <v>0</v>
      </c>
    </row>
    <row r="2582" ht="15" customHeight="1" s="104">
      <c r="H2582" s="198" t="n">
        <v>0</v>
      </c>
    </row>
    <row r="2583" ht="15" customHeight="1" s="104">
      <c r="H2583" s="198" t="n">
        <v>0</v>
      </c>
    </row>
    <row r="2584" ht="15" customHeight="1" s="104">
      <c r="H2584" s="198" t="n">
        <v>0</v>
      </c>
    </row>
    <row r="2585" ht="15" customHeight="1" s="104">
      <c r="H2585" s="198" t="n">
        <v>0</v>
      </c>
    </row>
    <row r="2586" ht="15" customHeight="1" s="104">
      <c r="H2586" s="198" t="n">
        <v>0</v>
      </c>
    </row>
    <row r="2587" ht="15" customHeight="1" s="104">
      <c r="H2587" s="198" t="n">
        <v>0</v>
      </c>
    </row>
    <row r="2588" ht="15" customHeight="1" s="104">
      <c r="H2588" s="198" t="n">
        <v>0</v>
      </c>
    </row>
    <row r="2589" ht="15" customHeight="1" s="104">
      <c r="H2589" s="198" t="n">
        <v>0</v>
      </c>
    </row>
    <row r="2590" ht="15" customHeight="1" s="104">
      <c r="H2590" s="198" t="n">
        <v>0</v>
      </c>
    </row>
    <row r="2591" ht="15" customHeight="1" s="104">
      <c r="H2591" s="198" t="n">
        <v>0</v>
      </c>
    </row>
    <row r="2592" ht="15" customHeight="1" s="104">
      <c r="H2592" s="198" t="n">
        <v>0</v>
      </c>
    </row>
    <row r="2593" ht="15" customHeight="1" s="104">
      <c r="H2593" s="198" t="n">
        <v>0</v>
      </c>
    </row>
    <row r="2594" ht="15" customHeight="1" s="104">
      <c r="H2594" s="198" t="n">
        <v>0</v>
      </c>
    </row>
    <row r="2595" ht="15" customHeight="1" s="104">
      <c r="H2595" s="198" t="n">
        <v>0</v>
      </c>
    </row>
    <row r="2596" ht="15" customHeight="1" s="104">
      <c r="H2596" s="198" t="n">
        <v>0</v>
      </c>
    </row>
    <row r="2597" ht="15" customHeight="1" s="104">
      <c r="H2597" s="198" t="n">
        <v>0</v>
      </c>
    </row>
    <row r="2598" ht="15" customHeight="1" s="104">
      <c r="H2598" s="198" t="n">
        <v>0</v>
      </c>
    </row>
    <row r="2599" ht="15" customHeight="1" s="104">
      <c r="H2599" s="198" t="n">
        <v>0</v>
      </c>
    </row>
    <row r="2600" ht="15" customHeight="1" s="104">
      <c r="H2600" s="198" t="n">
        <v>0</v>
      </c>
    </row>
    <row r="2601" ht="15" customHeight="1" s="104">
      <c r="H2601" s="198" t="n">
        <v>0</v>
      </c>
    </row>
    <row r="2602" ht="15" customHeight="1" s="104">
      <c r="H2602" s="198" t="n">
        <v>0</v>
      </c>
    </row>
    <row r="2603" ht="15" customHeight="1" s="104">
      <c r="H2603" s="198" t="n">
        <v>0</v>
      </c>
    </row>
    <row r="2604" ht="15" customHeight="1" s="104">
      <c r="H2604" s="198" t="n">
        <v>0</v>
      </c>
    </row>
    <row r="2605" ht="15" customHeight="1" s="104">
      <c r="H2605" s="198" t="n">
        <v>0</v>
      </c>
    </row>
    <row r="2606" ht="15" customHeight="1" s="104">
      <c r="H2606" s="198" t="n">
        <v>0</v>
      </c>
    </row>
    <row r="2607" ht="15" customHeight="1" s="104">
      <c r="H2607" s="198" t="n">
        <v>0</v>
      </c>
    </row>
    <row r="2608" ht="15" customHeight="1" s="104">
      <c r="H2608" s="198" t="n">
        <v>0</v>
      </c>
    </row>
    <row r="2609" ht="15" customHeight="1" s="104">
      <c r="H2609" s="198" t="n">
        <v>0</v>
      </c>
    </row>
    <row r="2610" ht="15" customHeight="1" s="104">
      <c r="H2610" s="198" t="n">
        <v>0</v>
      </c>
    </row>
    <row r="2611" ht="15" customHeight="1" s="104">
      <c r="H2611" s="198" t="n">
        <v>0</v>
      </c>
    </row>
    <row r="2612" ht="15" customHeight="1" s="104">
      <c r="H2612" s="198" t="n">
        <v>0</v>
      </c>
    </row>
    <row r="2613" ht="15" customHeight="1" s="104">
      <c r="H2613" s="198" t="n">
        <v>0</v>
      </c>
    </row>
    <row r="2614" ht="15" customHeight="1" s="104">
      <c r="H2614" s="198" t="n">
        <v>0</v>
      </c>
    </row>
    <row r="2615" ht="15" customHeight="1" s="104">
      <c r="H2615" s="198" t="n">
        <v>0</v>
      </c>
    </row>
    <row r="2616" ht="15" customHeight="1" s="104">
      <c r="H2616" s="198" t="n">
        <v>0</v>
      </c>
    </row>
    <row r="2617" ht="15" customHeight="1" s="104">
      <c r="H2617" s="198" t="n">
        <v>0</v>
      </c>
    </row>
    <row r="2618" ht="15" customHeight="1" s="104">
      <c r="H2618" s="198" t="n">
        <v>0</v>
      </c>
    </row>
    <row r="2619" ht="15" customHeight="1" s="104">
      <c r="H2619" s="198" t="n">
        <v>0</v>
      </c>
    </row>
    <row r="2620" ht="15" customHeight="1" s="104">
      <c r="H2620" s="198" t="n">
        <v>0</v>
      </c>
    </row>
    <row r="2621" ht="15" customHeight="1" s="104">
      <c r="H2621" s="198" t="n">
        <v>0</v>
      </c>
    </row>
    <row r="2622" ht="15" customHeight="1" s="104">
      <c r="H2622" s="198" t="n">
        <v>0</v>
      </c>
    </row>
    <row r="2623" ht="15" customHeight="1" s="104">
      <c r="H2623" s="198" t="n">
        <v>0</v>
      </c>
    </row>
    <row r="2624" ht="15" customHeight="1" s="104">
      <c r="H2624" s="198" t="n">
        <v>0</v>
      </c>
    </row>
    <row r="2625" ht="15" customHeight="1" s="104">
      <c r="H2625" s="198" t="n">
        <v>0</v>
      </c>
    </row>
    <row r="2626" ht="15" customHeight="1" s="104">
      <c r="H2626" s="198" t="n">
        <v>0</v>
      </c>
    </row>
    <row r="2627" ht="15" customHeight="1" s="104">
      <c r="H2627" s="198" t="n">
        <v>0</v>
      </c>
    </row>
    <row r="2628" ht="15" customHeight="1" s="104">
      <c r="H2628" s="198" t="n">
        <v>0</v>
      </c>
    </row>
    <row r="2629" ht="15" customHeight="1" s="104">
      <c r="H2629" s="198" t="n">
        <v>0</v>
      </c>
    </row>
    <row r="2630" ht="15" customHeight="1" s="104">
      <c r="H2630" s="198" t="n">
        <v>0</v>
      </c>
    </row>
    <row r="2631" ht="15" customHeight="1" s="104">
      <c r="H2631" s="198" t="n">
        <v>0</v>
      </c>
    </row>
    <row r="2632" ht="15" customHeight="1" s="104">
      <c r="H2632" s="198" t="n">
        <v>0</v>
      </c>
    </row>
    <row r="2633" ht="15" customHeight="1" s="104">
      <c r="H2633" s="198" t="n">
        <v>0</v>
      </c>
    </row>
    <row r="2634" ht="15" customHeight="1" s="104">
      <c r="H2634" s="198" t="n">
        <v>0</v>
      </c>
    </row>
    <row r="2635" ht="15" customHeight="1" s="104">
      <c r="H2635" s="198" t="n">
        <v>0</v>
      </c>
    </row>
    <row r="2636" ht="15" customHeight="1" s="104">
      <c r="H2636" s="198" t="n">
        <v>0</v>
      </c>
    </row>
    <row r="2637" ht="15" customHeight="1" s="104">
      <c r="H2637" s="198" t="n">
        <v>0</v>
      </c>
    </row>
    <row r="2638" ht="15" customHeight="1" s="104">
      <c r="H2638" s="198" t="n">
        <v>0</v>
      </c>
    </row>
    <row r="2639" ht="15" customHeight="1" s="104">
      <c r="H2639" s="198" t="n">
        <v>0</v>
      </c>
    </row>
    <row r="2640" ht="15" customHeight="1" s="104">
      <c r="H2640" s="198" t="n">
        <v>0</v>
      </c>
    </row>
    <row r="2641" ht="15" customHeight="1" s="104">
      <c r="H2641" s="198" t="n">
        <v>0</v>
      </c>
    </row>
    <row r="2642" ht="15" customHeight="1" s="104">
      <c r="H2642" s="198" t="n">
        <v>0</v>
      </c>
    </row>
    <row r="2643" ht="15" customHeight="1" s="104">
      <c r="H2643" s="198" t="n">
        <v>0</v>
      </c>
    </row>
    <row r="2644" ht="15" customHeight="1" s="104">
      <c r="H2644" s="198" t="n">
        <v>0</v>
      </c>
    </row>
    <row r="2645" ht="15" customHeight="1" s="104">
      <c r="H2645" s="198" t="n">
        <v>0</v>
      </c>
    </row>
    <row r="2646" ht="15" customHeight="1" s="104">
      <c r="H2646" s="198" t="n">
        <v>0</v>
      </c>
    </row>
    <row r="2647" ht="15" customHeight="1" s="104">
      <c r="H2647" s="198" t="n">
        <v>0</v>
      </c>
    </row>
    <row r="2648" ht="15" customHeight="1" s="104">
      <c r="H2648" s="198" t="n">
        <v>0</v>
      </c>
    </row>
    <row r="2649" ht="15" customHeight="1" s="104">
      <c r="H2649" s="198" t="n">
        <v>0</v>
      </c>
    </row>
    <row r="2650" ht="15" customHeight="1" s="104">
      <c r="H2650" s="198" t="n">
        <v>0</v>
      </c>
    </row>
    <row r="2651" ht="15" customHeight="1" s="104">
      <c r="H2651" s="198" t="n">
        <v>0</v>
      </c>
    </row>
    <row r="2652" ht="15" customHeight="1" s="104">
      <c r="H2652" s="198" t="n">
        <v>0</v>
      </c>
    </row>
    <row r="2653" ht="15" customHeight="1" s="104">
      <c r="H2653" s="198" t="n">
        <v>0</v>
      </c>
    </row>
    <row r="2654" ht="15" customHeight="1" s="104">
      <c r="H2654" s="198" t="n">
        <v>0</v>
      </c>
    </row>
    <row r="2655" ht="15" customHeight="1" s="104">
      <c r="H2655" s="198" t="n">
        <v>0</v>
      </c>
    </row>
    <row r="2656" ht="15" customHeight="1" s="104">
      <c r="H2656" s="198" t="n">
        <v>0</v>
      </c>
    </row>
    <row r="2657" ht="15" customHeight="1" s="104">
      <c r="H2657" s="198" t="n">
        <v>0</v>
      </c>
    </row>
    <row r="2658" ht="15" customHeight="1" s="104">
      <c r="H2658" s="198" t="n">
        <v>0</v>
      </c>
    </row>
    <row r="2659" ht="15" customHeight="1" s="104">
      <c r="H2659" s="198" t="n">
        <v>0</v>
      </c>
    </row>
    <row r="2660" ht="15" customHeight="1" s="104">
      <c r="H2660" s="198" t="n">
        <v>0</v>
      </c>
    </row>
    <row r="2661" ht="15" customHeight="1" s="104">
      <c r="H2661" s="198" t="n">
        <v>0</v>
      </c>
    </row>
    <row r="2662" ht="15" customHeight="1" s="104">
      <c r="H2662" s="198" t="n">
        <v>0</v>
      </c>
    </row>
    <row r="2663" ht="15" customHeight="1" s="104">
      <c r="H2663" s="198" t="n">
        <v>0</v>
      </c>
    </row>
    <row r="2664" ht="15" customHeight="1" s="104">
      <c r="H2664" s="198" t="n">
        <v>0</v>
      </c>
    </row>
    <row r="2665" ht="15" customHeight="1" s="104">
      <c r="H2665" s="198" t="n">
        <v>0</v>
      </c>
    </row>
    <row r="2666" ht="15" customHeight="1" s="104">
      <c r="H2666" s="198" t="n">
        <v>0</v>
      </c>
    </row>
    <row r="2667" ht="15" customHeight="1" s="104">
      <c r="H2667" s="198" t="n">
        <v>0</v>
      </c>
    </row>
    <row r="2668" ht="15" customHeight="1" s="104">
      <c r="H2668" s="198" t="n">
        <v>0</v>
      </c>
    </row>
    <row r="2669" ht="15" customHeight="1" s="104">
      <c r="H2669" s="198" t="n">
        <v>0</v>
      </c>
    </row>
    <row r="2670" ht="15" customHeight="1" s="104">
      <c r="H2670" s="198" t="n">
        <v>0</v>
      </c>
    </row>
    <row r="2671" ht="15" customHeight="1" s="104">
      <c r="H2671" s="198" t="n">
        <v>0</v>
      </c>
    </row>
    <row r="2672" ht="15" customHeight="1" s="104">
      <c r="H2672" s="198" t="n">
        <v>0</v>
      </c>
    </row>
    <row r="2673" ht="15" customHeight="1" s="104">
      <c r="H2673" s="198" t="n">
        <v>0</v>
      </c>
    </row>
    <row r="2674" ht="15" customHeight="1" s="104">
      <c r="H2674" s="198" t="n">
        <v>0</v>
      </c>
    </row>
    <row r="2675" ht="15" customHeight="1" s="104">
      <c r="H2675" s="198" t="n">
        <v>0</v>
      </c>
    </row>
    <row r="2676" ht="15" customHeight="1" s="104">
      <c r="H2676" s="198" t="n">
        <v>0</v>
      </c>
    </row>
    <row r="2677" ht="15" customHeight="1" s="104">
      <c r="H2677" s="198" t="n">
        <v>0</v>
      </c>
    </row>
    <row r="2678" ht="15" customHeight="1" s="104">
      <c r="H2678" s="198" t="n">
        <v>0</v>
      </c>
    </row>
    <row r="2679" ht="15" customHeight="1" s="104">
      <c r="H2679" s="198" t="n">
        <v>0</v>
      </c>
    </row>
    <row r="2680" ht="15" customHeight="1" s="104">
      <c r="H2680" s="198" t="n">
        <v>0</v>
      </c>
    </row>
    <row r="2681" ht="15" customHeight="1" s="104">
      <c r="H2681" s="198" t="n">
        <v>0</v>
      </c>
    </row>
    <row r="2682" ht="15" customHeight="1" s="104">
      <c r="H2682" s="198" t="n">
        <v>0</v>
      </c>
    </row>
    <row r="2683" ht="15" customHeight="1" s="104">
      <c r="H2683" s="198" t="n">
        <v>0</v>
      </c>
    </row>
    <row r="2684" ht="15" customHeight="1" s="104">
      <c r="H2684" s="198" t="n">
        <v>0</v>
      </c>
    </row>
    <row r="2685" ht="15" customHeight="1" s="104">
      <c r="H2685" s="198" t="n">
        <v>0</v>
      </c>
    </row>
    <row r="2686" ht="15" customHeight="1" s="104">
      <c r="H2686" s="198" t="n">
        <v>0</v>
      </c>
    </row>
    <row r="2687" ht="15" customHeight="1" s="104">
      <c r="H2687" s="198" t="n">
        <v>0</v>
      </c>
    </row>
    <row r="2688" ht="15" customHeight="1" s="104">
      <c r="H2688" s="198" t="n">
        <v>0</v>
      </c>
    </row>
    <row r="2689" ht="15" customHeight="1" s="104">
      <c r="H2689" s="198" t="n">
        <v>0</v>
      </c>
    </row>
    <row r="2690" ht="15" customHeight="1" s="104">
      <c r="H2690" s="198" t="n">
        <v>0</v>
      </c>
    </row>
    <row r="2691" ht="15" customHeight="1" s="104">
      <c r="H2691" s="198" t="n">
        <v>0</v>
      </c>
    </row>
    <row r="2692" ht="15" customHeight="1" s="104">
      <c r="H2692" s="198" t="n">
        <v>0</v>
      </c>
    </row>
    <row r="2693" ht="15" customHeight="1" s="104">
      <c r="H2693" s="198" t="n">
        <v>0</v>
      </c>
    </row>
    <row r="2694" ht="15" customHeight="1" s="104">
      <c r="H2694" s="198" t="n">
        <v>0</v>
      </c>
    </row>
    <row r="2695" ht="15" customHeight="1" s="104">
      <c r="H2695" s="198" t="n">
        <v>0</v>
      </c>
    </row>
    <row r="2696" ht="15" customHeight="1" s="104">
      <c r="H2696" s="198" t="n">
        <v>0</v>
      </c>
    </row>
    <row r="2697" ht="15" customHeight="1" s="104">
      <c r="H2697" s="198" t="n">
        <v>0</v>
      </c>
    </row>
    <row r="2698" ht="15" customHeight="1" s="104">
      <c r="H2698" s="198" t="n">
        <v>0</v>
      </c>
    </row>
    <row r="2699" ht="15" customHeight="1" s="104">
      <c r="H2699" s="198" t="n">
        <v>0</v>
      </c>
    </row>
    <row r="2700" ht="15" customHeight="1" s="104">
      <c r="H2700" s="198" t="n">
        <v>0</v>
      </c>
    </row>
    <row r="2701" ht="15" customHeight="1" s="104">
      <c r="H2701" s="198" t="n">
        <v>0</v>
      </c>
    </row>
    <row r="2702" ht="15" customHeight="1" s="104">
      <c r="H2702" s="198" t="n">
        <v>0</v>
      </c>
    </row>
    <row r="2703" ht="15" customHeight="1" s="104">
      <c r="H2703" s="198" t="n">
        <v>0</v>
      </c>
    </row>
    <row r="2704" ht="15" customHeight="1" s="104">
      <c r="H2704" s="198" t="n">
        <v>0</v>
      </c>
    </row>
    <row r="2705" ht="15" customHeight="1" s="104">
      <c r="H2705" s="198" t="n">
        <v>0</v>
      </c>
    </row>
    <row r="2706" ht="15" customHeight="1" s="104">
      <c r="H2706" s="198" t="n">
        <v>0</v>
      </c>
    </row>
    <row r="2707" ht="15" customHeight="1" s="104">
      <c r="H2707" s="198" t="n">
        <v>0</v>
      </c>
    </row>
    <row r="2708" ht="15" customHeight="1" s="104">
      <c r="H2708" s="198" t="n">
        <v>0</v>
      </c>
    </row>
    <row r="2709" ht="15" customHeight="1" s="104">
      <c r="H2709" s="198" t="n">
        <v>0</v>
      </c>
    </row>
    <row r="2710" ht="15" customHeight="1" s="104">
      <c r="H2710" s="198" t="n">
        <v>0</v>
      </c>
    </row>
    <row r="2711" ht="15" customHeight="1" s="104">
      <c r="H2711" s="198" t="n">
        <v>0</v>
      </c>
    </row>
    <row r="2712" ht="15" customHeight="1" s="104">
      <c r="H2712" s="198" t="n">
        <v>0</v>
      </c>
    </row>
    <row r="2713" ht="15" customHeight="1" s="104">
      <c r="H2713" s="198" t="n">
        <v>0</v>
      </c>
    </row>
    <row r="2714" ht="15" customHeight="1" s="104">
      <c r="H2714" s="198" t="n">
        <v>0</v>
      </c>
    </row>
    <row r="2715" ht="15" customHeight="1" s="104">
      <c r="H2715" s="198" t="n">
        <v>0</v>
      </c>
    </row>
    <row r="2716" ht="15" customHeight="1" s="104">
      <c r="H2716" s="198" t="n">
        <v>0</v>
      </c>
    </row>
    <row r="2717" ht="15" customHeight="1" s="104">
      <c r="H2717" s="198" t="n">
        <v>0</v>
      </c>
    </row>
    <row r="2718" ht="15" customHeight="1" s="104">
      <c r="H2718" s="198" t="n">
        <v>0</v>
      </c>
    </row>
    <row r="2719" ht="15" customHeight="1" s="104">
      <c r="H2719" s="198" t="n">
        <v>0</v>
      </c>
    </row>
    <row r="2720" ht="15" customHeight="1" s="104">
      <c r="H2720" s="198" t="n">
        <v>0</v>
      </c>
    </row>
    <row r="2721" ht="15" customHeight="1" s="104">
      <c r="H2721" s="198" t="n">
        <v>0</v>
      </c>
    </row>
    <row r="2722" ht="15" customHeight="1" s="104">
      <c r="H2722" s="198" t="n">
        <v>0</v>
      </c>
    </row>
    <row r="2723" ht="15" customHeight="1" s="104">
      <c r="H2723" s="198" t="n">
        <v>0</v>
      </c>
    </row>
    <row r="2724" ht="15" customHeight="1" s="104">
      <c r="H2724" s="198" t="n">
        <v>0</v>
      </c>
    </row>
    <row r="2725" ht="15" customHeight="1" s="104">
      <c r="H2725" s="198" t="n">
        <v>0</v>
      </c>
    </row>
    <row r="2726" ht="15" customHeight="1" s="104">
      <c r="H2726" s="198" t="n">
        <v>0</v>
      </c>
    </row>
    <row r="2727" ht="15" customHeight="1" s="104">
      <c r="H2727" s="198" t="n">
        <v>0</v>
      </c>
    </row>
    <row r="2728" ht="15" customHeight="1" s="104">
      <c r="H2728" s="198" t="n">
        <v>0</v>
      </c>
    </row>
    <row r="2729" ht="15" customHeight="1" s="104">
      <c r="H2729" s="198" t="n">
        <v>0</v>
      </c>
    </row>
    <row r="2730" ht="15" customHeight="1" s="104">
      <c r="H2730" s="198" t="n">
        <v>0</v>
      </c>
    </row>
    <row r="2731" ht="15" customHeight="1" s="104">
      <c r="H2731" s="198" t="n">
        <v>0</v>
      </c>
    </row>
    <row r="2732" ht="15" customHeight="1" s="104">
      <c r="H2732" s="198" t="n">
        <v>0</v>
      </c>
    </row>
    <row r="2733" ht="15" customHeight="1" s="104">
      <c r="H2733" s="198" t="n">
        <v>0</v>
      </c>
    </row>
    <row r="2734" ht="15" customHeight="1" s="104">
      <c r="H2734" s="198" t="n">
        <v>0</v>
      </c>
    </row>
    <row r="2735" ht="15" customHeight="1" s="104">
      <c r="H2735" s="198" t="n">
        <v>0</v>
      </c>
    </row>
    <row r="2736" ht="15" customHeight="1" s="104">
      <c r="H2736" s="198" t="n">
        <v>0</v>
      </c>
    </row>
    <row r="2737" ht="15" customHeight="1" s="104">
      <c r="H2737" s="198" t="n">
        <v>0</v>
      </c>
    </row>
    <row r="2738" ht="15" customHeight="1" s="104">
      <c r="H2738" s="198" t="n">
        <v>0</v>
      </c>
    </row>
    <row r="2739" ht="15" customHeight="1" s="104">
      <c r="H2739" s="198" t="n">
        <v>0</v>
      </c>
    </row>
    <row r="2740" ht="15" customHeight="1" s="104">
      <c r="H2740" s="198" t="n">
        <v>0</v>
      </c>
    </row>
    <row r="2741" ht="15" customHeight="1" s="104">
      <c r="H2741" s="198" t="n">
        <v>0</v>
      </c>
    </row>
    <row r="2742" ht="15" customHeight="1" s="104">
      <c r="H2742" s="198" t="n">
        <v>0</v>
      </c>
    </row>
    <row r="2743" ht="15" customHeight="1" s="104">
      <c r="H2743" s="198" t="n">
        <v>0</v>
      </c>
    </row>
    <row r="2744" ht="15" customHeight="1" s="104">
      <c r="H2744" s="198" t="n">
        <v>0</v>
      </c>
    </row>
    <row r="2745" ht="15" customHeight="1" s="104">
      <c r="H2745" s="198" t="n">
        <v>0</v>
      </c>
    </row>
    <row r="2746" ht="15" customHeight="1" s="104">
      <c r="H2746" s="198" t="n">
        <v>0</v>
      </c>
    </row>
    <row r="2747" ht="15" customHeight="1" s="104">
      <c r="H2747" s="198" t="n">
        <v>0</v>
      </c>
    </row>
    <row r="2748" ht="15" customHeight="1" s="104">
      <c r="H2748" s="198" t="n">
        <v>0</v>
      </c>
    </row>
    <row r="2749" ht="15" customHeight="1" s="104">
      <c r="H2749" s="198" t="n">
        <v>0</v>
      </c>
    </row>
    <row r="2750" ht="15" customHeight="1" s="104">
      <c r="H2750" s="198" t="n">
        <v>0</v>
      </c>
    </row>
    <row r="2751" ht="15" customHeight="1" s="104">
      <c r="H2751" s="198" t="n">
        <v>0</v>
      </c>
    </row>
    <row r="2752" ht="15" customHeight="1" s="104">
      <c r="H2752" s="198" t="n">
        <v>0</v>
      </c>
    </row>
    <row r="2753" ht="15" customHeight="1" s="104">
      <c r="H2753" s="198" t="n">
        <v>0</v>
      </c>
    </row>
    <row r="2754" ht="15" customHeight="1" s="104">
      <c r="H2754" s="198" t="n">
        <v>0</v>
      </c>
    </row>
    <row r="2755" ht="15" customHeight="1" s="104">
      <c r="H2755" s="198" t="n">
        <v>0</v>
      </c>
    </row>
    <row r="2756" ht="15" customHeight="1" s="104">
      <c r="H2756" s="198" t="n">
        <v>0</v>
      </c>
    </row>
    <row r="2757" ht="15" customHeight="1" s="104">
      <c r="H2757" s="198" t="n">
        <v>0</v>
      </c>
    </row>
    <row r="2758" ht="15" customHeight="1" s="104">
      <c r="H2758" s="198" t="n">
        <v>0</v>
      </c>
    </row>
    <row r="2759" ht="15" customHeight="1" s="104">
      <c r="H2759" s="198" t="n">
        <v>0</v>
      </c>
    </row>
    <row r="2760" ht="15" customHeight="1" s="104">
      <c r="H2760" s="198" t="n">
        <v>0</v>
      </c>
    </row>
    <row r="2761" ht="15" customHeight="1" s="104">
      <c r="H2761" s="198" t="n">
        <v>0</v>
      </c>
    </row>
    <row r="2762" ht="15" customHeight="1" s="104">
      <c r="H2762" s="198" t="n">
        <v>0</v>
      </c>
    </row>
    <row r="2763" ht="15" customHeight="1" s="104">
      <c r="H2763" s="198" t="n">
        <v>0</v>
      </c>
    </row>
    <row r="2764" ht="15" customHeight="1" s="104">
      <c r="H2764" s="198" t="n">
        <v>0</v>
      </c>
    </row>
    <row r="2765" ht="15" customHeight="1" s="104">
      <c r="H2765" s="198" t="n">
        <v>0</v>
      </c>
    </row>
    <row r="2766" ht="15" customHeight="1" s="104">
      <c r="H2766" s="198" t="n">
        <v>0</v>
      </c>
    </row>
    <row r="2767" ht="15" customHeight="1" s="104">
      <c r="H2767" s="198" t="n">
        <v>0</v>
      </c>
    </row>
    <row r="2768" ht="15" customHeight="1" s="104">
      <c r="H2768" s="198" t="n">
        <v>0</v>
      </c>
    </row>
    <row r="2769" ht="15" customHeight="1" s="104">
      <c r="H2769" s="198" t="n">
        <v>0</v>
      </c>
    </row>
    <row r="2770" ht="15" customHeight="1" s="104">
      <c r="H2770" s="198" t="n">
        <v>0</v>
      </c>
    </row>
    <row r="2771" ht="15" customHeight="1" s="104">
      <c r="H2771" s="198" t="n">
        <v>0</v>
      </c>
    </row>
    <row r="2772" ht="15" customHeight="1" s="104">
      <c r="H2772" s="198" t="n">
        <v>0</v>
      </c>
    </row>
    <row r="2773" ht="15" customHeight="1" s="104">
      <c r="H2773" s="198" t="n">
        <v>0</v>
      </c>
    </row>
    <row r="2774" ht="15" customHeight="1" s="104">
      <c r="H2774" s="198" t="n">
        <v>0</v>
      </c>
    </row>
    <row r="2775" ht="15" customHeight="1" s="104">
      <c r="H2775" s="198" t="n">
        <v>0</v>
      </c>
    </row>
    <row r="2776" ht="15" customHeight="1" s="104">
      <c r="H2776" s="198" t="n">
        <v>0</v>
      </c>
    </row>
    <row r="2777" ht="15" customHeight="1" s="104">
      <c r="H2777" s="198" t="n">
        <v>0</v>
      </c>
    </row>
    <row r="2778" ht="15" customHeight="1" s="104">
      <c r="H2778" s="198" t="n">
        <v>0</v>
      </c>
    </row>
    <row r="2779" ht="15" customHeight="1" s="104">
      <c r="H2779" s="198" t="n">
        <v>0</v>
      </c>
    </row>
    <row r="2780" ht="15" customHeight="1" s="104">
      <c r="H2780" s="198" t="n">
        <v>0</v>
      </c>
    </row>
    <row r="2781" ht="15" customHeight="1" s="104">
      <c r="H2781" s="198" t="n">
        <v>0</v>
      </c>
    </row>
    <row r="2782" ht="15" customHeight="1" s="104">
      <c r="H2782" s="198" t="n">
        <v>0</v>
      </c>
    </row>
    <row r="2783" ht="15" customHeight="1" s="104">
      <c r="H2783" s="198" t="n">
        <v>0</v>
      </c>
    </row>
    <row r="2784" ht="15" customHeight="1" s="104">
      <c r="H2784" s="198" t="n">
        <v>0</v>
      </c>
    </row>
    <row r="2785" ht="15" customHeight="1" s="104">
      <c r="H2785" s="198" t="n">
        <v>0</v>
      </c>
    </row>
    <row r="2786" ht="15" customHeight="1" s="104">
      <c r="H2786" s="198" t="n">
        <v>0</v>
      </c>
    </row>
    <row r="2787" ht="15" customHeight="1" s="104">
      <c r="H2787" s="198" t="n">
        <v>0</v>
      </c>
    </row>
    <row r="2788" ht="15" customHeight="1" s="104">
      <c r="H2788" s="198" t="n">
        <v>0</v>
      </c>
    </row>
    <row r="2789" ht="15" customHeight="1" s="104">
      <c r="H2789" s="198" t="n">
        <v>0</v>
      </c>
    </row>
    <row r="2790" ht="15" customHeight="1" s="104">
      <c r="H2790" s="198" t="n">
        <v>0</v>
      </c>
    </row>
    <row r="2791" ht="15" customHeight="1" s="104">
      <c r="H2791" s="198" t="n">
        <v>0</v>
      </c>
    </row>
    <row r="2792" ht="15" customHeight="1" s="104">
      <c r="H2792" s="198" t="n">
        <v>0</v>
      </c>
    </row>
    <row r="2793" ht="15" customHeight="1" s="104">
      <c r="H2793" s="198" t="n">
        <v>0</v>
      </c>
    </row>
    <row r="2794" ht="15" customHeight="1" s="104">
      <c r="H2794" s="198" t="n">
        <v>0</v>
      </c>
    </row>
    <row r="2795" ht="15" customHeight="1" s="104">
      <c r="H2795" s="198" t="n">
        <v>0</v>
      </c>
    </row>
    <row r="2796" ht="15" customHeight="1" s="104">
      <c r="H2796" s="198" t="n">
        <v>0</v>
      </c>
    </row>
    <row r="2797" ht="15" customHeight="1" s="104">
      <c r="H2797" s="198" t="n">
        <v>0</v>
      </c>
    </row>
    <row r="2798" ht="15" customHeight="1" s="104">
      <c r="H2798" s="198" t="n">
        <v>0</v>
      </c>
    </row>
    <row r="2799" ht="15" customHeight="1" s="104">
      <c r="H2799" s="198" t="n">
        <v>0</v>
      </c>
    </row>
    <row r="2800" ht="15" customHeight="1" s="104">
      <c r="H2800" s="198" t="n">
        <v>0</v>
      </c>
    </row>
    <row r="2801" ht="15" customHeight="1" s="104">
      <c r="H2801" s="198" t="n">
        <v>0</v>
      </c>
    </row>
    <row r="2802" ht="15" customHeight="1" s="104">
      <c r="H2802" s="198" t="n">
        <v>0</v>
      </c>
    </row>
    <row r="2803" ht="15" customHeight="1" s="104">
      <c r="H2803" s="198" t="n">
        <v>0</v>
      </c>
    </row>
    <row r="2804" ht="15" customHeight="1" s="104">
      <c r="H2804" s="198" t="n">
        <v>0</v>
      </c>
    </row>
    <row r="2805" ht="15" customHeight="1" s="104">
      <c r="H2805" s="198" t="n">
        <v>0</v>
      </c>
    </row>
    <row r="2806" ht="15" customHeight="1" s="104">
      <c r="H2806" s="198" t="n">
        <v>0</v>
      </c>
    </row>
    <row r="2807" ht="15" customHeight="1" s="104">
      <c r="H2807" s="198" t="n">
        <v>0</v>
      </c>
    </row>
    <row r="2808" ht="15" customHeight="1" s="104">
      <c r="H2808" s="198" t="n">
        <v>0</v>
      </c>
    </row>
    <row r="2809" ht="15" customHeight="1" s="104">
      <c r="H2809" s="198" t="n">
        <v>0</v>
      </c>
    </row>
    <row r="2810" ht="15" customHeight="1" s="104">
      <c r="H2810" s="198" t="n">
        <v>0</v>
      </c>
    </row>
    <row r="2811" ht="15" customHeight="1" s="104">
      <c r="H2811" s="198" t="n">
        <v>0</v>
      </c>
    </row>
    <row r="2812" ht="15" customHeight="1" s="104">
      <c r="H2812" s="198" t="n">
        <v>0</v>
      </c>
    </row>
    <row r="2813" ht="15" customHeight="1" s="104">
      <c r="H2813" s="198" t="n">
        <v>0</v>
      </c>
    </row>
    <row r="2814" ht="15" customHeight="1" s="104">
      <c r="H2814" s="198" t="n">
        <v>0</v>
      </c>
    </row>
    <row r="2815" ht="15" customHeight="1" s="104">
      <c r="H2815" s="198" t="n">
        <v>0</v>
      </c>
    </row>
    <row r="2816" ht="15" customHeight="1" s="104">
      <c r="H2816" s="198" t="n">
        <v>0</v>
      </c>
    </row>
    <row r="2817" ht="15" customHeight="1" s="104">
      <c r="H2817" s="198" t="n">
        <v>0</v>
      </c>
    </row>
    <row r="2818" ht="15" customHeight="1" s="104">
      <c r="H2818" s="198" t="n">
        <v>0</v>
      </c>
    </row>
    <row r="2819" ht="15" customHeight="1" s="104">
      <c r="H2819" s="198" t="n">
        <v>0</v>
      </c>
    </row>
    <row r="2820" ht="15" customHeight="1" s="104">
      <c r="H2820" s="198" t="n">
        <v>0</v>
      </c>
    </row>
    <row r="2821" ht="15" customHeight="1" s="104">
      <c r="H2821" s="198" t="n">
        <v>0</v>
      </c>
    </row>
    <row r="2822" ht="15" customHeight="1" s="104">
      <c r="H2822" s="198" t="n">
        <v>0</v>
      </c>
    </row>
    <row r="2823" ht="15" customHeight="1" s="104">
      <c r="H2823" s="198" t="n">
        <v>0</v>
      </c>
    </row>
    <row r="2824" ht="15" customHeight="1" s="104">
      <c r="H2824" s="198" t="n">
        <v>0</v>
      </c>
    </row>
    <row r="2825" ht="15" customHeight="1" s="104">
      <c r="H2825" s="198" t="n">
        <v>0</v>
      </c>
    </row>
    <row r="2826" ht="15" customHeight="1" s="104">
      <c r="H2826" s="198" t="n">
        <v>0</v>
      </c>
    </row>
    <row r="2827" ht="15" customHeight="1" s="104">
      <c r="H2827" s="198" t="n">
        <v>0</v>
      </c>
    </row>
    <row r="2828" ht="15" customHeight="1" s="104">
      <c r="H2828" s="198" t="n">
        <v>0</v>
      </c>
    </row>
    <row r="2829" ht="15" customHeight="1" s="104">
      <c r="H2829" s="198" t="n">
        <v>0</v>
      </c>
    </row>
    <row r="2830" ht="15" customHeight="1" s="104">
      <c r="H2830" s="198" t="n">
        <v>0</v>
      </c>
    </row>
    <row r="2831" ht="15" customHeight="1" s="104">
      <c r="H2831" s="198" t="n">
        <v>0</v>
      </c>
    </row>
    <row r="2832" ht="15" customHeight="1" s="104">
      <c r="H2832" s="198" t="n">
        <v>0</v>
      </c>
    </row>
    <row r="2833" ht="15" customHeight="1" s="104">
      <c r="H2833" s="198" t="n">
        <v>0</v>
      </c>
    </row>
    <row r="2834" ht="15" customHeight="1" s="104">
      <c r="H2834" s="198" t="n">
        <v>0</v>
      </c>
    </row>
    <row r="2835" ht="15" customHeight="1" s="104">
      <c r="H2835" s="198" t="n">
        <v>0</v>
      </c>
    </row>
    <row r="2836" ht="15" customHeight="1" s="104">
      <c r="H2836" s="198" t="n">
        <v>0</v>
      </c>
    </row>
    <row r="2837" ht="15" customHeight="1" s="104">
      <c r="H2837" s="198" t="n">
        <v>0</v>
      </c>
    </row>
    <row r="2838" ht="15" customHeight="1" s="104">
      <c r="H2838" s="198" t="n">
        <v>0</v>
      </c>
    </row>
    <row r="2839" ht="15" customHeight="1" s="104">
      <c r="H2839" s="198" t="n">
        <v>0</v>
      </c>
    </row>
    <row r="2840" ht="15" customHeight="1" s="104">
      <c r="H2840" s="198" t="n">
        <v>0</v>
      </c>
    </row>
    <row r="2841" ht="15" customHeight="1" s="104">
      <c r="H2841" s="198" t="n">
        <v>0</v>
      </c>
    </row>
    <row r="2842" ht="15" customHeight="1" s="104">
      <c r="H2842" s="198" t="n">
        <v>0</v>
      </c>
    </row>
    <row r="2843" ht="15" customHeight="1" s="104">
      <c r="H2843" s="198" t="n">
        <v>0</v>
      </c>
    </row>
    <row r="2844" ht="15" customHeight="1" s="104">
      <c r="H2844" s="198" t="n">
        <v>0</v>
      </c>
    </row>
    <row r="2845" ht="15" customHeight="1" s="104">
      <c r="H2845" s="198" t="n">
        <v>0</v>
      </c>
    </row>
    <row r="2846" ht="15" customHeight="1" s="104">
      <c r="H2846" s="198" t="n">
        <v>0</v>
      </c>
    </row>
    <row r="2847" ht="15" customHeight="1" s="104">
      <c r="H2847" s="198" t="n">
        <v>0</v>
      </c>
    </row>
    <row r="2848" ht="15" customHeight="1" s="104">
      <c r="H2848" s="198" t="n">
        <v>0</v>
      </c>
    </row>
    <row r="2849" ht="15" customHeight="1" s="104">
      <c r="H2849" s="198" t="n">
        <v>0</v>
      </c>
    </row>
    <row r="2850" ht="15" customHeight="1" s="104">
      <c r="H2850" s="198" t="n">
        <v>0</v>
      </c>
    </row>
    <row r="2851" ht="15" customHeight="1" s="104">
      <c r="H2851" s="198" t="n">
        <v>0</v>
      </c>
    </row>
    <row r="2852" ht="15" customHeight="1" s="104">
      <c r="H2852" s="198" t="n">
        <v>0</v>
      </c>
    </row>
    <row r="2853" ht="15" customHeight="1" s="104">
      <c r="H2853" s="198" t="n">
        <v>0</v>
      </c>
    </row>
    <row r="2854" ht="15" customHeight="1" s="104">
      <c r="H2854" s="198" t="n">
        <v>0</v>
      </c>
    </row>
    <row r="2855" ht="15" customHeight="1" s="104">
      <c r="H2855" s="198" t="n">
        <v>0</v>
      </c>
    </row>
    <row r="2856" ht="15" customHeight="1" s="104">
      <c r="H2856" s="198" t="n">
        <v>0</v>
      </c>
    </row>
    <row r="2857" ht="15" customHeight="1" s="104">
      <c r="H2857" s="198" t="n">
        <v>0</v>
      </c>
    </row>
    <row r="2858" ht="15" customHeight="1" s="104">
      <c r="H2858" s="198" t="n">
        <v>0</v>
      </c>
    </row>
    <row r="2859" ht="15" customHeight="1" s="104">
      <c r="H2859" s="198" t="n">
        <v>0</v>
      </c>
    </row>
    <row r="2860" ht="15" customHeight="1" s="104">
      <c r="H2860" s="198" t="n">
        <v>0</v>
      </c>
    </row>
    <row r="2861" ht="15" customHeight="1" s="104">
      <c r="H2861" s="198" t="n">
        <v>0</v>
      </c>
    </row>
    <row r="2862" ht="15" customHeight="1" s="104">
      <c r="H2862" s="198" t="n">
        <v>0</v>
      </c>
    </row>
    <row r="2863" ht="15" customHeight="1" s="104">
      <c r="H2863" s="198" t="n">
        <v>0</v>
      </c>
    </row>
    <row r="2864" ht="15" customHeight="1" s="104">
      <c r="H2864" s="198" t="n">
        <v>0</v>
      </c>
    </row>
    <row r="2865" ht="15" customHeight="1" s="104">
      <c r="H2865" s="198" t="n">
        <v>0</v>
      </c>
    </row>
    <row r="2866" ht="15" customHeight="1" s="104">
      <c r="H2866" s="198" t="n">
        <v>0</v>
      </c>
    </row>
    <row r="2867" ht="15" customHeight="1" s="104">
      <c r="H2867" s="198" t="n">
        <v>0</v>
      </c>
    </row>
    <row r="2868" ht="15" customHeight="1" s="104">
      <c r="H2868" s="198" t="n">
        <v>0</v>
      </c>
    </row>
    <row r="2869" ht="15" customHeight="1" s="104">
      <c r="H2869" s="198" t="n">
        <v>0</v>
      </c>
    </row>
    <row r="2870" ht="15" customHeight="1" s="104">
      <c r="H2870" s="198" t="n">
        <v>0</v>
      </c>
    </row>
    <row r="2871" ht="15" customHeight="1" s="104">
      <c r="H2871" s="198" t="n">
        <v>0</v>
      </c>
    </row>
    <row r="2872" ht="15" customHeight="1" s="104">
      <c r="H2872" s="198" t="n">
        <v>0</v>
      </c>
    </row>
    <row r="2873" ht="15" customHeight="1" s="104">
      <c r="H2873" s="198" t="n">
        <v>0</v>
      </c>
    </row>
    <row r="2874" ht="15" customHeight="1" s="104">
      <c r="H2874" s="198" t="n">
        <v>0</v>
      </c>
    </row>
    <row r="2875" ht="15" customHeight="1" s="104">
      <c r="H2875" s="198" t="n">
        <v>0</v>
      </c>
    </row>
    <row r="2876" ht="15" customHeight="1" s="104">
      <c r="H2876" s="198" t="n">
        <v>0</v>
      </c>
    </row>
    <row r="2877" ht="15" customHeight="1" s="104">
      <c r="H2877" s="198" t="n">
        <v>0</v>
      </c>
    </row>
    <row r="2878" ht="15" customHeight="1" s="104">
      <c r="H2878" s="198" t="n">
        <v>0</v>
      </c>
    </row>
    <row r="2879" ht="15" customHeight="1" s="104">
      <c r="H2879" s="198" t="n">
        <v>0</v>
      </c>
    </row>
    <row r="2880" ht="15" customHeight="1" s="104">
      <c r="H2880" s="198" t="n">
        <v>0</v>
      </c>
    </row>
    <row r="2881" ht="15" customHeight="1" s="104">
      <c r="H2881" s="198" t="n">
        <v>0</v>
      </c>
    </row>
    <row r="2882" ht="15" customHeight="1" s="104">
      <c r="H2882" s="198" t="n">
        <v>0</v>
      </c>
    </row>
    <row r="2883" ht="15" customHeight="1" s="104">
      <c r="H2883" s="198" t="n">
        <v>0</v>
      </c>
    </row>
    <row r="2884" ht="15" customHeight="1" s="104">
      <c r="H2884" s="198" t="n">
        <v>0</v>
      </c>
    </row>
    <row r="2885" ht="15" customHeight="1" s="104">
      <c r="H2885" s="198" t="n">
        <v>0</v>
      </c>
    </row>
    <row r="2886" ht="15" customHeight="1" s="104">
      <c r="H2886" s="198" t="n">
        <v>0</v>
      </c>
    </row>
    <row r="2887" ht="15" customHeight="1" s="104">
      <c r="H2887" s="198" t="n">
        <v>0</v>
      </c>
    </row>
    <row r="2888" ht="15" customHeight="1" s="104">
      <c r="H2888" s="198" t="n">
        <v>0</v>
      </c>
    </row>
    <row r="2889" ht="15" customHeight="1" s="104">
      <c r="H2889" s="198" t="n">
        <v>0</v>
      </c>
    </row>
    <row r="2890" ht="15" customHeight="1" s="104">
      <c r="H2890" s="198" t="n">
        <v>0</v>
      </c>
    </row>
    <row r="2891" ht="15" customHeight="1" s="104">
      <c r="H2891" s="198" t="n">
        <v>0</v>
      </c>
    </row>
    <row r="2892" ht="15" customHeight="1" s="104">
      <c r="H2892" s="198" t="n">
        <v>0</v>
      </c>
    </row>
    <row r="2893" ht="15" customHeight="1" s="104">
      <c r="H2893" s="198" t="n">
        <v>0</v>
      </c>
    </row>
    <row r="2894" ht="15" customHeight="1" s="104">
      <c r="H2894" s="198" t="n">
        <v>0</v>
      </c>
    </row>
    <row r="2895" ht="15" customHeight="1" s="104">
      <c r="H2895" s="198" t="n">
        <v>0</v>
      </c>
    </row>
    <row r="2896" ht="15" customHeight="1" s="104">
      <c r="H2896" s="198" t="n">
        <v>0</v>
      </c>
    </row>
    <row r="2897" ht="15" customHeight="1" s="104">
      <c r="H2897" s="198" t="n">
        <v>0</v>
      </c>
    </row>
    <row r="2898" ht="15" customHeight="1" s="104">
      <c r="H2898" s="198" t="n">
        <v>0</v>
      </c>
    </row>
    <row r="2899" ht="15" customHeight="1" s="104">
      <c r="H2899" s="198" t="n">
        <v>0</v>
      </c>
    </row>
    <row r="2900" ht="15" customHeight="1" s="104">
      <c r="H2900" s="198" t="n">
        <v>0</v>
      </c>
    </row>
    <row r="2901" ht="15" customHeight="1" s="104">
      <c r="H2901" s="198" t="n">
        <v>0</v>
      </c>
    </row>
    <row r="2902" ht="15" customHeight="1" s="104">
      <c r="H2902" s="198" t="n">
        <v>0</v>
      </c>
    </row>
    <row r="2903" ht="15" customHeight="1" s="104">
      <c r="H2903" s="198" t="n">
        <v>0</v>
      </c>
    </row>
    <row r="2904" ht="15" customHeight="1" s="104">
      <c r="H2904" s="198" t="n">
        <v>0</v>
      </c>
    </row>
    <row r="2905" ht="15" customHeight="1" s="104">
      <c r="H2905" s="198" t="n">
        <v>0</v>
      </c>
    </row>
    <row r="2906" ht="15" customHeight="1" s="104">
      <c r="H2906" s="198" t="n">
        <v>0</v>
      </c>
    </row>
    <row r="2907" ht="15" customHeight="1" s="104">
      <c r="H2907" s="198" t="n">
        <v>0</v>
      </c>
    </row>
    <row r="2908" ht="15" customHeight="1" s="104">
      <c r="H2908" s="198" t="n">
        <v>0</v>
      </c>
    </row>
    <row r="2909" ht="15" customHeight="1" s="104">
      <c r="H2909" s="198" t="n">
        <v>0</v>
      </c>
    </row>
    <row r="2910" ht="15" customHeight="1" s="104">
      <c r="H2910" s="198" t="n">
        <v>0</v>
      </c>
    </row>
    <row r="2911" ht="15" customHeight="1" s="104">
      <c r="H2911" s="198" t="n">
        <v>0</v>
      </c>
    </row>
    <row r="2912" ht="15" customHeight="1" s="104">
      <c r="H2912" s="198" t="n">
        <v>0</v>
      </c>
    </row>
    <row r="2913" ht="15" customHeight="1" s="104">
      <c r="H2913" s="198" t="n">
        <v>0</v>
      </c>
    </row>
    <row r="2914" ht="15" customHeight="1" s="104">
      <c r="H2914" s="198" t="n">
        <v>0</v>
      </c>
    </row>
    <row r="2915" ht="15" customHeight="1" s="104">
      <c r="H2915" s="198" t="n">
        <v>0</v>
      </c>
    </row>
    <row r="2916" ht="15" customHeight="1" s="104">
      <c r="H2916" s="198" t="n">
        <v>0</v>
      </c>
    </row>
    <row r="2917" ht="15" customHeight="1" s="104">
      <c r="H2917" s="198" t="n">
        <v>0</v>
      </c>
    </row>
    <row r="2918" ht="15" customHeight="1" s="104">
      <c r="H2918" s="198" t="n">
        <v>0</v>
      </c>
    </row>
    <row r="2919" ht="15" customHeight="1" s="104">
      <c r="H2919" s="198" t="n">
        <v>0</v>
      </c>
    </row>
    <row r="2920" ht="15" customHeight="1" s="104">
      <c r="H2920" s="198" t="n">
        <v>0</v>
      </c>
    </row>
    <row r="2921" ht="15" customHeight="1" s="104">
      <c r="H2921" s="198" t="n">
        <v>0</v>
      </c>
    </row>
    <row r="2922" ht="15" customHeight="1" s="104">
      <c r="H2922" s="198" t="n">
        <v>0</v>
      </c>
    </row>
    <row r="2923" ht="15" customHeight="1" s="104">
      <c r="H2923" s="198" t="n">
        <v>0</v>
      </c>
    </row>
    <row r="2924" ht="15" customHeight="1" s="104">
      <c r="H2924" s="198" t="n">
        <v>0</v>
      </c>
    </row>
    <row r="2925" ht="15" customHeight="1" s="104">
      <c r="H2925" s="198" t="n">
        <v>0</v>
      </c>
    </row>
    <row r="2926" ht="15" customHeight="1" s="104">
      <c r="H2926" s="198" t="n">
        <v>0</v>
      </c>
    </row>
    <row r="2927" ht="15" customHeight="1" s="104">
      <c r="H2927" s="198" t="n">
        <v>0</v>
      </c>
    </row>
    <row r="2928" ht="15" customHeight="1" s="104">
      <c r="H2928" s="198" t="n">
        <v>0</v>
      </c>
    </row>
    <row r="2929" ht="15" customHeight="1" s="104">
      <c r="H2929" s="198" t="n">
        <v>0</v>
      </c>
    </row>
    <row r="2930" ht="15" customHeight="1" s="104">
      <c r="H2930" s="198" t="n">
        <v>0</v>
      </c>
    </row>
    <row r="2931" ht="15" customHeight="1" s="104">
      <c r="H2931" s="198" t="n">
        <v>0</v>
      </c>
    </row>
    <row r="2932" ht="15" customHeight="1" s="104">
      <c r="H2932" s="198" t="n">
        <v>0</v>
      </c>
    </row>
    <row r="2933" ht="15" customHeight="1" s="104">
      <c r="H2933" s="198" t="n">
        <v>0</v>
      </c>
    </row>
    <row r="2934" ht="15" customHeight="1" s="104">
      <c r="H2934" s="198" t="n">
        <v>0</v>
      </c>
    </row>
    <row r="2935" ht="15" customHeight="1" s="104">
      <c r="H2935" s="198" t="n">
        <v>0</v>
      </c>
    </row>
    <row r="2936" ht="15" customHeight="1" s="104">
      <c r="H2936" s="198" t="n">
        <v>0</v>
      </c>
    </row>
    <row r="2937" ht="15" customHeight="1" s="104">
      <c r="H2937" s="198" t="n">
        <v>0</v>
      </c>
    </row>
    <row r="2938" ht="15" customHeight="1" s="104">
      <c r="H2938" s="198" t="n">
        <v>0</v>
      </c>
    </row>
    <row r="2939" ht="15" customHeight="1" s="104">
      <c r="H2939" s="198" t="n">
        <v>0</v>
      </c>
    </row>
    <row r="2940" ht="15" customHeight="1" s="104">
      <c r="H2940" s="198" t="n">
        <v>0</v>
      </c>
    </row>
    <row r="2941" ht="15" customHeight="1" s="104">
      <c r="H2941" s="198" t="n">
        <v>0</v>
      </c>
    </row>
    <row r="2942" ht="15" customHeight="1" s="104">
      <c r="H2942" s="198" t="n">
        <v>0</v>
      </c>
    </row>
    <row r="2943" ht="15" customHeight="1" s="104">
      <c r="H2943" s="198" t="n">
        <v>0</v>
      </c>
    </row>
    <row r="2944" ht="15" customHeight="1" s="104">
      <c r="H2944" s="198" t="n">
        <v>0</v>
      </c>
    </row>
    <row r="2945" ht="15" customHeight="1" s="104">
      <c r="H2945" s="198" t="n">
        <v>0</v>
      </c>
    </row>
    <row r="2946" ht="15" customHeight="1" s="104">
      <c r="H2946" s="198" t="n">
        <v>0</v>
      </c>
    </row>
    <row r="2947" ht="15" customHeight="1" s="104">
      <c r="H2947" s="198" t="n">
        <v>0</v>
      </c>
    </row>
    <row r="2948" ht="15" customHeight="1" s="104">
      <c r="H2948" s="198" t="n">
        <v>0</v>
      </c>
    </row>
    <row r="2949" ht="15" customHeight="1" s="104">
      <c r="H2949" s="198" t="n">
        <v>0</v>
      </c>
    </row>
    <row r="2950" ht="15" customHeight="1" s="104">
      <c r="H2950" s="198" t="n">
        <v>0</v>
      </c>
    </row>
    <row r="2951" ht="15" customHeight="1" s="104">
      <c r="H2951" s="198" t="n">
        <v>0</v>
      </c>
    </row>
    <row r="2952" ht="15" customHeight="1" s="104">
      <c r="H2952" s="198" t="n">
        <v>0</v>
      </c>
    </row>
    <row r="2953" ht="15" customHeight="1" s="104">
      <c r="H2953" s="198" t="n">
        <v>0</v>
      </c>
    </row>
    <row r="2954" ht="15" customHeight="1" s="104">
      <c r="H2954" s="198" t="n">
        <v>0</v>
      </c>
    </row>
    <row r="2955" ht="15" customHeight="1" s="104">
      <c r="H2955" s="198" t="n">
        <v>0</v>
      </c>
    </row>
    <row r="2956" ht="15" customHeight="1" s="104">
      <c r="H2956" s="198" t="n">
        <v>0</v>
      </c>
    </row>
    <row r="2957" ht="15" customHeight="1" s="104">
      <c r="H2957" s="198" t="n">
        <v>0</v>
      </c>
    </row>
    <row r="2958" ht="15" customHeight="1" s="104">
      <c r="H2958" s="198" t="n">
        <v>0</v>
      </c>
    </row>
    <row r="2959" ht="15" customHeight="1" s="104">
      <c r="H2959" s="198" t="n">
        <v>0</v>
      </c>
    </row>
    <row r="2960" ht="15" customHeight="1" s="104">
      <c r="H2960" s="198" t="n">
        <v>0</v>
      </c>
    </row>
    <row r="2961" ht="15" customHeight="1" s="104">
      <c r="H2961" s="198" t="n">
        <v>0</v>
      </c>
    </row>
    <row r="2962" ht="15" customHeight="1" s="104">
      <c r="H2962" s="198" t="n">
        <v>0</v>
      </c>
    </row>
    <row r="2963" ht="15" customHeight="1" s="104">
      <c r="H2963" s="198" t="n">
        <v>0</v>
      </c>
    </row>
    <row r="2964" ht="15" customHeight="1" s="104">
      <c r="H2964" s="198" t="n">
        <v>0</v>
      </c>
    </row>
    <row r="2965" ht="15" customHeight="1" s="104">
      <c r="H2965" s="198" t="n">
        <v>0</v>
      </c>
    </row>
    <row r="2966" ht="15" customHeight="1" s="104">
      <c r="H2966" s="198" t="n">
        <v>0</v>
      </c>
    </row>
    <row r="2967" ht="15" customHeight="1" s="104">
      <c r="H2967" s="198" t="n">
        <v>0</v>
      </c>
    </row>
    <row r="2968" ht="15" customHeight="1" s="104">
      <c r="H2968" s="198" t="n">
        <v>0</v>
      </c>
    </row>
    <row r="2969" ht="15" customHeight="1" s="104">
      <c r="H2969" s="198" t="n">
        <v>0</v>
      </c>
    </row>
    <row r="2970" ht="15" customHeight="1" s="104">
      <c r="H2970" s="198" t="n">
        <v>0</v>
      </c>
    </row>
    <row r="2971" ht="15" customHeight="1" s="104">
      <c r="H2971" s="198" t="n">
        <v>0</v>
      </c>
    </row>
    <row r="2972" ht="15" customHeight="1" s="104">
      <c r="H2972" s="198" t="n">
        <v>0</v>
      </c>
    </row>
    <row r="2973" ht="15" customHeight="1" s="104">
      <c r="H2973" s="198" t="n">
        <v>0</v>
      </c>
    </row>
    <row r="2974" ht="15" customHeight="1" s="104">
      <c r="H2974" s="198" t="n">
        <v>0</v>
      </c>
    </row>
    <row r="2975" ht="15" customHeight="1" s="104">
      <c r="H2975" s="198" t="n">
        <v>0</v>
      </c>
    </row>
    <row r="2976" ht="15" customHeight="1" s="104">
      <c r="H2976" s="198" t="n">
        <v>0</v>
      </c>
    </row>
    <row r="2977" ht="15" customHeight="1" s="104">
      <c r="H2977" s="198" t="n">
        <v>0</v>
      </c>
    </row>
    <row r="2978" ht="15" customHeight="1" s="104">
      <c r="H2978" s="198" t="n">
        <v>0</v>
      </c>
    </row>
    <row r="2979" ht="15" customHeight="1" s="104">
      <c r="H2979" s="198" t="n">
        <v>0</v>
      </c>
    </row>
    <row r="2980" ht="15" customHeight="1" s="104">
      <c r="H2980" s="198" t="n">
        <v>0</v>
      </c>
    </row>
    <row r="2981" ht="15" customHeight="1" s="104">
      <c r="H2981" s="198" t="n">
        <v>0</v>
      </c>
    </row>
    <row r="2982" ht="15" customHeight="1" s="104">
      <c r="H2982" s="198" t="n">
        <v>0</v>
      </c>
    </row>
    <row r="2983" ht="15" customHeight="1" s="104">
      <c r="H2983" s="198" t="n">
        <v>0</v>
      </c>
    </row>
    <row r="2984" ht="15" customHeight="1" s="104">
      <c r="H2984" s="198" t="n">
        <v>0</v>
      </c>
    </row>
    <row r="2985" ht="15" customHeight="1" s="104">
      <c r="H2985" s="198" t="n">
        <v>0</v>
      </c>
    </row>
    <row r="2986" ht="15" customHeight="1" s="104">
      <c r="H2986" s="198" t="n">
        <v>0</v>
      </c>
    </row>
    <row r="2987" ht="15" customHeight="1" s="104">
      <c r="H2987" s="198" t="n">
        <v>0</v>
      </c>
    </row>
    <row r="2988" ht="15" customHeight="1" s="104">
      <c r="H2988" s="198" t="n">
        <v>0</v>
      </c>
    </row>
    <row r="2989" ht="15" customHeight="1" s="104">
      <c r="H2989" s="198" t="n">
        <v>0</v>
      </c>
    </row>
    <row r="2990" ht="15" customHeight="1" s="104">
      <c r="H2990" s="198" t="n">
        <v>0</v>
      </c>
    </row>
    <row r="2991" ht="15" customHeight="1" s="104">
      <c r="H2991" s="198" t="n">
        <v>0</v>
      </c>
    </row>
    <row r="2992" ht="15" customHeight="1" s="104">
      <c r="H2992" s="198" t="n">
        <v>0</v>
      </c>
    </row>
    <row r="2993" ht="15" customHeight="1" s="104">
      <c r="H2993" s="198" t="n">
        <v>0</v>
      </c>
    </row>
    <row r="2994" ht="15" customHeight="1" s="104">
      <c r="H2994" s="198" t="n">
        <v>0</v>
      </c>
    </row>
    <row r="2995" ht="15" customHeight="1" s="104">
      <c r="H2995" s="198" t="n">
        <v>0</v>
      </c>
    </row>
    <row r="2996" ht="15" customHeight="1" s="104">
      <c r="H2996" s="198" t="n">
        <v>0</v>
      </c>
    </row>
    <row r="2997" ht="15" customHeight="1" s="104">
      <c r="H2997" s="198" t="n">
        <v>0</v>
      </c>
    </row>
    <row r="2998" ht="15" customHeight="1" s="104">
      <c r="H2998" s="198" t="n">
        <v>0</v>
      </c>
    </row>
    <row r="2999" ht="15" customHeight="1" s="104">
      <c r="H2999" s="198" t="n">
        <v>0</v>
      </c>
    </row>
    <row r="3000" ht="15" customHeight="1" s="104">
      <c r="H3000" s="198" t="n">
        <v>0</v>
      </c>
    </row>
    <row r="3001" ht="15" customHeight="1" s="104">
      <c r="H3001" s="198" t="n">
        <v>0</v>
      </c>
    </row>
    <row r="3002" ht="15" customHeight="1" s="104">
      <c r="H3002" s="198" t="n">
        <v>0</v>
      </c>
    </row>
    <row r="3003" ht="15" customHeight="1" s="104">
      <c r="H3003" s="198" t="n">
        <v>0</v>
      </c>
    </row>
    <row r="3004" ht="15" customHeight="1" s="104">
      <c r="H3004" s="198" t="n">
        <v>0</v>
      </c>
    </row>
    <row r="3005" ht="15" customHeight="1" s="104">
      <c r="H3005" s="198" t="n">
        <v>0</v>
      </c>
    </row>
    <row r="3006" ht="15" customHeight="1" s="104">
      <c r="H3006" s="198" t="n">
        <v>0</v>
      </c>
    </row>
    <row r="3007" ht="15" customHeight="1" s="104">
      <c r="H3007" s="198" t="n">
        <v>0</v>
      </c>
    </row>
    <row r="3008" ht="15" customHeight="1" s="104">
      <c r="H3008" s="198" t="n">
        <v>0</v>
      </c>
    </row>
    <row r="3009" ht="15" customHeight="1" s="104">
      <c r="H3009" s="198" t="n">
        <v>0</v>
      </c>
    </row>
    <row r="3010" ht="15" customHeight="1" s="104">
      <c r="H3010" s="198" t="n">
        <v>0</v>
      </c>
    </row>
    <row r="3011" ht="15" customHeight="1" s="104">
      <c r="H3011" s="198" t="n">
        <v>0</v>
      </c>
    </row>
    <row r="3012" ht="15" customHeight="1" s="104">
      <c r="H3012" s="198" t="n">
        <v>0</v>
      </c>
    </row>
    <row r="3013" ht="15" customHeight="1" s="104">
      <c r="H3013" s="198" t="n">
        <v>0</v>
      </c>
    </row>
    <row r="3014" ht="15" customHeight="1" s="104">
      <c r="H3014" s="198" t="n">
        <v>0</v>
      </c>
    </row>
    <row r="3015" ht="15" customHeight="1" s="104">
      <c r="H3015" s="198" t="n">
        <v>0</v>
      </c>
    </row>
    <row r="3016" ht="15" customHeight="1" s="104">
      <c r="H3016" s="198" t="n">
        <v>0</v>
      </c>
    </row>
    <row r="3017" ht="15" customHeight="1" s="104">
      <c r="H3017" s="198" t="n">
        <v>0</v>
      </c>
    </row>
    <row r="3018" ht="15" customHeight="1" s="104">
      <c r="H3018" s="198" t="n">
        <v>0</v>
      </c>
    </row>
    <row r="3019" ht="15" customHeight="1" s="104">
      <c r="H3019" s="198" t="n">
        <v>0</v>
      </c>
    </row>
    <row r="3020" ht="15" customHeight="1" s="104">
      <c r="H3020" s="198" t="n">
        <v>0</v>
      </c>
    </row>
    <row r="3021" ht="15" customHeight="1" s="104">
      <c r="H3021" s="198" t="n">
        <v>0</v>
      </c>
    </row>
    <row r="3022" ht="15" customHeight="1" s="104">
      <c r="H3022" s="198" t="n">
        <v>0</v>
      </c>
    </row>
    <row r="3023" ht="15" customHeight="1" s="104">
      <c r="H3023" s="198" t="n">
        <v>0</v>
      </c>
    </row>
    <row r="3024" ht="15" customHeight="1" s="104">
      <c r="H3024" s="198" t="n">
        <v>0</v>
      </c>
    </row>
    <row r="3025" ht="15" customHeight="1" s="104">
      <c r="H3025" s="198" t="n">
        <v>0</v>
      </c>
    </row>
    <row r="3026" ht="15" customHeight="1" s="104">
      <c r="H3026" s="198" t="n">
        <v>0</v>
      </c>
    </row>
    <row r="3027" ht="15" customHeight="1" s="104">
      <c r="H3027" s="198" t="n">
        <v>0</v>
      </c>
    </row>
    <row r="3028" ht="15" customHeight="1" s="104">
      <c r="H3028" s="198" t="n">
        <v>0</v>
      </c>
    </row>
    <row r="3029" ht="15" customHeight="1" s="104">
      <c r="H3029" s="198" t="n">
        <v>0</v>
      </c>
    </row>
    <row r="3030" ht="15" customHeight="1" s="104">
      <c r="H3030" s="198" t="n">
        <v>0</v>
      </c>
    </row>
    <row r="3031" ht="15" customHeight="1" s="104">
      <c r="H3031" s="198" t="n">
        <v>0</v>
      </c>
    </row>
    <row r="3032" ht="15" customHeight="1" s="104">
      <c r="H3032" s="198" t="n">
        <v>0</v>
      </c>
    </row>
    <row r="3033" ht="15" customHeight="1" s="104">
      <c r="H3033" s="198" t="n">
        <v>0</v>
      </c>
    </row>
    <row r="3034" ht="15" customHeight="1" s="104">
      <c r="H3034" s="198" t="n">
        <v>0</v>
      </c>
    </row>
    <row r="3035" ht="15" customHeight="1" s="104">
      <c r="H3035" s="198" t="n">
        <v>0</v>
      </c>
    </row>
    <row r="3036" ht="15" customHeight="1" s="104">
      <c r="H3036" s="198" t="n">
        <v>0</v>
      </c>
    </row>
    <row r="3037" ht="15" customHeight="1" s="104">
      <c r="H3037" s="198" t="n">
        <v>0</v>
      </c>
    </row>
    <row r="3038" ht="15" customHeight="1" s="104">
      <c r="H3038" s="198" t="n">
        <v>0</v>
      </c>
    </row>
    <row r="3039" ht="15" customHeight="1" s="104">
      <c r="H3039" s="198" t="n">
        <v>0</v>
      </c>
    </row>
    <row r="3040" ht="15" customHeight="1" s="104">
      <c r="H3040" s="198" t="n">
        <v>0</v>
      </c>
    </row>
    <row r="3041" ht="15" customHeight="1" s="104">
      <c r="H3041" s="198" t="n">
        <v>0</v>
      </c>
    </row>
    <row r="3042" ht="15" customHeight="1" s="104">
      <c r="H3042" s="198" t="n">
        <v>0</v>
      </c>
    </row>
    <row r="3043" ht="15" customHeight="1" s="104">
      <c r="H3043" s="198" t="n">
        <v>0</v>
      </c>
    </row>
    <row r="3044" ht="15" customHeight="1" s="104">
      <c r="H3044" s="198" t="n">
        <v>0</v>
      </c>
    </row>
    <row r="3045" ht="15" customHeight="1" s="104">
      <c r="H3045" s="198" t="n">
        <v>0</v>
      </c>
    </row>
    <row r="3046" ht="15" customHeight="1" s="104">
      <c r="H3046" s="198" t="n">
        <v>0</v>
      </c>
    </row>
    <row r="3047" ht="15" customHeight="1" s="104">
      <c r="H3047" s="198" t="n">
        <v>0</v>
      </c>
    </row>
    <row r="3048" ht="15" customHeight="1" s="104">
      <c r="H3048" s="198" t="n">
        <v>0</v>
      </c>
    </row>
    <row r="3049" ht="15" customHeight="1" s="104">
      <c r="H3049" s="198" t="n">
        <v>0</v>
      </c>
    </row>
    <row r="3050" ht="15" customHeight="1" s="104">
      <c r="H3050" s="198" t="n">
        <v>0</v>
      </c>
    </row>
    <row r="3051" ht="15" customHeight="1" s="104">
      <c r="H3051" s="198" t="n">
        <v>0</v>
      </c>
    </row>
    <row r="3052" ht="15" customHeight="1" s="104">
      <c r="H3052" s="198" t="n">
        <v>0</v>
      </c>
    </row>
    <row r="3053" ht="15" customHeight="1" s="104">
      <c r="H3053" s="198" t="n">
        <v>0</v>
      </c>
    </row>
    <row r="3054" ht="15" customHeight="1" s="104">
      <c r="H3054" s="198" t="n">
        <v>0</v>
      </c>
    </row>
    <row r="3055" ht="15" customHeight="1" s="104">
      <c r="H3055" s="198" t="n">
        <v>0</v>
      </c>
    </row>
    <row r="3056" ht="15" customHeight="1" s="104">
      <c r="H3056" s="198" t="n">
        <v>0</v>
      </c>
    </row>
    <row r="3057" ht="15" customHeight="1" s="104">
      <c r="H3057" s="198" t="n">
        <v>0</v>
      </c>
    </row>
    <row r="3058" ht="15" customHeight="1" s="104">
      <c r="H3058" s="198" t="n">
        <v>0</v>
      </c>
    </row>
    <row r="3059" ht="15" customHeight="1" s="104">
      <c r="H3059" s="198" t="n">
        <v>0</v>
      </c>
    </row>
    <row r="3060" ht="15" customHeight="1" s="104">
      <c r="H3060" s="198" t="n">
        <v>0</v>
      </c>
    </row>
    <row r="3061" ht="15" customHeight="1" s="104">
      <c r="H3061" s="198" t="n">
        <v>0</v>
      </c>
    </row>
    <row r="3062" ht="15" customHeight="1" s="104">
      <c r="H3062" s="198" t="n">
        <v>0</v>
      </c>
    </row>
    <row r="3063" ht="15" customHeight="1" s="104">
      <c r="H3063" s="198" t="n">
        <v>0</v>
      </c>
    </row>
    <row r="3064" ht="15" customHeight="1" s="104">
      <c r="H3064" s="198" t="n">
        <v>0</v>
      </c>
    </row>
    <row r="3065" ht="15" customHeight="1" s="104">
      <c r="H3065" s="198" t="n">
        <v>0</v>
      </c>
    </row>
    <row r="3066" ht="15" customHeight="1" s="104">
      <c r="H3066" s="198" t="n">
        <v>0</v>
      </c>
    </row>
    <row r="3067" ht="15" customHeight="1" s="104">
      <c r="H3067" s="198" t="n">
        <v>0</v>
      </c>
    </row>
    <row r="3068" ht="15" customHeight="1" s="104">
      <c r="H3068" s="198" t="n">
        <v>0</v>
      </c>
    </row>
    <row r="3069" ht="15" customHeight="1" s="104">
      <c r="H3069" s="198" t="n">
        <v>0</v>
      </c>
    </row>
    <row r="3070" ht="15" customHeight="1" s="104">
      <c r="H3070" s="198" t="n">
        <v>0</v>
      </c>
    </row>
    <row r="3071" ht="15" customHeight="1" s="104">
      <c r="H3071" s="198" t="n">
        <v>0</v>
      </c>
    </row>
    <row r="3072" ht="15" customHeight="1" s="104">
      <c r="H3072" s="198" t="n">
        <v>0</v>
      </c>
    </row>
    <row r="3073" ht="15" customHeight="1" s="104">
      <c r="H3073" s="198" t="n">
        <v>0</v>
      </c>
    </row>
    <row r="3074" ht="15" customHeight="1" s="104">
      <c r="H3074" s="198" t="n">
        <v>0</v>
      </c>
    </row>
    <row r="3075" ht="15" customHeight="1" s="104">
      <c r="H3075" s="198" t="n">
        <v>0</v>
      </c>
    </row>
    <row r="3076" ht="15" customHeight="1" s="104">
      <c r="H3076" s="198" t="n">
        <v>0</v>
      </c>
    </row>
    <row r="3077" ht="15" customHeight="1" s="104">
      <c r="H3077" s="198" t="n">
        <v>0</v>
      </c>
    </row>
    <row r="3078" ht="15" customHeight="1" s="104">
      <c r="H3078" s="198" t="n">
        <v>0</v>
      </c>
    </row>
    <row r="3079" ht="15" customHeight="1" s="104">
      <c r="H3079" s="198" t="n">
        <v>0</v>
      </c>
    </row>
    <row r="3080" ht="15" customHeight="1" s="104">
      <c r="H3080" s="198" t="n">
        <v>0</v>
      </c>
    </row>
    <row r="3081" ht="15" customHeight="1" s="104">
      <c r="H3081" s="198" t="n">
        <v>0</v>
      </c>
    </row>
    <row r="3082" ht="15" customHeight="1" s="104">
      <c r="H3082" s="198" t="n">
        <v>0</v>
      </c>
    </row>
    <row r="3083" ht="15" customHeight="1" s="104">
      <c r="H3083" s="198" t="n">
        <v>0</v>
      </c>
    </row>
    <row r="3084" ht="15" customHeight="1" s="104">
      <c r="H3084" s="198" t="n">
        <v>0</v>
      </c>
    </row>
    <row r="3085" ht="15" customHeight="1" s="104">
      <c r="H3085" s="198" t="n">
        <v>0</v>
      </c>
    </row>
    <row r="3086" ht="15" customHeight="1" s="104">
      <c r="H3086" s="198" t="n">
        <v>0</v>
      </c>
    </row>
    <row r="3087" ht="15" customHeight="1" s="104">
      <c r="H3087" s="198" t="n">
        <v>0</v>
      </c>
    </row>
    <row r="3088" ht="15" customHeight="1" s="104">
      <c r="H3088" s="198" t="n">
        <v>0</v>
      </c>
    </row>
    <row r="3089" ht="15" customHeight="1" s="104">
      <c r="H3089" s="198" t="n">
        <v>0</v>
      </c>
    </row>
    <row r="3090" ht="15" customHeight="1" s="104">
      <c r="H3090" s="198" t="n">
        <v>0</v>
      </c>
    </row>
    <row r="3091" ht="15" customHeight="1" s="104">
      <c r="H3091" s="198" t="n">
        <v>0</v>
      </c>
    </row>
    <row r="3092" ht="15" customHeight="1" s="104">
      <c r="H3092" s="198" t="n">
        <v>0</v>
      </c>
    </row>
    <row r="3093" ht="15" customHeight="1" s="104">
      <c r="H3093" s="198" t="n">
        <v>0</v>
      </c>
    </row>
    <row r="3094" ht="15" customHeight="1" s="104">
      <c r="H3094" s="198" t="n">
        <v>0</v>
      </c>
    </row>
    <row r="3095" ht="15" customHeight="1" s="104">
      <c r="H3095" s="198" t="n">
        <v>0</v>
      </c>
    </row>
    <row r="3096" ht="15" customHeight="1" s="104">
      <c r="H3096" s="198" t="n">
        <v>0</v>
      </c>
    </row>
    <row r="3097" ht="15" customHeight="1" s="104">
      <c r="H3097" s="198" t="n">
        <v>0</v>
      </c>
    </row>
    <row r="3098" ht="15" customHeight="1" s="104">
      <c r="H3098" s="198" t="n">
        <v>0</v>
      </c>
    </row>
    <row r="3099" ht="15" customHeight="1" s="104">
      <c r="H3099" s="198" t="n">
        <v>0</v>
      </c>
    </row>
    <row r="3100" ht="15" customHeight="1" s="104">
      <c r="H3100" s="198" t="n">
        <v>0</v>
      </c>
    </row>
    <row r="3101" ht="15" customHeight="1" s="104">
      <c r="H3101" s="198" t="n">
        <v>0</v>
      </c>
    </row>
    <row r="3102" ht="15" customHeight="1" s="104">
      <c r="H3102" s="198" t="n">
        <v>0</v>
      </c>
    </row>
    <row r="3103" ht="15" customHeight="1" s="104">
      <c r="H3103" s="198" t="n">
        <v>0</v>
      </c>
    </row>
    <row r="3104" ht="15" customHeight="1" s="104">
      <c r="H3104" s="198" t="n">
        <v>0</v>
      </c>
    </row>
    <row r="3105" ht="15" customHeight="1" s="104">
      <c r="H3105" s="198" t="n">
        <v>0</v>
      </c>
    </row>
    <row r="3106" ht="15" customHeight="1" s="104">
      <c r="H3106" s="198" t="n">
        <v>0</v>
      </c>
    </row>
    <row r="3107" ht="15" customHeight="1" s="104">
      <c r="H3107" s="198" t="n">
        <v>0</v>
      </c>
    </row>
    <row r="3108" ht="15" customHeight="1" s="104">
      <c r="H3108" s="198" t="n">
        <v>0</v>
      </c>
    </row>
    <row r="3109" ht="15" customHeight="1" s="104">
      <c r="H3109" s="198" t="n">
        <v>0</v>
      </c>
    </row>
    <row r="3110" ht="15" customHeight="1" s="104">
      <c r="H3110" s="198" t="n">
        <v>0</v>
      </c>
    </row>
    <row r="3111" ht="15" customHeight="1" s="104">
      <c r="H3111" s="198" t="n">
        <v>0</v>
      </c>
    </row>
    <row r="3112" ht="15" customHeight="1" s="104">
      <c r="H3112" s="198" t="n">
        <v>0</v>
      </c>
    </row>
    <row r="3113" ht="15" customHeight="1" s="104">
      <c r="H3113" s="198" t="n">
        <v>0</v>
      </c>
    </row>
    <row r="3114" ht="15" customHeight="1" s="104">
      <c r="H3114" s="198" t="n">
        <v>0</v>
      </c>
    </row>
    <row r="3115" ht="15" customHeight="1" s="104">
      <c r="H3115" s="198" t="n">
        <v>0</v>
      </c>
    </row>
    <row r="3116" ht="15" customHeight="1" s="104">
      <c r="H3116" s="198" t="n">
        <v>0</v>
      </c>
    </row>
    <row r="3117" ht="15" customHeight="1" s="104">
      <c r="H3117" s="198" t="n">
        <v>0</v>
      </c>
    </row>
    <row r="3118" ht="15" customHeight="1" s="104">
      <c r="H3118" s="198" t="n">
        <v>0</v>
      </c>
    </row>
    <row r="3119" ht="15" customHeight="1" s="104">
      <c r="H3119" s="198" t="n">
        <v>0</v>
      </c>
    </row>
    <row r="3120" ht="15" customHeight="1" s="104">
      <c r="H3120" s="198" t="n">
        <v>0</v>
      </c>
    </row>
    <row r="3121" ht="15" customHeight="1" s="104">
      <c r="H3121" s="198" t="n">
        <v>0</v>
      </c>
    </row>
    <row r="3122" ht="15" customHeight="1" s="104">
      <c r="H3122" s="198" t="n">
        <v>0</v>
      </c>
    </row>
    <row r="3123" ht="15" customHeight="1" s="104">
      <c r="H3123" s="198" t="n">
        <v>0</v>
      </c>
    </row>
    <row r="3124" ht="15" customHeight="1" s="104">
      <c r="H3124" s="198" t="n">
        <v>0</v>
      </c>
    </row>
    <row r="3125" ht="15" customHeight="1" s="104">
      <c r="H3125" s="198" t="n">
        <v>0</v>
      </c>
    </row>
    <row r="3126" ht="15" customHeight="1" s="104">
      <c r="H3126" s="198" t="n">
        <v>0</v>
      </c>
    </row>
    <row r="3127" ht="15" customHeight="1" s="104">
      <c r="H3127" s="198" t="n">
        <v>0</v>
      </c>
    </row>
    <row r="3128" ht="15" customHeight="1" s="104">
      <c r="H3128" s="198" t="n">
        <v>0</v>
      </c>
    </row>
    <row r="3129" ht="15" customHeight="1" s="104">
      <c r="H3129" s="198" t="n">
        <v>0</v>
      </c>
    </row>
    <row r="3130" ht="15" customHeight="1" s="104">
      <c r="H3130" s="198" t="n">
        <v>0</v>
      </c>
    </row>
    <row r="3131" ht="15" customHeight="1" s="104">
      <c r="H3131" s="198" t="n">
        <v>0</v>
      </c>
    </row>
    <row r="3132" ht="15" customHeight="1" s="104">
      <c r="H3132" s="198" t="n">
        <v>0</v>
      </c>
    </row>
    <row r="3133" ht="15" customHeight="1" s="104">
      <c r="H3133" s="198" t="n">
        <v>0</v>
      </c>
    </row>
    <row r="3134" ht="15" customHeight="1" s="104">
      <c r="H3134" s="198" t="n">
        <v>0</v>
      </c>
    </row>
    <row r="3135" ht="15" customHeight="1" s="104">
      <c r="H3135" s="198" t="n">
        <v>0</v>
      </c>
    </row>
    <row r="3136" ht="15" customHeight="1" s="104">
      <c r="H3136" s="198" t="n">
        <v>0</v>
      </c>
    </row>
    <row r="3137" ht="15" customHeight="1" s="104">
      <c r="H3137" s="198" t="n">
        <v>0</v>
      </c>
    </row>
    <row r="3138" ht="15" customHeight="1" s="104">
      <c r="H3138" s="198" t="n">
        <v>0</v>
      </c>
    </row>
    <row r="3139" ht="15" customHeight="1" s="104">
      <c r="H3139" s="198" t="n">
        <v>0</v>
      </c>
    </row>
    <row r="3140" ht="15" customHeight="1" s="104">
      <c r="H3140" s="198" t="n">
        <v>0</v>
      </c>
    </row>
    <row r="3141" ht="15" customHeight="1" s="104">
      <c r="H3141" s="198" t="n">
        <v>0</v>
      </c>
    </row>
    <row r="3142" ht="15" customHeight="1" s="104">
      <c r="H3142" s="198" t="n">
        <v>0</v>
      </c>
    </row>
    <row r="3143" ht="15" customHeight="1" s="104">
      <c r="H3143" s="198" t="n">
        <v>0</v>
      </c>
    </row>
    <row r="3144" ht="15" customHeight="1" s="104">
      <c r="H3144" s="198" t="n">
        <v>0</v>
      </c>
    </row>
    <row r="3145" ht="15" customHeight="1" s="104">
      <c r="H3145" s="198" t="n">
        <v>0</v>
      </c>
    </row>
    <row r="3146" ht="15" customHeight="1" s="104">
      <c r="H3146" s="198" t="n">
        <v>0</v>
      </c>
    </row>
    <row r="3147" ht="15" customHeight="1" s="104">
      <c r="H3147" s="198" t="n">
        <v>0</v>
      </c>
    </row>
    <row r="3148" ht="15" customHeight="1" s="104">
      <c r="H3148" s="198" t="n">
        <v>0</v>
      </c>
    </row>
    <row r="3149" ht="15" customHeight="1" s="104">
      <c r="H3149" s="198" t="n">
        <v>0</v>
      </c>
    </row>
    <row r="3150" ht="15" customHeight="1" s="104">
      <c r="H3150" s="198" t="n">
        <v>0</v>
      </c>
    </row>
    <row r="3151" ht="15" customHeight="1" s="104">
      <c r="H3151" s="198" t="n">
        <v>0</v>
      </c>
    </row>
    <row r="3152" ht="15" customHeight="1" s="104">
      <c r="H3152" s="198" t="n">
        <v>0</v>
      </c>
    </row>
    <row r="3153" ht="15" customHeight="1" s="104">
      <c r="H3153" s="198" t="n">
        <v>0</v>
      </c>
    </row>
    <row r="3154" ht="15" customHeight="1" s="104">
      <c r="H3154" s="198" t="n">
        <v>0</v>
      </c>
    </row>
    <row r="3155" ht="15" customHeight="1" s="104">
      <c r="H3155" s="198" t="n">
        <v>0</v>
      </c>
    </row>
    <row r="3156" ht="15" customHeight="1" s="104">
      <c r="H3156" s="198" t="n">
        <v>0</v>
      </c>
    </row>
    <row r="3157" ht="15" customHeight="1" s="104">
      <c r="H3157" s="198" t="n">
        <v>0</v>
      </c>
    </row>
    <row r="3158" ht="15" customHeight="1" s="104">
      <c r="H3158" s="198" t="n">
        <v>0</v>
      </c>
    </row>
    <row r="3159" ht="15" customHeight="1" s="104">
      <c r="H3159" s="198" t="n">
        <v>0</v>
      </c>
    </row>
    <row r="3160" ht="15" customHeight="1" s="104">
      <c r="H3160" s="198" t="n">
        <v>0</v>
      </c>
    </row>
    <row r="3161" ht="15" customHeight="1" s="104">
      <c r="H3161" s="198" t="n">
        <v>0</v>
      </c>
    </row>
    <row r="3162" ht="15" customHeight="1" s="104">
      <c r="H3162" s="198" t="n">
        <v>0</v>
      </c>
    </row>
    <row r="3163" ht="15" customHeight="1" s="104">
      <c r="H3163" s="198" t="n">
        <v>0</v>
      </c>
    </row>
    <row r="3164" ht="15" customHeight="1" s="104">
      <c r="H3164" s="198" t="n">
        <v>0</v>
      </c>
    </row>
    <row r="3165" ht="15" customHeight="1" s="104">
      <c r="H3165" s="198" t="n">
        <v>0</v>
      </c>
    </row>
    <row r="3166" ht="15" customHeight="1" s="104">
      <c r="H3166" s="198" t="n">
        <v>0</v>
      </c>
    </row>
    <row r="3167" ht="15" customHeight="1" s="104">
      <c r="H3167" s="198" t="n">
        <v>0</v>
      </c>
    </row>
    <row r="3168" ht="15" customHeight="1" s="104">
      <c r="H3168" s="198" t="n">
        <v>0</v>
      </c>
    </row>
    <row r="3169" ht="15" customHeight="1" s="104">
      <c r="H3169" s="198" t="n">
        <v>0</v>
      </c>
    </row>
    <row r="3170" ht="15" customHeight="1" s="104">
      <c r="H3170" s="198" t="n">
        <v>0</v>
      </c>
    </row>
    <row r="3171" ht="15" customHeight="1" s="104">
      <c r="H3171" s="198" t="n">
        <v>0</v>
      </c>
    </row>
    <row r="3172" ht="15" customHeight="1" s="104">
      <c r="H3172" s="198" t="n">
        <v>0</v>
      </c>
    </row>
    <row r="3173" ht="15" customHeight="1" s="104">
      <c r="H3173" s="198" t="n">
        <v>0</v>
      </c>
    </row>
    <row r="3174" ht="15" customHeight="1" s="104">
      <c r="H3174" s="198" t="n">
        <v>0</v>
      </c>
    </row>
    <row r="3175" ht="15" customHeight="1" s="104">
      <c r="H3175" s="198" t="n">
        <v>0</v>
      </c>
    </row>
    <row r="3176" ht="15" customHeight="1" s="104">
      <c r="H3176" s="198" t="n">
        <v>0</v>
      </c>
    </row>
    <row r="3177" ht="15" customHeight="1" s="104">
      <c r="H3177" s="198" t="n">
        <v>0</v>
      </c>
    </row>
    <row r="3178" ht="15" customHeight="1" s="104">
      <c r="H3178" s="198" t="n">
        <v>0</v>
      </c>
    </row>
    <row r="3179" ht="15" customHeight="1" s="104">
      <c r="H3179" s="198" t="n">
        <v>0</v>
      </c>
    </row>
    <row r="3180" ht="15" customHeight="1" s="104">
      <c r="H3180" s="198" t="n">
        <v>0</v>
      </c>
    </row>
    <row r="3181" ht="15" customHeight="1" s="104">
      <c r="H3181" s="198" t="n">
        <v>0</v>
      </c>
    </row>
    <row r="3182" ht="15" customHeight="1" s="104">
      <c r="H3182" s="198" t="n">
        <v>0</v>
      </c>
    </row>
    <row r="3183" ht="15" customHeight="1" s="104">
      <c r="H3183" s="198" t="n">
        <v>0</v>
      </c>
    </row>
    <row r="3184" ht="15" customHeight="1" s="104">
      <c r="H3184" s="198" t="n">
        <v>0</v>
      </c>
    </row>
    <row r="3185" ht="15" customHeight="1" s="104">
      <c r="H3185" s="198" t="n">
        <v>0</v>
      </c>
    </row>
    <row r="3186" ht="15" customHeight="1" s="104">
      <c r="H3186" s="198" t="n">
        <v>0</v>
      </c>
    </row>
    <row r="3187" ht="15" customHeight="1" s="104">
      <c r="H3187" s="198" t="n">
        <v>0</v>
      </c>
    </row>
    <row r="3188" ht="15" customHeight="1" s="104">
      <c r="H3188" s="198" t="n">
        <v>0</v>
      </c>
    </row>
    <row r="3189" ht="15" customHeight="1" s="104">
      <c r="H3189" s="198" t="n">
        <v>0</v>
      </c>
    </row>
    <row r="3190" ht="15" customHeight="1" s="104">
      <c r="H3190" s="198" t="n">
        <v>0</v>
      </c>
    </row>
    <row r="3191" ht="15" customHeight="1" s="104">
      <c r="H3191" s="198" t="n">
        <v>0</v>
      </c>
    </row>
    <row r="3192" ht="15" customHeight="1" s="104">
      <c r="H3192" s="198" t="n">
        <v>0</v>
      </c>
    </row>
    <row r="3193" ht="15" customHeight="1" s="104">
      <c r="H3193" s="198" t="n">
        <v>0</v>
      </c>
    </row>
    <row r="3194" ht="15" customHeight="1" s="104">
      <c r="H3194" s="198" t="n">
        <v>0</v>
      </c>
    </row>
    <row r="3195" ht="15" customHeight="1" s="104">
      <c r="H3195" s="198" t="n">
        <v>0</v>
      </c>
    </row>
    <row r="3196" ht="15" customHeight="1" s="104">
      <c r="H3196" s="198" t="n">
        <v>0</v>
      </c>
    </row>
    <row r="3197" ht="15" customHeight="1" s="104">
      <c r="H3197" s="198" t="n">
        <v>0</v>
      </c>
    </row>
    <row r="3198" ht="15" customHeight="1" s="104">
      <c r="H3198" s="198" t="n">
        <v>0</v>
      </c>
    </row>
    <row r="3199" ht="15" customHeight="1" s="104">
      <c r="H3199" s="198" t="n">
        <v>0</v>
      </c>
    </row>
    <row r="3200" ht="15" customHeight="1" s="104">
      <c r="H3200" s="198" t="n">
        <v>0</v>
      </c>
    </row>
    <row r="3201" ht="15" customHeight="1" s="104">
      <c r="H3201" s="198" t="n">
        <v>0</v>
      </c>
    </row>
    <row r="3202" ht="15" customHeight="1" s="104">
      <c r="H3202" s="198" t="n">
        <v>0</v>
      </c>
    </row>
    <row r="3203" ht="15" customHeight="1" s="104">
      <c r="H3203" s="198" t="n">
        <v>0</v>
      </c>
    </row>
    <row r="3204" ht="15" customHeight="1" s="104">
      <c r="H3204" s="198" t="n">
        <v>0</v>
      </c>
    </row>
    <row r="3205" ht="15" customHeight="1" s="104">
      <c r="H3205" s="198" t="n">
        <v>0</v>
      </c>
    </row>
    <row r="3206" ht="15" customHeight="1" s="104">
      <c r="H3206" s="198" t="n">
        <v>0</v>
      </c>
    </row>
    <row r="3207" ht="15" customHeight="1" s="104">
      <c r="H3207" s="198" t="n">
        <v>0</v>
      </c>
    </row>
    <row r="3208" ht="15" customHeight="1" s="104">
      <c r="H3208" s="198" t="n">
        <v>0</v>
      </c>
    </row>
    <row r="3209" ht="15" customHeight="1" s="104">
      <c r="H3209" s="198" t="n">
        <v>0</v>
      </c>
    </row>
    <row r="3210" ht="15" customHeight="1" s="104">
      <c r="H3210" s="198" t="n">
        <v>0</v>
      </c>
    </row>
    <row r="3211" ht="15" customHeight="1" s="104">
      <c r="H3211" s="198" t="n">
        <v>0</v>
      </c>
    </row>
    <row r="3212" ht="15" customHeight="1" s="104">
      <c r="H3212" s="198" t="n">
        <v>0</v>
      </c>
    </row>
    <row r="3213" ht="15" customHeight="1" s="104">
      <c r="H3213" s="198" t="n">
        <v>0</v>
      </c>
    </row>
    <row r="3214" ht="15" customHeight="1" s="104">
      <c r="H3214" s="198" t="n">
        <v>0</v>
      </c>
    </row>
    <row r="3215" ht="15" customHeight="1" s="104">
      <c r="H3215" s="198" t="n">
        <v>0</v>
      </c>
    </row>
    <row r="3216" ht="15" customHeight="1" s="104">
      <c r="H3216" s="198" t="n">
        <v>0</v>
      </c>
    </row>
    <row r="3217" ht="15" customHeight="1" s="104">
      <c r="H3217" s="198" t="n">
        <v>0</v>
      </c>
    </row>
    <row r="3218" ht="15" customHeight="1" s="104">
      <c r="H3218" s="198" t="n">
        <v>0</v>
      </c>
    </row>
    <row r="3219" ht="15" customHeight="1" s="104">
      <c r="H3219" s="198" t="n">
        <v>0</v>
      </c>
    </row>
    <row r="3220" ht="15" customHeight="1" s="104">
      <c r="H3220" s="198" t="n">
        <v>0</v>
      </c>
    </row>
    <row r="3221" ht="15" customHeight="1" s="104">
      <c r="H3221" s="198" t="n">
        <v>0</v>
      </c>
    </row>
    <row r="3222" ht="15" customHeight="1" s="104">
      <c r="H3222" s="198" t="n">
        <v>0</v>
      </c>
    </row>
    <row r="3223" ht="15" customHeight="1" s="104">
      <c r="H3223" s="198" t="n">
        <v>0</v>
      </c>
    </row>
    <row r="3224" ht="15" customHeight="1" s="104">
      <c r="H3224" s="198" t="n">
        <v>0</v>
      </c>
    </row>
    <row r="3225" ht="15" customHeight="1" s="104">
      <c r="H3225" s="198" t="n">
        <v>0</v>
      </c>
    </row>
    <row r="3226" ht="15" customHeight="1" s="104">
      <c r="H3226" s="198" t="n">
        <v>0</v>
      </c>
    </row>
    <row r="3227" ht="15" customHeight="1" s="104">
      <c r="H3227" s="198" t="n">
        <v>0</v>
      </c>
    </row>
    <row r="3228" ht="15" customHeight="1" s="104">
      <c r="H3228" s="198" t="n">
        <v>0</v>
      </c>
    </row>
    <row r="3229" ht="15" customHeight="1" s="104">
      <c r="H3229" s="198" t="n">
        <v>0</v>
      </c>
    </row>
    <row r="3230" ht="15" customHeight="1" s="104">
      <c r="H3230" s="198" t="n">
        <v>0</v>
      </c>
    </row>
    <row r="3231" ht="15" customHeight="1" s="104">
      <c r="H3231" s="198" t="n">
        <v>0</v>
      </c>
    </row>
    <row r="3232" ht="15" customHeight="1" s="104">
      <c r="H3232" s="198" t="n">
        <v>0</v>
      </c>
    </row>
    <row r="3233" ht="15" customHeight="1" s="104">
      <c r="H3233" s="198" t="n">
        <v>0</v>
      </c>
    </row>
    <row r="3234" ht="15" customHeight="1" s="104">
      <c r="H3234" s="198" t="n">
        <v>0</v>
      </c>
    </row>
    <row r="3235" ht="15" customHeight="1" s="104">
      <c r="H3235" s="198" t="n">
        <v>0</v>
      </c>
    </row>
    <row r="3236" ht="15" customHeight="1" s="104">
      <c r="H3236" s="198" t="n">
        <v>0</v>
      </c>
    </row>
    <row r="3237" ht="15" customHeight="1" s="104">
      <c r="H3237" s="198" t="n">
        <v>0</v>
      </c>
    </row>
    <row r="3238" ht="15" customHeight="1" s="104">
      <c r="H3238" s="198" t="n">
        <v>0</v>
      </c>
    </row>
    <row r="3239" ht="15" customHeight="1" s="104">
      <c r="H3239" s="198" t="n">
        <v>0</v>
      </c>
    </row>
    <row r="3240" ht="15" customHeight="1" s="104">
      <c r="H3240" s="198" t="n">
        <v>0</v>
      </c>
    </row>
    <row r="3241" ht="15" customHeight="1" s="104">
      <c r="H3241" s="198" t="n">
        <v>0</v>
      </c>
    </row>
    <row r="3242" ht="15" customHeight="1" s="104">
      <c r="H3242" s="198" t="n">
        <v>0</v>
      </c>
    </row>
    <row r="3243" ht="15" customHeight="1" s="104">
      <c r="H3243" s="198" t="n">
        <v>0</v>
      </c>
    </row>
    <row r="3244" ht="15" customHeight="1" s="104">
      <c r="H3244" s="198" t="n">
        <v>0</v>
      </c>
    </row>
    <row r="3245" ht="15" customHeight="1" s="104">
      <c r="H3245" s="198" t="n">
        <v>0</v>
      </c>
    </row>
    <row r="3246" ht="15" customHeight="1" s="104">
      <c r="H3246" s="198" t="n">
        <v>0</v>
      </c>
    </row>
    <row r="3247" ht="15" customHeight="1" s="104">
      <c r="H3247" s="198" t="n">
        <v>0</v>
      </c>
    </row>
    <row r="3248" ht="15" customHeight="1" s="104">
      <c r="H3248" s="198" t="n">
        <v>0</v>
      </c>
    </row>
    <row r="3249" ht="15" customHeight="1" s="104">
      <c r="H3249" s="198" t="n">
        <v>0</v>
      </c>
    </row>
    <row r="3250" ht="15" customHeight="1" s="104">
      <c r="H3250" s="198" t="n">
        <v>0</v>
      </c>
    </row>
    <row r="3251" ht="15" customHeight="1" s="104">
      <c r="H3251" s="198" t="n">
        <v>0</v>
      </c>
    </row>
    <row r="3252" ht="15" customHeight="1" s="104">
      <c r="H3252" s="198" t="n">
        <v>0</v>
      </c>
    </row>
    <row r="3253" ht="15" customHeight="1" s="104">
      <c r="H3253" s="198" t="n">
        <v>0</v>
      </c>
    </row>
    <row r="3254" ht="15" customHeight="1" s="104">
      <c r="H3254" s="198" t="n">
        <v>0</v>
      </c>
    </row>
    <row r="3255" ht="15" customHeight="1" s="104">
      <c r="H3255" s="198" t="n">
        <v>0</v>
      </c>
    </row>
    <row r="3256" ht="15" customHeight="1" s="104">
      <c r="H3256" s="198" t="n">
        <v>0</v>
      </c>
    </row>
    <row r="3257" ht="15" customHeight="1" s="104">
      <c r="H3257" s="198" t="n">
        <v>0</v>
      </c>
    </row>
    <row r="3258" ht="15" customHeight="1" s="104">
      <c r="H3258" s="198" t="n">
        <v>0</v>
      </c>
    </row>
    <row r="3259" ht="15" customHeight="1" s="104">
      <c r="H3259" s="198" t="n">
        <v>0</v>
      </c>
    </row>
    <row r="3260" ht="15" customHeight="1" s="104">
      <c r="H3260" s="198" t="n">
        <v>0</v>
      </c>
    </row>
    <row r="3261" ht="15" customHeight="1" s="104">
      <c r="H3261" s="198" t="n">
        <v>0</v>
      </c>
    </row>
    <row r="3262" ht="15" customHeight="1" s="104">
      <c r="H3262" s="198" t="n">
        <v>0</v>
      </c>
    </row>
    <row r="3263" ht="15" customHeight="1" s="104">
      <c r="H3263" s="198" t="n">
        <v>0</v>
      </c>
    </row>
    <row r="3264" ht="15" customHeight="1" s="104">
      <c r="H3264" s="198" t="n">
        <v>0</v>
      </c>
    </row>
    <row r="3265" ht="15" customHeight="1" s="104">
      <c r="H3265" s="198" t="n">
        <v>0</v>
      </c>
    </row>
    <row r="3266" ht="15" customHeight="1" s="104">
      <c r="H3266" s="198" t="n">
        <v>0</v>
      </c>
    </row>
    <row r="3267" ht="15" customHeight="1" s="104">
      <c r="H3267" s="198" t="n">
        <v>0</v>
      </c>
    </row>
    <row r="3268" ht="15" customHeight="1" s="104">
      <c r="H3268" s="198" t="n">
        <v>0</v>
      </c>
    </row>
    <row r="3269" ht="15" customHeight="1" s="104">
      <c r="H3269" s="198" t="n">
        <v>0</v>
      </c>
    </row>
    <row r="3270" ht="15" customHeight="1" s="104">
      <c r="H3270" s="198" t="n">
        <v>0</v>
      </c>
    </row>
    <row r="3271" ht="15" customHeight="1" s="104">
      <c r="H3271" s="198" t="n">
        <v>0</v>
      </c>
    </row>
    <row r="3272" ht="15" customHeight="1" s="104">
      <c r="H3272" s="198" t="n">
        <v>0</v>
      </c>
    </row>
    <row r="3273" ht="15" customHeight="1" s="104">
      <c r="H3273" s="198" t="n">
        <v>0</v>
      </c>
    </row>
    <row r="3274" ht="15" customHeight="1" s="104">
      <c r="H3274" s="198" t="n">
        <v>0</v>
      </c>
    </row>
    <row r="3275" ht="15" customHeight="1" s="104">
      <c r="H3275" s="198" t="n">
        <v>0</v>
      </c>
    </row>
    <row r="3276" ht="15" customHeight="1" s="104">
      <c r="H3276" s="198" t="n">
        <v>0</v>
      </c>
    </row>
    <row r="3277" ht="15" customHeight="1" s="104">
      <c r="H3277" s="198" t="n">
        <v>0</v>
      </c>
    </row>
    <row r="3278" ht="15" customHeight="1" s="104">
      <c r="H3278" s="198" t="n">
        <v>0</v>
      </c>
    </row>
    <row r="3279" ht="15" customHeight="1" s="104">
      <c r="H3279" s="198" t="n">
        <v>0</v>
      </c>
    </row>
    <row r="3280" ht="15" customHeight="1" s="104">
      <c r="H3280" s="198" t="n">
        <v>0</v>
      </c>
    </row>
    <row r="3281" ht="15" customHeight="1" s="104">
      <c r="H3281" s="198" t="n">
        <v>0</v>
      </c>
    </row>
    <row r="3282" ht="15" customHeight="1" s="104">
      <c r="H3282" s="198" t="n">
        <v>0</v>
      </c>
    </row>
    <row r="3283" ht="15" customHeight="1" s="104">
      <c r="H3283" s="198" t="n">
        <v>0</v>
      </c>
    </row>
    <row r="3284" ht="15" customHeight="1" s="104">
      <c r="H3284" s="198" t="n">
        <v>0</v>
      </c>
    </row>
    <row r="3285" ht="15" customHeight="1" s="104">
      <c r="H3285" s="198" t="n">
        <v>0</v>
      </c>
    </row>
    <row r="3286" ht="15" customHeight="1" s="104">
      <c r="H3286" s="198" t="n">
        <v>0</v>
      </c>
    </row>
    <row r="3287" ht="15" customHeight="1" s="104">
      <c r="H3287" s="198" t="n">
        <v>0</v>
      </c>
    </row>
    <row r="3288" ht="15" customHeight="1" s="104">
      <c r="H3288" s="198" t="n">
        <v>0</v>
      </c>
    </row>
    <row r="3289" ht="15" customHeight="1" s="104">
      <c r="H3289" s="198" t="n">
        <v>0</v>
      </c>
    </row>
    <row r="3290" ht="15" customHeight="1" s="104">
      <c r="H3290" s="198" t="n">
        <v>0</v>
      </c>
    </row>
    <row r="3291" ht="15" customHeight="1" s="104">
      <c r="H3291" s="198" t="n">
        <v>0</v>
      </c>
    </row>
    <row r="3292" ht="15" customHeight="1" s="104">
      <c r="H3292" s="198" t="n">
        <v>0</v>
      </c>
    </row>
    <row r="3293" ht="15" customHeight="1" s="104">
      <c r="H3293" s="198" t="n">
        <v>0</v>
      </c>
    </row>
    <row r="3294" ht="15" customHeight="1" s="104">
      <c r="H3294" s="198" t="n">
        <v>0</v>
      </c>
    </row>
    <row r="3295" ht="15" customHeight="1" s="104">
      <c r="H3295" s="198" t="n">
        <v>0</v>
      </c>
    </row>
    <row r="3296" ht="15" customHeight="1" s="104">
      <c r="H3296" s="198" t="n">
        <v>0</v>
      </c>
    </row>
    <row r="3297" ht="15" customHeight="1" s="104">
      <c r="H3297" s="198" t="n">
        <v>0</v>
      </c>
    </row>
    <row r="3298" ht="15" customHeight="1" s="104">
      <c r="H3298" s="198" t="n">
        <v>0</v>
      </c>
    </row>
    <row r="3299" ht="15" customHeight="1" s="104">
      <c r="H3299" s="198" t="n">
        <v>0</v>
      </c>
    </row>
    <row r="3300" ht="15" customHeight="1" s="104">
      <c r="H3300" s="198" t="n">
        <v>0</v>
      </c>
    </row>
    <row r="3301" ht="15" customHeight="1" s="104">
      <c r="H3301" s="198" t="n">
        <v>0</v>
      </c>
    </row>
    <row r="3302" ht="15" customHeight="1" s="104">
      <c r="H3302" s="198" t="n">
        <v>0</v>
      </c>
    </row>
    <row r="3303" ht="15" customHeight="1" s="104">
      <c r="H3303" s="198" t="n">
        <v>0</v>
      </c>
    </row>
    <row r="3304" ht="15" customHeight="1" s="104">
      <c r="H3304" s="198" t="n">
        <v>0</v>
      </c>
    </row>
    <row r="3305" ht="15" customHeight="1" s="104">
      <c r="H3305" s="198" t="n">
        <v>0</v>
      </c>
    </row>
    <row r="3306" ht="15" customHeight="1" s="104">
      <c r="H3306" s="198" t="n">
        <v>0</v>
      </c>
    </row>
    <row r="3307" ht="15" customHeight="1" s="104">
      <c r="H3307" s="198" t="n">
        <v>0</v>
      </c>
    </row>
    <row r="3308" ht="15" customHeight="1" s="104">
      <c r="H3308" s="198" t="n">
        <v>0</v>
      </c>
    </row>
    <row r="3309" ht="15" customHeight="1" s="104">
      <c r="H3309" s="198" t="n">
        <v>0</v>
      </c>
    </row>
    <row r="3310" ht="15" customHeight="1" s="104">
      <c r="H3310" s="198" t="n">
        <v>0</v>
      </c>
    </row>
    <row r="3311" ht="15" customHeight="1" s="104">
      <c r="H3311" s="198" t="n">
        <v>0</v>
      </c>
    </row>
    <row r="3312" ht="15" customHeight="1" s="104">
      <c r="H3312" s="198" t="n">
        <v>0</v>
      </c>
    </row>
    <row r="3313" ht="15" customHeight="1" s="104">
      <c r="H3313" s="198" t="n">
        <v>0</v>
      </c>
    </row>
    <row r="3314" ht="15" customHeight="1" s="104">
      <c r="H3314" s="198" t="n">
        <v>0</v>
      </c>
    </row>
    <row r="3315" ht="15" customHeight="1" s="104">
      <c r="H3315" s="198" t="n">
        <v>0</v>
      </c>
    </row>
    <row r="3316" ht="15" customHeight="1" s="104">
      <c r="H3316" s="198" t="n">
        <v>0</v>
      </c>
    </row>
    <row r="3317" ht="15" customHeight="1" s="104">
      <c r="H3317" s="198" t="n">
        <v>0</v>
      </c>
    </row>
    <row r="3318" ht="15" customHeight="1" s="104">
      <c r="H3318" s="198" t="n">
        <v>0</v>
      </c>
    </row>
    <row r="3319" ht="15" customHeight="1" s="104">
      <c r="H3319" s="198" t="n">
        <v>0</v>
      </c>
    </row>
    <row r="3320" ht="15" customHeight="1" s="104">
      <c r="H3320" s="198" t="n">
        <v>0</v>
      </c>
    </row>
    <row r="3321" ht="15" customHeight="1" s="104">
      <c r="H3321" s="198" t="n">
        <v>0</v>
      </c>
    </row>
    <row r="3322" ht="15" customHeight="1" s="104">
      <c r="H3322" s="198" t="n">
        <v>0</v>
      </c>
    </row>
    <row r="3323" ht="15" customHeight="1" s="104">
      <c r="H3323" s="198" t="n">
        <v>0</v>
      </c>
    </row>
    <row r="3324" ht="15" customHeight="1" s="104">
      <c r="H3324" s="198" t="n">
        <v>0</v>
      </c>
    </row>
    <row r="3325" ht="15" customHeight="1" s="104">
      <c r="H3325" s="198" t="n">
        <v>0</v>
      </c>
    </row>
    <row r="3326" ht="15" customHeight="1" s="104">
      <c r="H3326" s="198" t="n">
        <v>0</v>
      </c>
    </row>
    <row r="3327" ht="15" customHeight="1" s="104">
      <c r="H3327" s="198" t="n">
        <v>0</v>
      </c>
    </row>
    <row r="3328" ht="15" customHeight="1" s="104">
      <c r="H3328" s="198" t="n">
        <v>0</v>
      </c>
    </row>
    <row r="3329" ht="15" customHeight="1" s="104">
      <c r="H3329" s="198" t="n">
        <v>0</v>
      </c>
    </row>
    <row r="3330" ht="15" customHeight="1" s="104">
      <c r="H3330" s="198" t="n">
        <v>0</v>
      </c>
    </row>
    <row r="3331" ht="15" customHeight="1" s="104">
      <c r="H3331" s="198" t="n">
        <v>0</v>
      </c>
    </row>
    <row r="3332" ht="15" customHeight="1" s="104">
      <c r="H3332" s="198" t="n">
        <v>0</v>
      </c>
    </row>
    <row r="3333" ht="15" customHeight="1" s="104">
      <c r="H3333" s="198" t="n">
        <v>0</v>
      </c>
    </row>
    <row r="3334" ht="15" customHeight="1" s="104">
      <c r="H3334" s="198" t="n">
        <v>0</v>
      </c>
    </row>
    <row r="3335" ht="15" customHeight="1" s="104">
      <c r="H3335" s="198" t="n">
        <v>0</v>
      </c>
    </row>
    <row r="3336" ht="15" customHeight="1" s="104">
      <c r="H3336" s="198" t="n">
        <v>0</v>
      </c>
    </row>
    <row r="3337" ht="15" customHeight="1" s="104">
      <c r="H3337" s="198" t="n">
        <v>0</v>
      </c>
    </row>
    <row r="3338" ht="15" customHeight="1" s="104">
      <c r="H3338" s="198" t="n">
        <v>0</v>
      </c>
    </row>
    <row r="3339" ht="15" customHeight="1" s="104">
      <c r="H3339" s="198" t="n">
        <v>0</v>
      </c>
    </row>
    <row r="3340" ht="15" customHeight="1" s="104">
      <c r="H3340" s="198" t="n">
        <v>0</v>
      </c>
    </row>
    <row r="3341" ht="15" customHeight="1" s="104">
      <c r="H3341" s="198" t="n">
        <v>0</v>
      </c>
    </row>
    <row r="3342" ht="15" customHeight="1" s="104">
      <c r="H3342" s="198" t="n">
        <v>0</v>
      </c>
    </row>
    <row r="3343" ht="15" customHeight="1" s="104">
      <c r="H3343" s="198" t="n">
        <v>0</v>
      </c>
    </row>
    <row r="3344" ht="15" customHeight="1" s="104">
      <c r="H3344" s="198" t="n">
        <v>0</v>
      </c>
    </row>
    <row r="3345" ht="15" customHeight="1" s="104">
      <c r="H3345" s="198" t="n">
        <v>0</v>
      </c>
    </row>
    <row r="3346" ht="15" customHeight="1" s="104">
      <c r="H3346" s="198" t="n">
        <v>0</v>
      </c>
    </row>
    <row r="3347" ht="15" customHeight="1" s="104">
      <c r="H3347" s="198" t="n">
        <v>0</v>
      </c>
    </row>
    <row r="3348" ht="15" customHeight="1" s="104">
      <c r="H3348" s="198" t="n">
        <v>0</v>
      </c>
    </row>
    <row r="3349" ht="15" customHeight="1" s="104">
      <c r="H3349" s="198" t="n">
        <v>0</v>
      </c>
    </row>
    <row r="3350" ht="15" customHeight="1" s="104">
      <c r="H3350" s="198" t="n">
        <v>0</v>
      </c>
    </row>
    <row r="3351" ht="15" customHeight="1" s="104">
      <c r="H3351" s="198" t="n">
        <v>0</v>
      </c>
    </row>
    <row r="3352" ht="15" customHeight="1" s="104">
      <c r="H3352" s="198" t="n">
        <v>0</v>
      </c>
    </row>
    <row r="3353" ht="15" customHeight="1" s="104">
      <c r="H3353" s="198" t="n">
        <v>0</v>
      </c>
    </row>
    <row r="3354" ht="15" customHeight="1" s="104">
      <c r="H3354" s="198" t="n">
        <v>0</v>
      </c>
    </row>
    <row r="3355" ht="15" customHeight="1" s="104">
      <c r="H3355" s="198" t="n">
        <v>0</v>
      </c>
    </row>
    <row r="3356" ht="15" customHeight="1" s="104">
      <c r="H3356" s="198" t="n">
        <v>0</v>
      </c>
    </row>
    <row r="3357" ht="15" customHeight="1" s="104">
      <c r="H3357" s="198" t="n">
        <v>0</v>
      </c>
    </row>
    <row r="3358" ht="15" customHeight="1" s="104">
      <c r="H3358" s="198" t="n">
        <v>0</v>
      </c>
    </row>
    <row r="3359" ht="15" customHeight="1" s="104">
      <c r="H3359" s="198" t="n">
        <v>0</v>
      </c>
    </row>
    <row r="3360" ht="15" customHeight="1" s="104">
      <c r="H3360" s="198" t="n">
        <v>0</v>
      </c>
    </row>
    <row r="3361" ht="15" customHeight="1" s="104">
      <c r="H3361" s="198" t="n">
        <v>0</v>
      </c>
    </row>
    <row r="3362" ht="15" customHeight="1" s="104">
      <c r="H3362" s="198" t="n">
        <v>0</v>
      </c>
    </row>
    <row r="3363" ht="15" customHeight="1" s="104">
      <c r="H3363" s="198" t="n">
        <v>0</v>
      </c>
    </row>
    <row r="3364" ht="15" customHeight="1" s="104">
      <c r="H3364" s="198" t="n">
        <v>0</v>
      </c>
    </row>
    <row r="3365" ht="15" customHeight="1" s="104">
      <c r="H3365" s="198" t="n">
        <v>0</v>
      </c>
    </row>
    <row r="3366" ht="15" customHeight="1" s="104">
      <c r="H3366" s="198" t="n">
        <v>0</v>
      </c>
    </row>
    <row r="3367" ht="15" customHeight="1" s="104">
      <c r="H3367" s="198" t="n">
        <v>0</v>
      </c>
    </row>
    <row r="3368" ht="15" customHeight="1" s="104">
      <c r="H3368" s="198" t="n">
        <v>0</v>
      </c>
    </row>
    <row r="3369" ht="15" customHeight="1" s="104">
      <c r="H3369" s="198" t="n">
        <v>0</v>
      </c>
    </row>
    <row r="3370" ht="15" customHeight="1" s="104">
      <c r="H3370" s="198" t="n">
        <v>0</v>
      </c>
    </row>
    <row r="3371" ht="15" customHeight="1" s="104">
      <c r="H3371" s="198" t="n">
        <v>0</v>
      </c>
    </row>
    <row r="3372" ht="15" customHeight="1" s="104">
      <c r="H3372" s="198" t="n">
        <v>0</v>
      </c>
    </row>
    <row r="3373" ht="15" customHeight="1" s="104">
      <c r="H3373" s="198" t="n">
        <v>0</v>
      </c>
    </row>
    <row r="3374" ht="15" customHeight="1" s="104">
      <c r="H3374" s="198" t="n">
        <v>0</v>
      </c>
    </row>
    <row r="3375" ht="15" customHeight="1" s="104">
      <c r="H3375" s="198" t="n">
        <v>0</v>
      </c>
    </row>
    <row r="3376" ht="15" customHeight="1" s="104">
      <c r="H3376" s="198" t="n">
        <v>0</v>
      </c>
    </row>
    <row r="3377" ht="15" customHeight="1" s="104">
      <c r="H3377" s="198" t="n">
        <v>0</v>
      </c>
    </row>
    <row r="3378" ht="15" customHeight="1" s="104">
      <c r="H3378" s="198" t="n">
        <v>0</v>
      </c>
    </row>
    <row r="3379" ht="15" customHeight="1" s="104">
      <c r="H3379" s="198" t="n">
        <v>0</v>
      </c>
    </row>
    <row r="3380" ht="15" customHeight="1" s="104">
      <c r="H3380" s="198" t="n">
        <v>0</v>
      </c>
    </row>
    <row r="3381" ht="15" customHeight="1" s="104">
      <c r="H3381" s="198" t="n">
        <v>0</v>
      </c>
    </row>
    <row r="3382" ht="15" customHeight="1" s="104">
      <c r="H3382" s="198" t="n">
        <v>0</v>
      </c>
    </row>
    <row r="3383" ht="15" customHeight="1" s="104">
      <c r="H3383" s="198" t="n">
        <v>0</v>
      </c>
    </row>
    <row r="3384" ht="15" customHeight="1" s="104">
      <c r="H3384" s="198" t="n">
        <v>0</v>
      </c>
    </row>
    <row r="3385" ht="15" customHeight="1" s="104">
      <c r="H3385" s="198" t="n">
        <v>0</v>
      </c>
    </row>
    <row r="3386" ht="15" customHeight="1" s="104">
      <c r="H3386" s="198" t="n">
        <v>0</v>
      </c>
    </row>
    <row r="3387" ht="15" customHeight="1" s="104">
      <c r="H3387" s="198" t="n">
        <v>0</v>
      </c>
    </row>
    <row r="3388" ht="15" customHeight="1" s="104">
      <c r="H3388" s="198" t="n">
        <v>0</v>
      </c>
    </row>
    <row r="3389" ht="15" customHeight="1" s="104">
      <c r="H3389" s="198" t="n">
        <v>0</v>
      </c>
    </row>
    <row r="3390" ht="15" customHeight="1" s="104">
      <c r="H3390" s="198" t="n">
        <v>0</v>
      </c>
    </row>
    <row r="3391" ht="15" customHeight="1" s="104">
      <c r="H3391" s="198" t="n">
        <v>0</v>
      </c>
    </row>
    <row r="3392" ht="15" customHeight="1" s="104">
      <c r="H3392" s="198" t="n">
        <v>0</v>
      </c>
    </row>
    <row r="3393" ht="15" customHeight="1" s="104">
      <c r="H3393" s="198" t="n">
        <v>0</v>
      </c>
    </row>
    <row r="3394" ht="15" customHeight="1" s="104">
      <c r="H3394" s="198" t="n">
        <v>0</v>
      </c>
    </row>
    <row r="3395" ht="15" customHeight="1" s="104">
      <c r="H3395" s="198" t="n">
        <v>0</v>
      </c>
    </row>
    <row r="3396" ht="15" customHeight="1" s="104">
      <c r="H3396" s="198" t="n">
        <v>0</v>
      </c>
    </row>
    <row r="3397" ht="15" customHeight="1" s="104">
      <c r="H3397" s="198" t="n">
        <v>0</v>
      </c>
    </row>
    <row r="3398" ht="15" customHeight="1" s="104">
      <c r="H3398" s="198" t="n">
        <v>0</v>
      </c>
    </row>
    <row r="3399" ht="15" customHeight="1" s="104">
      <c r="H3399" s="198" t="n">
        <v>0</v>
      </c>
    </row>
    <row r="3400" ht="15" customHeight="1" s="104">
      <c r="H3400" s="198" t="n">
        <v>0</v>
      </c>
    </row>
    <row r="3401" ht="15" customHeight="1" s="104">
      <c r="H3401" s="198" t="n">
        <v>0</v>
      </c>
    </row>
    <row r="3402" ht="15" customHeight="1" s="104">
      <c r="H3402" s="198" t="n">
        <v>0</v>
      </c>
    </row>
    <row r="3403" ht="15" customHeight="1" s="104">
      <c r="H3403" s="198" t="n">
        <v>0</v>
      </c>
    </row>
    <row r="3404" ht="15" customHeight="1" s="104">
      <c r="H3404" s="198" t="n">
        <v>0</v>
      </c>
    </row>
    <row r="3405" ht="15" customHeight="1" s="104">
      <c r="H3405" s="198" t="n">
        <v>0</v>
      </c>
    </row>
    <row r="3406" ht="15" customHeight="1" s="104">
      <c r="H3406" s="198" t="n">
        <v>0</v>
      </c>
    </row>
    <row r="3407" ht="15" customHeight="1" s="104">
      <c r="H3407" s="198" t="n">
        <v>0</v>
      </c>
    </row>
    <row r="3408" ht="15" customHeight="1" s="104">
      <c r="H3408" s="198" t="n">
        <v>0</v>
      </c>
    </row>
    <row r="3409" ht="15" customHeight="1" s="104">
      <c r="H3409" s="198" t="n">
        <v>0</v>
      </c>
    </row>
    <row r="3410" ht="15" customHeight="1" s="104">
      <c r="H3410" s="198" t="n">
        <v>0</v>
      </c>
    </row>
    <row r="3411" ht="15" customHeight="1" s="104">
      <c r="H3411" s="198" t="n">
        <v>0</v>
      </c>
    </row>
    <row r="3412" ht="15" customHeight="1" s="104">
      <c r="H3412" s="198" t="n">
        <v>0</v>
      </c>
    </row>
    <row r="3413" ht="15" customHeight="1" s="104">
      <c r="H3413" s="198" t="n">
        <v>0</v>
      </c>
    </row>
    <row r="3414" ht="15" customHeight="1" s="104">
      <c r="H3414" s="198" t="n">
        <v>0</v>
      </c>
    </row>
    <row r="3415" ht="15" customHeight="1" s="104">
      <c r="H3415" s="198" t="n">
        <v>0</v>
      </c>
    </row>
    <row r="3416" ht="15" customHeight="1" s="104">
      <c r="H3416" s="198" t="n">
        <v>0</v>
      </c>
    </row>
    <row r="3417" ht="15" customHeight="1" s="104">
      <c r="H3417" s="198" t="n">
        <v>0</v>
      </c>
    </row>
    <row r="3418" ht="15" customHeight="1" s="104">
      <c r="H3418" s="198" t="n">
        <v>0</v>
      </c>
    </row>
    <row r="3419" ht="15" customHeight="1" s="104">
      <c r="H3419" s="198" t="n">
        <v>0</v>
      </c>
    </row>
    <row r="3420" ht="15" customHeight="1" s="104">
      <c r="H3420" s="198" t="n">
        <v>0</v>
      </c>
    </row>
    <row r="3421" ht="15" customHeight="1" s="104">
      <c r="H3421" s="198" t="n">
        <v>0</v>
      </c>
    </row>
    <row r="3422" ht="15" customHeight="1" s="104">
      <c r="H3422" s="198" t="n">
        <v>0</v>
      </c>
    </row>
    <row r="3423" ht="15" customHeight="1" s="104">
      <c r="H3423" s="198" t="n">
        <v>0</v>
      </c>
    </row>
    <row r="3424" ht="15" customHeight="1" s="104">
      <c r="H3424" s="198" t="n">
        <v>0</v>
      </c>
    </row>
    <row r="3425" ht="15" customHeight="1" s="104">
      <c r="H3425" s="198" t="n">
        <v>0</v>
      </c>
    </row>
    <row r="3426" ht="15" customHeight="1" s="104">
      <c r="H3426" s="198" t="n">
        <v>0</v>
      </c>
    </row>
    <row r="3427" ht="15" customHeight="1" s="104">
      <c r="H3427" s="198" t="n">
        <v>0</v>
      </c>
    </row>
    <row r="3428" ht="15" customHeight="1" s="104">
      <c r="H3428" s="198" t="n">
        <v>0</v>
      </c>
    </row>
    <row r="3429" ht="15" customHeight="1" s="104">
      <c r="H3429" s="198" t="n">
        <v>0</v>
      </c>
    </row>
    <row r="3430" ht="15" customHeight="1" s="104">
      <c r="H3430" s="198" t="n">
        <v>0</v>
      </c>
    </row>
    <row r="3431" ht="15" customHeight="1" s="104">
      <c r="H3431" s="198" t="n">
        <v>0</v>
      </c>
    </row>
    <row r="3432" ht="15" customHeight="1" s="104">
      <c r="H3432" s="198" t="n">
        <v>0</v>
      </c>
    </row>
    <row r="3433" ht="15" customHeight="1" s="104">
      <c r="H3433" s="198" t="n">
        <v>0</v>
      </c>
    </row>
    <row r="3434" ht="15" customHeight="1" s="104">
      <c r="H3434" s="198" t="n">
        <v>0</v>
      </c>
    </row>
    <row r="3435" ht="15" customHeight="1" s="104">
      <c r="H3435" s="198" t="n">
        <v>0</v>
      </c>
    </row>
    <row r="3436" ht="15" customHeight="1" s="104">
      <c r="H3436" s="198" t="n">
        <v>0</v>
      </c>
    </row>
    <row r="3437" ht="15" customHeight="1" s="104">
      <c r="H3437" s="198" t="n">
        <v>0</v>
      </c>
    </row>
    <row r="3438" ht="15" customHeight="1" s="104">
      <c r="H3438" s="198" t="n">
        <v>0</v>
      </c>
    </row>
    <row r="3439" ht="15" customHeight="1" s="104">
      <c r="H3439" s="198" t="n">
        <v>0</v>
      </c>
    </row>
    <row r="3440" ht="15" customHeight="1" s="104">
      <c r="H3440" s="198" t="n">
        <v>0</v>
      </c>
    </row>
    <row r="3441" ht="15" customHeight="1" s="104">
      <c r="H3441" s="198" t="n">
        <v>0</v>
      </c>
    </row>
    <row r="3442" ht="15" customHeight="1" s="104">
      <c r="H3442" s="198" t="n">
        <v>0</v>
      </c>
    </row>
    <row r="3443" ht="15" customHeight="1" s="104">
      <c r="H3443" s="198" t="n">
        <v>0</v>
      </c>
    </row>
    <row r="3444" ht="15" customHeight="1" s="104">
      <c r="H3444" s="198" t="n">
        <v>0</v>
      </c>
    </row>
    <row r="3445" ht="15" customHeight="1" s="104">
      <c r="H3445" s="198" t="n">
        <v>0</v>
      </c>
    </row>
    <row r="3446" ht="15" customHeight="1" s="104">
      <c r="H3446" s="198" t="n">
        <v>0</v>
      </c>
    </row>
    <row r="3447" ht="15" customHeight="1" s="104">
      <c r="H3447" s="198" t="n">
        <v>0</v>
      </c>
    </row>
    <row r="3448" ht="15" customHeight="1" s="104">
      <c r="H3448" s="198" t="n">
        <v>0</v>
      </c>
    </row>
    <row r="3449" ht="15" customHeight="1" s="104">
      <c r="H3449" s="198" t="n">
        <v>0</v>
      </c>
    </row>
    <row r="3450" ht="15" customHeight="1" s="104">
      <c r="H3450" s="198" t="n">
        <v>0</v>
      </c>
    </row>
    <row r="3451" ht="15" customHeight="1" s="104">
      <c r="H3451" s="198" t="n">
        <v>0</v>
      </c>
    </row>
    <row r="3452" ht="15" customHeight="1" s="104">
      <c r="H3452" s="198" t="n">
        <v>0</v>
      </c>
    </row>
    <row r="3453" ht="15" customHeight="1" s="104">
      <c r="H3453" s="198" t="n">
        <v>0</v>
      </c>
    </row>
    <row r="3454" ht="15" customHeight="1" s="104">
      <c r="H3454" s="198" t="n">
        <v>0</v>
      </c>
    </row>
    <row r="3455" ht="15" customHeight="1" s="104">
      <c r="H3455" s="198" t="n">
        <v>0</v>
      </c>
    </row>
    <row r="3456" ht="15" customHeight="1" s="104">
      <c r="H3456" s="198" t="n">
        <v>0</v>
      </c>
    </row>
    <row r="3457" ht="15" customHeight="1" s="104">
      <c r="H3457" s="198" t="n">
        <v>0</v>
      </c>
    </row>
    <row r="3458" ht="15" customHeight="1" s="104">
      <c r="H3458" s="198" t="n">
        <v>0</v>
      </c>
    </row>
    <row r="3459" ht="15" customHeight="1" s="104">
      <c r="H3459" s="198" t="n">
        <v>0</v>
      </c>
    </row>
    <row r="3460" ht="15" customHeight="1" s="104">
      <c r="H3460" s="198" t="n">
        <v>0</v>
      </c>
    </row>
    <row r="3461" ht="15" customHeight="1" s="104">
      <c r="H3461" s="198" t="n">
        <v>0</v>
      </c>
    </row>
    <row r="3462" ht="15" customHeight="1" s="104">
      <c r="H3462" s="198" t="n">
        <v>0</v>
      </c>
    </row>
    <row r="3463" ht="15" customHeight="1" s="104">
      <c r="H3463" s="198" t="n">
        <v>0</v>
      </c>
    </row>
    <row r="3464" ht="15" customHeight="1" s="104">
      <c r="H3464" s="198" t="n">
        <v>0</v>
      </c>
    </row>
    <row r="3465" ht="15" customHeight="1" s="104">
      <c r="H3465" s="198" t="n">
        <v>0</v>
      </c>
    </row>
    <row r="3466" ht="15" customHeight="1" s="104">
      <c r="H3466" s="198" t="n">
        <v>0</v>
      </c>
    </row>
    <row r="3467" ht="15" customHeight="1" s="104">
      <c r="H3467" s="198" t="n">
        <v>0</v>
      </c>
    </row>
    <row r="3468" ht="15" customHeight="1" s="104">
      <c r="H3468" s="198" t="n">
        <v>0</v>
      </c>
    </row>
    <row r="3469" ht="15" customHeight="1" s="104">
      <c r="H3469" s="198" t="n">
        <v>0</v>
      </c>
    </row>
    <row r="3470" ht="15" customHeight="1" s="104">
      <c r="H3470" s="198" t="n">
        <v>0</v>
      </c>
    </row>
    <row r="3471" ht="15" customHeight="1" s="104">
      <c r="H3471" s="198" t="n">
        <v>0</v>
      </c>
    </row>
    <row r="3472" ht="15" customHeight="1" s="104">
      <c r="H3472" s="198" t="n">
        <v>0</v>
      </c>
    </row>
    <row r="3473" ht="15" customHeight="1" s="104">
      <c r="H3473" s="198" t="n">
        <v>0</v>
      </c>
    </row>
    <row r="3474" ht="15" customHeight="1" s="104">
      <c r="H3474" s="198" t="n">
        <v>0</v>
      </c>
    </row>
    <row r="3475" ht="15" customHeight="1" s="104">
      <c r="H3475" s="198" t="n">
        <v>0</v>
      </c>
    </row>
    <row r="3476" ht="15" customHeight="1" s="104">
      <c r="H3476" s="198" t="n">
        <v>0</v>
      </c>
    </row>
    <row r="3477" ht="15" customHeight="1" s="104">
      <c r="H3477" s="198" t="n">
        <v>0</v>
      </c>
    </row>
    <row r="3478" ht="15" customHeight="1" s="104">
      <c r="H3478" s="198" t="n">
        <v>0</v>
      </c>
    </row>
    <row r="3479" ht="15" customHeight="1" s="104">
      <c r="H3479" s="198" t="n">
        <v>0</v>
      </c>
    </row>
    <row r="3480" ht="15" customHeight="1" s="104">
      <c r="H3480" s="198" t="n">
        <v>0</v>
      </c>
    </row>
    <row r="3481" ht="15" customHeight="1" s="104">
      <c r="H3481" s="198" t="n">
        <v>0</v>
      </c>
    </row>
    <row r="3482" ht="15" customHeight="1" s="104">
      <c r="H3482" s="198" t="n">
        <v>0</v>
      </c>
    </row>
    <row r="3483" ht="15" customHeight="1" s="104">
      <c r="H3483" s="198" t="n">
        <v>0</v>
      </c>
    </row>
    <row r="3484" ht="15" customHeight="1" s="104">
      <c r="H3484" s="198" t="n">
        <v>0</v>
      </c>
    </row>
    <row r="3485" ht="15" customHeight="1" s="104">
      <c r="H3485" s="198" t="n">
        <v>0</v>
      </c>
    </row>
    <row r="3486" ht="15" customHeight="1" s="104">
      <c r="H3486" s="198" t="n">
        <v>0</v>
      </c>
    </row>
    <row r="3487" ht="15" customHeight="1" s="104">
      <c r="H3487" s="198" t="n">
        <v>0</v>
      </c>
    </row>
    <row r="3488" ht="15" customHeight="1" s="104">
      <c r="H3488" s="198" t="n">
        <v>0</v>
      </c>
    </row>
    <row r="3489" ht="15" customHeight="1" s="104">
      <c r="H3489" s="198" t="n">
        <v>0</v>
      </c>
    </row>
    <row r="3490" ht="15" customHeight="1" s="104">
      <c r="H3490" s="198" t="n">
        <v>0</v>
      </c>
    </row>
    <row r="3491" ht="15" customHeight="1" s="104">
      <c r="H3491" s="198" t="n">
        <v>0</v>
      </c>
    </row>
    <row r="3492" ht="15" customHeight="1" s="104">
      <c r="H3492" s="198" t="n">
        <v>0</v>
      </c>
    </row>
    <row r="3493" ht="15" customHeight="1" s="104">
      <c r="H3493" s="198" t="n">
        <v>0</v>
      </c>
    </row>
    <row r="3494" ht="15" customHeight="1" s="104">
      <c r="H3494" s="198" t="n">
        <v>0</v>
      </c>
    </row>
    <row r="3495" ht="15" customHeight="1" s="104">
      <c r="H3495" s="198" t="n">
        <v>0</v>
      </c>
    </row>
    <row r="3496" ht="15" customHeight="1" s="104">
      <c r="H3496" s="198" t="n">
        <v>0</v>
      </c>
    </row>
    <row r="3497" ht="15" customHeight="1" s="104">
      <c r="H3497" s="198" t="n">
        <v>0</v>
      </c>
    </row>
    <row r="3498" ht="15" customHeight="1" s="104">
      <c r="H3498" s="198" t="n">
        <v>0</v>
      </c>
    </row>
    <row r="3499" ht="15" customHeight="1" s="104">
      <c r="H3499" s="198" t="n">
        <v>0</v>
      </c>
    </row>
    <row r="3500" ht="15" customHeight="1" s="104">
      <c r="H3500" s="198" t="n">
        <v>0</v>
      </c>
    </row>
    <row r="3501" ht="15" customHeight="1" s="104">
      <c r="H3501" s="198" t="n">
        <v>0</v>
      </c>
    </row>
    <row r="3502" ht="15" customHeight="1" s="104">
      <c r="H3502" s="198" t="n">
        <v>0</v>
      </c>
    </row>
    <row r="3503" ht="15" customHeight="1" s="104">
      <c r="H3503" s="198" t="n">
        <v>0</v>
      </c>
    </row>
    <row r="3504" ht="15" customHeight="1" s="104">
      <c r="H3504" s="198" t="n">
        <v>0</v>
      </c>
    </row>
    <row r="3505" ht="15" customHeight="1" s="104">
      <c r="H3505" s="198" t="n">
        <v>0</v>
      </c>
    </row>
    <row r="3506" ht="15" customHeight="1" s="104">
      <c r="H3506" s="198" t="n">
        <v>0</v>
      </c>
    </row>
    <row r="3507" ht="15" customHeight="1" s="104">
      <c r="H3507" s="198" t="n">
        <v>0</v>
      </c>
    </row>
    <row r="3508" ht="15" customHeight="1" s="104">
      <c r="H3508" s="198" t="n">
        <v>0</v>
      </c>
    </row>
    <row r="3509" ht="15" customHeight="1" s="104">
      <c r="H3509" s="198" t="n">
        <v>0</v>
      </c>
    </row>
    <row r="3510" ht="15" customHeight="1" s="104">
      <c r="H3510" s="198" t="n">
        <v>0</v>
      </c>
    </row>
    <row r="3511" ht="15" customHeight="1" s="104">
      <c r="H3511" s="198" t="n">
        <v>0</v>
      </c>
    </row>
    <row r="3512" ht="15" customHeight="1" s="104">
      <c r="H3512" s="198" t="n">
        <v>0</v>
      </c>
    </row>
    <row r="3513" ht="15" customHeight="1" s="104">
      <c r="H3513" s="198" t="n">
        <v>0</v>
      </c>
    </row>
    <row r="3514" ht="15" customHeight="1" s="104">
      <c r="H3514" s="198" t="n">
        <v>0</v>
      </c>
    </row>
    <row r="3515" ht="15" customHeight="1" s="104">
      <c r="H3515" s="198" t="n">
        <v>0</v>
      </c>
    </row>
    <row r="3516" ht="15" customHeight="1" s="104">
      <c r="H3516" s="198" t="n">
        <v>0</v>
      </c>
    </row>
    <row r="3517" ht="15" customHeight="1" s="104">
      <c r="H3517" s="198" t="n">
        <v>0</v>
      </c>
    </row>
    <row r="3518" ht="15" customHeight="1" s="104">
      <c r="H3518" s="198" t="n">
        <v>0</v>
      </c>
    </row>
    <row r="3519" ht="15" customHeight="1" s="104">
      <c r="H3519" s="198" t="n">
        <v>0</v>
      </c>
    </row>
    <row r="3520" ht="15" customHeight="1" s="104">
      <c r="H3520" s="198" t="n">
        <v>0</v>
      </c>
    </row>
    <row r="3521" ht="15" customHeight="1" s="104">
      <c r="H3521" s="198" t="n">
        <v>0</v>
      </c>
    </row>
    <row r="3522" ht="15" customHeight="1" s="104">
      <c r="H3522" s="198" t="n">
        <v>0</v>
      </c>
    </row>
    <row r="3523" ht="15" customHeight="1" s="104">
      <c r="H3523" s="198" t="n">
        <v>0</v>
      </c>
    </row>
    <row r="3524" ht="15" customHeight="1" s="104">
      <c r="H3524" s="198" t="n">
        <v>0</v>
      </c>
    </row>
    <row r="3525" ht="15" customHeight="1" s="104">
      <c r="H3525" s="198" t="n">
        <v>0</v>
      </c>
    </row>
    <row r="3526" ht="15" customHeight="1" s="104">
      <c r="H3526" s="198" t="n">
        <v>0</v>
      </c>
    </row>
    <row r="3527" ht="15" customHeight="1" s="104">
      <c r="H3527" s="198" t="n">
        <v>0</v>
      </c>
    </row>
    <row r="3528" ht="15" customHeight="1" s="104">
      <c r="H3528" s="198" t="n">
        <v>0</v>
      </c>
    </row>
    <row r="3529" ht="15" customHeight="1" s="104">
      <c r="H3529" s="198" t="n">
        <v>0</v>
      </c>
    </row>
    <row r="3530" ht="15" customHeight="1" s="104">
      <c r="H3530" s="198" t="n">
        <v>0</v>
      </c>
    </row>
    <row r="3531" ht="15" customHeight="1" s="104">
      <c r="H3531" s="198" t="n">
        <v>0</v>
      </c>
    </row>
    <row r="3532" ht="15" customHeight="1" s="104">
      <c r="H3532" s="198" t="n">
        <v>0</v>
      </c>
    </row>
    <row r="3533" ht="15" customHeight="1" s="104">
      <c r="H3533" s="198" t="n">
        <v>0</v>
      </c>
    </row>
    <row r="3534" ht="15" customHeight="1" s="104">
      <c r="H3534" s="198" t="n">
        <v>0</v>
      </c>
    </row>
    <row r="3535" ht="15" customHeight="1" s="104">
      <c r="H3535" s="198" t="n">
        <v>0</v>
      </c>
    </row>
    <row r="3536" ht="15" customHeight="1" s="104">
      <c r="H3536" s="198" t="n">
        <v>0</v>
      </c>
    </row>
    <row r="3537" ht="15" customHeight="1" s="104">
      <c r="H3537" s="198" t="n">
        <v>0</v>
      </c>
    </row>
    <row r="3538" ht="15" customHeight="1" s="104">
      <c r="H3538" s="198" t="n">
        <v>0</v>
      </c>
    </row>
    <row r="3539" ht="15" customHeight="1" s="104">
      <c r="H3539" s="198" t="n">
        <v>0</v>
      </c>
    </row>
    <row r="3540" ht="15" customHeight="1" s="104">
      <c r="H3540" s="198" t="n">
        <v>0</v>
      </c>
    </row>
    <row r="3541" ht="15" customHeight="1" s="104">
      <c r="H3541" s="198" t="n">
        <v>0</v>
      </c>
    </row>
    <row r="3542" ht="15" customHeight="1" s="104">
      <c r="H3542" s="198" t="n">
        <v>0</v>
      </c>
    </row>
    <row r="3543" ht="15" customHeight="1" s="104">
      <c r="H3543" s="198" t="n">
        <v>0</v>
      </c>
    </row>
    <row r="3544" ht="15" customHeight="1" s="104">
      <c r="H3544" s="198" t="n">
        <v>0</v>
      </c>
    </row>
    <row r="3545" ht="15" customHeight="1" s="104">
      <c r="H3545" s="198" t="n">
        <v>0</v>
      </c>
    </row>
    <row r="3546" ht="15" customHeight="1" s="104">
      <c r="H3546" s="198" t="n">
        <v>0</v>
      </c>
    </row>
    <row r="3547" ht="15" customHeight="1" s="104">
      <c r="H3547" s="198" t="n">
        <v>0</v>
      </c>
    </row>
    <row r="3548" ht="15" customHeight="1" s="104">
      <c r="H3548" s="198" t="n">
        <v>0</v>
      </c>
    </row>
    <row r="3549" ht="15" customHeight="1" s="104">
      <c r="H3549" s="198" t="n">
        <v>0</v>
      </c>
    </row>
    <row r="3550" ht="15" customHeight="1" s="104">
      <c r="H3550" s="198" t="n">
        <v>0</v>
      </c>
    </row>
    <row r="3551" ht="15" customHeight="1" s="104">
      <c r="H3551" s="198" t="n">
        <v>0</v>
      </c>
    </row>
    <row r="3552" ht="15" customHeight="1" s="104">
      <c r="H3552" s="198" t="n">
        <v>0</v>
      </c>
    </row>
    <row r="3553" ht="15" customHeight="1" s="104">
      <c r="H3553" s="198" t="n">
        <v>0</v>
      </c>
    </row>
    <row r="3554" ht="15" customHeight="1" s="104">
      <c r="H3554" s="198" t="n">
        <v>0</v>
      </c>
    </row>
    <row r="3555" ht="15" customHeight="1" s="104">
      <c r="H3555" s="198" t="n">
        <v>0</v>
      </c>
    </row>
    <row r="3556" ht="15" customHeight="1" s="104">
      <c r="H3556" s="198" t="n">
        <v>0</v>
      </c>
    </row>
    <row r="3557" ht="15" customHeight="1" s="104">
      <c r="H3557" s="198" t="n">
        <v>0</v>
      </c>
    </row>
    <row r="3558" ht="15" customHeight="1" s="104">
      <c r="H3558" s="198" t="n">
        <v>0</v>
      </c>
    </row>
    <row r="3559" ht="15" customHeight="1" s="104">
      <c r="H3559" s="198" t="n">
        <v>0</v>
      </c>
    </row>
    <row r="3560" ht="15" customHeight="1" s="104">
      <c r="H3560" s="198" t="n">
        <v>0</v>
      </c>
    </row>
    <row r="3561" ht="15" customHeight="1" s="104">
      <c r="H3561" s="198" t="n">
        <v>0</v>
      </c>
    </row>
    <row r="3562" ht="15" customHeight="1" s="104">
      <c r="H3562" s="198" t="n">
        <v>0</v>
      </c>
    </row>
    <row r="3563" ht="15" customHeight="1" s="104">
      <c r="H3563" s="198" t="n">
        <v>0</v>
      </c>
    </row>
    <row r="3564" ht="15" customHeight="1" s="104">
      <c r="H3564" s="198" t="n">
        <v>0</v>
      </c>
    </row>
    <row r="3565" ht="15" customHeight="1" s="104">
      <c r="H3565" s="198" t="n">
        <v>0</v>
      </c>
    </row>
    <row r="3566" ht="15" customHeight="1" s="104">
      <c r="H3566" s="198" t="n">
        <v>0</v>
      </c>
    </row>
    <row r="3567" ht="15" customHeight="1" s="104">
      <c r="H3567" s="198" t="n">
        <v>0</v>
      </c>
    </row>
    <row r="3568" ht="15" customHeight="1" s="104">
      <c r="H3568" s="198" t="n">
        <v>0</v>
      </c>
    </row>
    <row r="3569" ht="15" customHeight="1" s="104">
      <c r="H3569" s="198" t="n">
        <v>0</v>
      </c>
    </row>
    <row r="3570" ht="15" customHeight="1" s="104">
      <c r="H3570" s="198" t="n">
        <v>0</v>
      </c>
    </row>
    <row r="3571" ht="15" customHeight="1" s="104">
      <c r="H3571" s="198" t="n">
        <v>0</v>
      </c>
    </row>
    <row r="3572" ht="15" customHeight="1" s="104">
      <c r="H3572" s="198" t="n">
        <v>0</v>
      </c>
    </row>
    <row r="3573" ht="15" customHeight="1" s="104">
      <c r="H3573" s="198" t="n">
        <v>0</v>
      </c>
    </row>
    <row r="3574" ht="15" customHeight="1" s="104">
      <c r="H3574" s="198" t="n">
        <v>0</v>
      </c>
    </row>
    <row r="3575" ht="15" customHeight="1" s="104">
      <c r="H3575" s="198" t="n">
        <v>0</v>
      </c>
    </row>
    <row r="3576" ht="15" customHeight="1" s="104">
      <c r="H3576" s="198" t="n">
        <v>0</v>
      </c>
    </row>
    <row r="3577" ht="15" customHeight="1" s="104">
      <c r="H3577" s="198" t="n">
        <v>0</v>
      </c>
    </row>
    <row r="3578" ht="15" customHeight="1" s="104">
      <c r="H3578" s="198" t="n">
        <v>0</v>
      </c>
    </row>
    <row r="3579" ht="15" customHeight="1" s="104">
      <c r="H3579" s="198" t="n">
        <v>0</v>
      </c>
    </row>
    <row r="3580" ht="15" customHeight="1" s="104">
      <c r="H3580" s="198" t="n">
        <v>0</v>
      </c>
    </row>
    <row r="3581" ht="15" customHeight="1" s="104">
      <c r="H3581" s="198" t="n">
        <v>0</v>
      </c>
    </row>
    <row r="3582" ht="15" customHeight="1" s="104">
      <c r="H3582" s="198" t="n">
        <v>0</v>
      </c>
    </row>
    <row r="3583" ht="15" customHeight="1" s="104">
      <c r="H3583" s="198" t="n">
        <v>0</v>
      </c>
    </row>
    <row r="3584" ht="15" customHeight="1" s="104">
      <c r="H3584" s="198" t="n">
        <v>0</v>
      </c>
    </row>
    <row r="3585" ht="15" customHeight="1" s="104">
      <c r="H3585" s="198" t="n">
        <v>0</v>
      </c>
    </row>
    <row r="3586" ht="15" customHeight="1" s="104">
      <c r="H3586" s="198" t="n">
        <v>0</v>
      </c>
    </row>
    <row r="3587" ht="15" customHeight="1" s="104">
      <c r="H3587" s="198" t="n">
        <v>0</v>
      </c>
    </row>
    <row r="3588" ht="15" customHeight="1" s="104">
      <c r="H3588" s="198" t="n">
        <v>0</v>
      </c>
    </row>
    <row r="3589" ht="15" customHeight="1" s="104">
      <c r="H3589" s="198" t="n">
        <v>0</v>
      </c>
    </row>
    <row r="3590" ht="15" customHeight="1" s="104">
      <c r="H3590" s="198" t="n">
        <v>0</v>
      </c>
    </row>
    <row r="3591" ht="15" customHeight="1" s="104">
      <c r="H3591" s="198" t="n">
        <v>0</v>
      </c>
    </row>
    <row r="3592" ht="15" customHeight="1" s="104">
      <c r="H3592" s="198" t="n">
        <v>0</v>
      </c>
    </row>
    <row r="3593" ht="15" customHeight="1" s="104">
      <c r="H3593" s="198" t="n">
        <v>0</v>
      </c>
    </row>
    <row r="3594" ht="15" customHeight="1" s="104">
      <c r="H3594" s="198" t="n">
        <v>0</v>
      </c>
    </row>
    <row r="3595" ht="15" customHeight="1" s="104">
      <c r="H3595" s="198" t="n">
        <v>0</v>
      </c>
    </row>
    <row r="3596" ht="15" customHeight="1" s="104">
      <c r="H3596" s="198" t="n">
        <v>0</v>
      </c>
    </row>
    <row r="3597" ht="15" customHeight="1" s="104">
      <c r="H3597" s="198" t="n">
        <v>0</v>
      </c>
    </row>
    <row r="3598" ht="15" customHeight="1" s="104">
      <c r="H3598" s="198" t="n">
        <v>0</v>
      </c>
    </row>
    <row r="3599" ht="15" customHeight="1" s="104">
      <c r="H3599" s="198" t="n">
        <v>0</v>
      </c>
    </row>
    <row r="3600" ht="15" customHeight="1" s="104">
      <c r="H3600" s="198" t="n">
        <v>0</v>
      </c>
    </row>
    <row r="3601" ht="15" customHeight="1" s="104">
      <c r="H3601" s="198" t="n">
        <v>0</v>
      </c>
    </row>
    <row r="3602" ht="15" customHeight="1" s="104">
      <c r="H3602" s="198" t="n">
        <v>0</v>
      </c>
    </row>
    <row r="3603" ht="15" customHeight="1" s="104">
      <c r="H3603" s="198" t="n">
        <v>0</v>
      </c>
    </row>
    <row r="3604" ht="15" customHeight="1" s="104">
      <c r="H3604" s="198" t="n">
        <v>0</v>
      </c>
    </row>
    <row r="3605" ht="15" customHeight="1" s="104">
      <c r="H3605" s="198" t="n">
        <v>0</v>
      </c>
    </row>
    <row r="3606" ht="15" customHeight="1" s="104">
      <c r="H3606" s="198" t="n">
        <v>0</v>
      </c>
    </row>
    <row r="3607" ht="15" customHeight="1" s="104">
      <c r="H3607" s="198" t="n">
        <v>0</v>
      </c>
    </row>
    <row r="3608" ht="15" customHeight="1" s="104">
      <c r="H3608" s="198" t="n">
        <v>0</v>
      </c>
    </row>
    <row r="3609" ht="15" customHeight="1" s="104">
      <c r="H3609" s="198" t="n">
        <v>0</v>
      </c>
    </row>
    <row r="3610" ht="15" customHeight="1" s="104">
      <c r="H3610" s="198" t="n">
        <v>0</v>
      </c>
    </row>
    <row r="3611" ht="15" customHeight="1" s="104">
      <c r="H3611" s="198" t="n">
        <v>0</v>
      </c>
    </row>
    <row r="3612" ht="15" customHeight="1" s="104">
      <c r="H3612" s="198" t="n">
        <v>0</v>
      </c>
    </row>
    <row r="3613" ht="15" customHeight="1" s="104">
      <c r="H3613" s="198" t="n">
        <v>0</v>
      </c>
    </row>
    <row r="3614" ht="15" customHeight="1" s="104">
      <c r="H3614" s="198" t="n">
        <v>0</v>
      </c>
    </row>
    <row r="3615" ht="15" customHeight="1" s="104">
      <c r="H3615" s="198" t="n">
        <v>0</v>
      </c>
    </row>
    <row r="3616" ht="15" customHeight="1" s="104">
      <c r="H3616" s="198" t="n">
        <v>0</v>
      </c>
    </row>
    <row r="3617" ht="15" customHeight="1" s="104">
      <c r="H3617" s="198" t="n">
        <v>0</v>
      </c>
    </row>
    <row r="3618" ht="15" customHeight="1" s="104">
      <c r="H3618" s="198" t="n">
        <v>0</v>
      </c>
    </row>
    <row r="3619" ht="15" customHeight="1" s="104">
      <c r="H3619" s="198" t="n">
        <v>0</v>
      </c>
    </row>
    <row r="3620" ht="15" customHeight="1" s="104">
      <c r="H3620" s="198" t="n">
        <v>0</v>
      </c>
    </row>
    <row r="3621" ht="15" customHeight="1" s="104">
      <c r="H3621" s="198" t="n">
        <v>0</v>
      </c>
    </row>
    <row r="3622" ht="15" customHeight="1" s="104">
      <c r="H3622" s="198" t="n">
        <v>0</v>
      </c>
    </row>
    <row r="3623" ht="15" customHeight="1" s="104">
      <c r="H3623" s="198" t="n">
        <v>0</v>
      </c>
    </row>
    <row r="3624" ht="15" customHeight="1" s="104">
      <c r="H3624" s="198" t="n">
        <v>0</v>
      </c>
    </row>
    <row r="3625" ht="15" customHeight="1" s="104">
      <c r="H3625" s="198" t="n">
        <v>0</v>
      </c>
    </row>
    <row r="3626" ht="15" customHeight="1" s="104">
      <c r="H3626" s="198" t="n">
        <v>0</v>
      </c>
    </row>
    <row r="3627" ht="15" customHeight="1" s="104">
      <c r="H3627" s="198" t="n">
        <v>0</v>
      </c>
    </row>
    <row r="3628" ht="15" customHeight="1" s="104">
      <c r="H3628" s="198" t="n">
        <v>0</v>
      </c>
    </row>
    <row r="3629" ht="15" customHeight="1" s="104">
      <c r="H3629" s="198" t="n">
        <v>0</v>
      </c>
    </row>
    <row r="3630" ht="15" customHeight="1" s="104">
      <c r="H3630" s="198" t="n">
        <v>0</v>
      </c>
    </row>
    <row r="3631" ht="15" customHeight="1" s="104">
      <c r="H3631" s="198" t="n">
        <v>0</v>
      </c>
    </row>
    <row r="3632" ht="15" customHeight="1" s="104">
      <c r="H3632" s="198" t="n">
        <v>0</v>
      </c>
    </row>
    <row r="3633" ht="15" customHeight="1" s="104">
      <c r="H3633" s="198" t="n">
        <v>0</v>
      </c>
    </row>
    <row r="3634" ht="15" customHeight="1" s="104">
      <c r="H3634" s="198" t="n">
        <v>0</v>
      </c>
    </row>
    <row r="3635" ht="15" customHeight="1" s="104">
      <c r="H3635" s="198" t="n">
        <v>0</v>
      </c>
    </row>
    <row r="3636" ht="15" customHeight="1" s="104">
      <c r="H3636" s="198" t="n">
        <v>0</v>
      </c>
    </row>
    <row r="3637" ht="15" customHeight="1" s="104">
      <c r="H3637" s="198" t="n">
        <v>0</v>
      </c>
    </row>
    <row r="3638" ht="15" customHeight="1" s="104">
      <c r="H3638" s="198" t="n">
        <v>0</v>
      </c>
    </row>
    <row r="3639" ht="15" customHeight="1" s="104">
      <c r="H3639" s="198" t="n">
        <v>0</v>
      </c>
    </row>
    <row r="3640" ht="15" customHeight="1" s="104">
      <c r="H3640" s="198" t="n">
        <v>0</v>
      </c>
    </row>
    <row r="3641" ht="15" customHeight="1" s="104">
      <c r="H3641" s="198" t="n">
        <v>0</v>
      </c>
    </row>
    <row r="3642" ht="15" customHeight="1" s="104">
      <c r="H3642" s="198" t="n">
        <v>0</v>
      </c>
    </row>
    <row r="3643" ht="15" customHeight="1" s="104">
      <c r="H3643" s="198" t="n">
        <v>0</v>
      </c>
    </row>
    <row r="3644" ht="15" customHeight="1" s="104">
      <c r="H3644" s="198" t="n">
        <v>0</v>
      </c>
    </row>
    <row r="3645" ht="15" customHeight="1" s="104">
      <c r="H3645" s="198" t="n">
        <v>0</v>
      </c>
    </row>
    <row r="3646" ht="15" customHeight="1" s="104">
      <c r="H3646" s="198" t="n">
        <v>0</v>
      </c>
    </row>
    <row r="3647" ht="15" customHeight="1" s="104">
      <c r="H3647" s="198" t="n">
        <v>0</v>
      </c>
    </row>
    <row r="3648" ht="15" customHeight="1" s="104">
      <c r="H3648" s="198" t="n">
        <v>0</v>
      </c>
    </row>
    <row r="3649" ht="15" customHeight="1" s="104">
      <c r="H3649" s="198" t="n">
        <v>0</v>
      </c>
    </row>
    <row r="3650" ht="15" customHeight="1" s="104">
      <c r="H3650" s="198" t="n">
        <v>0</v>
      </c>
    </row>
    <row r="3651" ht="15" customHeight="1" s="104">
      <c r="H3651" s="198" t="n">
        <v>0</v>
      </c>
    </row>
    <row r="3652" ht="15" customHeight="1" s="104">
      <c r="H3652" s="198" t="n">
        <v>0</v>
      </c>
    </row>
    <row r="3653" ht="15" customHeight="1" s="104">
      <c r="H3653" s="198" t="n">
        <v>0</v>
      </c>
    </row>
    <row r="3654" ht="15" customHeight="1" s="104">
      <c r="H3654" s="198" t="n">
        <v>0</v>
      </c>
    </row>
    <row r="3655" ht="15" customHeight="1" s="104">
      <c r="H3655" s="198" t="n">
        <v>0</v>
      </c>
    </row>
    <row r="3656" ht="15" customHeight="1" s="104">
      <c r="H3656" s="198" t="n">
        <v>0</v>
      </c>
    </row>
    <row r="3657" ht="15" customHeight="1" s="104">
      <c r="H3657" s="198" t="n">
        <v>0</v>
      </c>
    </row>
    <row r="3658" ht="15" customHeight="1" s="104">
      <c r="H3658" s="198" t="n">
        <v>0</v>
      </c>
    </row>
    <row r="3659" ht="15" customHeight="1" s="104">
      <c r="H3659" s="198" t="n">
        <v>0</v>
      </c>
    </row>
    <row r="3660" ht="15" customHeight="1" s="104">
      <c r="H3660" s="198" t="n">
        <v>0</v>
      </c>
    </row>
    <row r="3661" ht="15" customHeight="1" s="104">
      <c r="H3661" s="198" t="n">
        <v>0</v>
      </c>
    </row>
    <row r="3662" ht="15" customHeight="1" s="104">
      <c r="H3662" s="198" t="n">
        <v>0</v>
      </c>
    </row>
    <row r="3663" ht="15" customHeight="1" s="104">
      <c r="H3663" s="198" t="n">
        <v>0</v>
      </c>
    </row>
    <row r="3664" ht="15" customHeight="1" s="104">
      <c r="H3664" s="198" t="n">
        <v>0</v>
      </c>
    </row>
    <row r="3665" ht="15" customHeight="1" s="104">
      <c r="H3665" s="198" t="n">
        <v>0</v>
      </c>
    </row>
    <row r="3666" ht="15" customHeight="1" s="104">
      <c r="H3666" s="198" t="n">
        <v>0</v>
      </c>
    </row>
    <row r="3667" ht="15" customHeight="1" s="104">
      <c r="H3667" s="198" t="n">
        <v>0</v>
      </c>
    </row>
    <row r="3668" ht="15" customHeight="1" s="104">
      <c r="H3668" s="198" t="n">
        <v>0</v>
      </c>
    </row>
    <row r="3669" ht="15" customHeight="1" s="104">
      <c r="H3669" s="198" t="n">
        <v>0</v>
      </c>
    </row>
    <row r="3670" ht="15" customHeight="1" s="104">
      <c r="H3670" s="198" t="n">
        <v>0</v>
      </c>
    </row>
    <row r="3671" ht="15" customHeight="1" s="104">
      <c r="H3671" s="198" t="n">
        <v>0</v>
      </c>
    </row>
    <row r="3672" ht="15" customHeight="1" s="104">
      <c r="H3672" s="198" t="n">
        <v>0</v>
      </c>
    </row>
    <row r="3673" ht="15" customHeight="1" s="104">
      <c r="H3673" s="198" t="n">
        <v>0</v>
      </c>
    </row>
    <row r="3674" ht="15" customHeight="1" s="104">
      <c r="H3674" s="198" t="n">
        <v>0</v>
      </c>
    </row>
    <row r="3675" ht="15" customHeight="1" s="104">
      <c r="H3675" s="198" t="n">
        <v>0</v>
      </c>
    </row>
    <row r="3676" ht="15" customHeight="1" s="104">
      <c r="H3676" s="198" t="n">
        <v>0</v>
      </c>
    </row>
    <row r="3677" ht="15" customHeight="1" s="104">
      <c r="H3677" s="198" t="n">
        <v>0</v>
      </c>
    </row>
    <row r="3678" ht="15" customHeight="1" s="104">
      <c r="H3678" s="198" t="n">
        <v>0</v>
      </c>
    </row>
    <row r="3679" ht="15" customHeight="1" s="104">
      <c r="H3679" s="198" t="n">
        <v>0</v>
      </c>
    </row>
    <row r="3680" ht="15" customHeight="1" s="104">
      <c r="H3680" s="198" t="n">
        <v>0</v>
      </c>
    </row>
    <row r="3681" ht="15" customHeight="1" s="104">
      <c r="H3681" s="198" t="n">
        <v>0</v>
      </c>
    </row>
    <row r="3682" ht="15" customHeight="1" s="104">
      <c r="H3682" s="198" t="n">
        <v>0</v>
      </c>
    </row>
    <row r="3683" ht="15" customHeight="1" s="104">
      <c r="H3683" s="198" t="n">
        <v>0</v>
      </c>
    </row>
    <row r="3684" ht="15" customHeight="1" s="104">
      <c r="H3684" s="198" t="n">
        <v>0</v>
      </c>
    </row>
    <row r="3685" ht="15" customHeight="1" s="104">
      <c r="H3685" s="198" t="n">
        <v>0</v>
      </c>
    </row>
    <row r="3686" ht="15" customHeight="1" s="104">
      <c r="H3686" s="198" t="n">
        <v>0</v>
      </c>
    </row>
    <row r="3687" ht="15" customHeight="1" s="104">
      <c r="H3687" s="198" t="n">
        <v>0</v>
      </c>
    </row>
    <row r="3688" ht="15" customHeight="1" s="104">
      <c r="H3688" s="198" t="n">
        <v>0</v>
      </c>
    </row>
    <row r="3689" ht="15" customHeight="1" s="104">
      <c r="H3689" s="198" t="n">
        <v>0</v>
      </c>
    </row>
    <row r="3690" ht="15" customHeight="1" s="104">
      <c r="H3690" s="198" t="n">
        <v>0</v>
      </c>
    </row>
    <row r="3691" ht="15" customHeight="1" s="104">
      <c r="H3691" s="198" t="n">
        <v>0</v>
      </c>
    </row>
    <row r="3692" ht="15" customHeight="1" s="104">
      <c r="H3692" s="198" t="n">
        <v>0</v>
      </c>
    </row>
    <row r="3693" ht="15" customHeight="1" s="104">
      <c r="H3693" s="198" t="n">
        <v>0</v>
      </c>
    </row>
    <row r="3694" ht="15" customHeight="1" s="104">
      <c r="H3694" s="198" t="n">
        <v>0</v>
      </c>
    </row>
    <row r="3695" ht="15" customHeight="1" s="104">
      <c r="H3695" s="198" t="n">
        <v>0</v>
      </c>
    </row>
    <row r="3696" ht="15" customHeight="1" s="104">
      <c r="H3696" s="198" t="n">
        <v>0</v>
      </c>
    </row>
    <row r="3697" ht="15" customHeight="1" s="104">
      <c r="H3697" s="198" t="n">
        <v>0</v>
      </c>
    </row>
    <row r="3698" ht="15" customHeight="1" s="104">
      <c r="H3698" s="198" t="n">
        <v>0</v>
      </c>
    </row>
    <row r="3699" ht="15" customHeight="1" s="104">
      <c r="H3699" s="198" t="n">
        <v>0</v>
      </c>
    </row>
    <row r="3700" ht="15" customHeight="1" s="104">
      <c r="H3700" s="198" t="n">
        <v>0</v>
      </c>
    </row>
    <row r="3701" ht="15" customHeight="1" s="104">
      <c r="H3701" s="198" t="n">
        <v>0</v>
      </c>
    </row>
    <row r="3702" ht="15" customHeight="1" s="104">
      <c r="H3702" s="198" t="n">
        <v>0</v>
      </c>
    </row>
    <row r="3703" ht="15" customHeight="1" s="104">
      <c r="H3703" s="198" t="n">
        <v>0</v>
      </c>
    </row>
    <row r="3704" ht="15" customHeight="1" s="104">
      <c r="H3704" s="198" t="n">
        <v>0</v>
      </c>
    </row>
    <row r="3705" ht="15" customHeight="1" s="104">
      <c r="H3705" s="198" t="n">
        <v>0</v>
      </c>
    </row>
    <row r="3706" ht="15" customHeight="1" s="104">
      <c r="H3706" s="198" t="n">
        <v>0</v>
      </c>
    </row>
    <row r="3707" ht="15" customHeight="1" s="104">
      <c r="H3707" s="198" t="n">
        <v>0</v>
      </c>
    </row>
    <row r="3708" ht="15" customHeight="1" s="104">
      <c r="H3708" s="198" t="n">
        <v>0</v>
      </c>
    </row>
    <row r="3709" ht="15" customHeight="1" s="104">
      <c r="H3709" s="198" t="n">
        <v>0</v>
      </c>
    </row>
    <row r="3710" ht="15" customHeight="1" s="104">
      <c r="H3710" s="198" t="n">
        <v>0</v>
      </c>
    </row>
    <row r="3711" ht="15" customHeight="1" s="104">
      <c r="H3711" s="198" t="n">
        <v>0</v>
      </c>
    </row>
    <row r="3712" ht="15" customHeight="1" s="104">
      <c r="H3712" s="198" t="n">
        <v>0</v>
      </c>
    </row>
    <row r="3713" ht="15" customHeight="1" s="104">
      <c r="H3713" s="198" t="n">
        <v>0</v>
      </c>
    </row>
    <row r="3714" ht="15" customHeight="1" s="104">
      <c r="H3714" s="198" t="n">
        <v>0</v>
      </c>
    </row>
    <row r="3715" ht="15" customHeight="1" s="104">
      <c r="H3715" s="198" t="n">
        <v>0</v>
      </c>
    </row>
    <row r="3716" ht="15" customHeight="1" s="104">
      <c r="H3716" s="198" t="n">
        <v>0</v>
      </c>
    </row>
    <row r="3717" ht="15" customHeight="1" s="104">
      <c r="H3717" s="198" t="n">
        <v>0</v>
      </c>
    </row>
    <row r="3718" ht="15" customHeight="1" s="104">
      <c r="H3718" s="198" t="n">
        <v>0</v>
      </c>
    </row>
    <row r="3719" ht="15" customHeight="1" s="104">
      <c r="H3719" s="198" t="n">
        <v>0</v>
      </c>
    </row>
    <row r="3720" ht="15" customHeight="1" s="104">
      <c r="H3720" s="198" t="n">
        <v>0</v>
      </c>
    </row>
    <row r="3721" ht="15" customHeight="1" s="104">
      <c r="H3721" s="198" t="n">
        <v>0</v>
      </c>
    </row>
    <row r="3722" ht="15" customHeight="1" s="104">
      <c r="H3722" s="198" t="n">
        <v>0</v>
      </c>
    </row>
    <row r="3723" ht="15" customHeight="1" s="104">
      <c r="H3723" s="198" t="n">
        <v>0</v>
      </c>
    </row>
    <row r="3724" ht="15" customHeight="1" s="104">
      <c r="H3724" s="198" t="n">
        <v>0</v>
      </c>
    </row>
    <row r="3725" ht="15" customHeight="1" s="104">
      <c r="H3725" s="198" t="n">
        <v>0</v>
      </c>
    </row>
    <row r="3726" ht="15" customHeight="1" s="104">
      <c r="H3726" s="198" t="n">
        <v>0</v>
      </c>
    </row>
    <row r="3727" ht="15" customHeight="1" s="104">
      <c r="H3727" s="198" t="n">
        <v>0</v>
      </c>
    </row>
    <row r="3728" ht="15" customHeight="1" s="104">
      <c r="H3728" s="198" t="n">
        <v>0</v>
      </c>
    </row>
    <row r="3729" ht="15" customHeight="1" s="104">
      <c r="H3729" s="198" t="n">
        <v>0</v>
      </c>
    </row>
    <row r="3730" ht="15" customHeight="1" s="104">
      <c r="H3730" s="198" t="n">
        <v>0</v>
      </c>
    </row>
    <row r="3731" ht="15" customHeight="1" s="104">
      <c r="H3731" s="198" t="n">
        <v>0</v>
      </c>
    </row>
    <row r="3732" ht="15" customHeight="1" s="104">
      <c r="H3732" s="198" t="n">
        <v>0</v>
      </c>
    </row>
    <row r="3733" ht="15" customHeight="1" s="104">
      <c r="H3733" s="198" t="n">
        <v>0</v>
      </c>
    </row>
    <row r="3734" ht="15" customHeight="1" s="104">
      <c r="H3734" s="198" t="n">
        <v>0</v>
      </c>
    </row>
    <row r="3735" ht="15" customHeight="1" s="104">
      <c r="H3735" s="198" t="n">
        <v>0</v>
      </c>
    </row>
    <row r="3736" ht="15" customHeight="1" s="104">
      <c r="H3736" s="198" t="n">
        <v>0</v>
      </c>
    </row>
    <row r="3737" ht="15" customHeight="1" s="104">
      <c r="H3737" s="198" t="n">
        <v>0</v>
      </c>
    </row>
    <row r="3738" ht="15" customHeight="1" s="104">
      <c r="H3738" s="198" t="n">
        <v>0</v>
      </c>
    </row>
    <row r="3739" ht="15" customHeight="1" s="104">
      <c r="H3739" s="198" t="n">
        <v>0</v>
      </c>
    </row>
    <row r="3740" ht="15" customHeight="1" s="104">
      <c r="H3740" s="198" t="n">
        <v>0</v>
      </c>
    </row>
    <row r="3741" ht="15" customHeight="1" s="104">
      <c r="H3741" s="198" t="n">
        <v>0</v>
      </c>
    </row>
    <row r="3742" ht="15" customHeight="1" s="104">
      <c r="H3742" s="198" t="n">
        <v>0</v>
      </c>
    </row>
    <row r="3743" ht="15" customHeight="1" s="104">
      <c r="H3743" s="198" t="n">
        <v>0</v>
      </c>
    </row>
    <row r="3744" ht="15" customHeight="1" s="104">
      <c r="H3744" s="198" t="n">
        <v>0</v>
      </c>
    </row>
    <row r="3745" ht="15" customHeight="1" s="104">
      <c r="H3745" s="198" t="n">
        <v>0</v>
      </c>
    </row>
    <row r="3746" ht="15" customHeight="1" s="104">
      <c r="H3746" s="198" t="n">
        <v>0</v>
      </c>
    </row>
    <row r="3747" ht="15" customHeight="1" s="104">
      <c r="H3747" s="198" t="n">
        <v>0</v>
      </c>
    </row>
    <row r="3748" ht="15" customHeight="1" s="104">
      <c r="H3748" s="198" t="n">
        <v>0</v>
      </c>
    </row>
    <row r="3749" ht="15" customHeight="1" s="104">
      <c r="H3749" s="198" t="n">
        <v>0</v>
      </c>
    </row>
    <row r="3750" ht="15" customHeight="1" s="104">
      <c r="H3750" s="198" t="n">
        <v>0</v>
      </c>
    </row>
    <row r="3751" ht="15" customHeight="1" s="104">
      <c r="H3751" s="198" t="n">
        <v>0</v>
      </c>
    </row>
    <row r="3752" ht="15" customHeight="1" s="104">
      <c r="H3752" s="198" t="n">
        <v>0</v>
      </c>
    </row>
    <row r="3753" ht="15" customHeight="1" s="104">
      <c r="H3753" s="198" t="n">
        <v>0</v>
      </c>
    </row>
    <row r="3754" ht="15" customHeight="1" s="104">
      <c r="H3754" s="198" t="n">
        <v>0</v>
      </c>
    </row>
    <row r="3755" ht="15" customHeight="1" s="104">
      <c r="H3755" s="198" t="n">
        <v>0</v>
      </c>
    </row>
    <row r="3756" ht="15" customHeight="1" s="104">
      <c r="H3756" s="198" t="n">
        <v>0</v>
      </c>
    </row>
    <row r="3757" ht="15" customHeight="1" s="104">
      <c r="H3757" s="198" t="n">
        <v>0</v>
      </c>
    </row>
    <row r="3758" ht="15" customHeight="1" s="104">
      <c r="H3758" s="198" t="n">
        <v>0</v>
      </c>
    </row>
    <row r="3759" ht="15" customHeight="1" s="104">
      <c r="H3759" s="198" t="n">
        <v>0</v>
      </c>
    </row>
    <row r="3760" ht="15" customHeight="1" s="104">
      <c r="H3760" s="198" t="n">
        <v>0</v>
      </c>
    </row>
    <row r="3761" ht="15" customHeight="1" s="104">
      <c r="H3761" s="198" t="n">
        <v>0</v>
      </c>
    </row>
    <row r="3762" ht="15" customHeight="1" s="104">
      <c r="H3762" s="198" t="n">
        <v>0</v>
      </c>
    </row>
    <row r="3763" ht="15" customHeight="1" s="104">
      <c r="H3763" s="198" t="n">
        <v>0</v>
      </c>
    </row>
    <row r="3764" ht="15" customHeight="1" s="104">
      <c r="H3764" s="198" t="n">
        <v>0</v>
      </c>
    </row>
    <row r="3765" ht="15" customHeight="1" s="104">
      <c r="H3765" s="198" t="n">
        <v>0</v>
      </c>
    </row>
    <row r="3766" ht="15" customHeight="1" s="104">
      <c r="H3766" s="198" t="n">
        <v>0</v>
      </c>
    </row>
    <row r="3767" ht="15" customHeight="1" s="104">
      <c r="H3767" s="198" t="n">
        <v>0</v>
      </c>
    </row>
    <row r="3768" ht="15" customHeight="1" s="104">
      <c r="H3768" s="198" t="n">
        <v>0</v>
      </c>
    </row>
    <row r="3769" ht="15" customHeight="1" s="104">
      <c r="H3769" s="198" t="n">
        <v>0</v>
      </c>
    </row>
    <row r="3770" ht="15" customHeight="1" s="104">
      <c r="H3770" s="198" t="n">
        <v>0</v>
      </c>
    </row>
    <row r="3771" ht="15" customHeight="1" s="104">
      <c r="H3771" s="198" t="n">
        <v>0</v>
      </c>
    </row>
    <row r="3772" ht="15" customHeight="1" s="104">
      <c r="H3772" s="198" t="n">
        <v>0</v>
      </c>
    </row>
    <row r="3773" ht="15" customHeight="1" s="104">
      <c r="H3773" s="198" t="n">
        <v>0</v>
      </c>
    </row>
    <row r="3774" ht="15" customHeight="1" s="104">
      <c r="H3774" s="198" t="n">
        <v>0</v>
      </c>
    </row>
    <row r="3775" ht="15" customHeight="1" s="104">
      <c r="H3775" s="198" t="n">
        <v>0</v>
      </c>
    </row>
    <row r="3776" ht="15" customHeight="1" s="104">
      <c r="H3776" s="198" t="n">
        <v>0</v>
      </c>
    </row>
    <row r="3777" ht="15" customHeight="1" s="104">
      <c r="H3777" s="198" t="n">
        <v>0</v>
      </c>
    </row>
    <row r="3778" ht="15" customHeight="1" s="104">
      <c r="H3778" s="198" t="n">
        <v>0</v>
      </c>
    </row>
    <row r="3779" ht="15" customHeight="1" s="104">
      <c r="H3779" s="198" t="n">
        <v>0</v>
      </c>
    </row>
    <row r="3780" ht="15" customHeight="1" s="104">
      <c r="H3780" s="198" t="n">
        <v>0</v>
      </c>
    </row>
    <row r="3781" ht="15" customHeight="1" s="104">
      <c r="H3781" s="198" t="n">
        <v>0</v>
      </c>
    </row>
    <row r="3782" ht="15" customHeight="1" s="104">
      <c r="H3782" s="198" t="n">
        <v>0</v>
      </c>
    </row>
    <row r="3783" ht="15" customHeight="1" s="104">
      <c r="H3783" s="198" t="n">
        <v>0</v>
      </c>
    </row>
    <row r="3784" ht="15" customHeight="1" s="104">
      <c r="H3784" s="198" t="n">
        <v>0</v>
      </c>
    </row>
    <row r="3785" ht="15" customHeight="1" s="104">
      <c r="H3785" s="198" t="n">
        <v>0</v>
      </c>
    </row>
    <row r="3786" ht="15" customHeight="1" s="104">
      <c r="H3786" s="198" t="n">
        <v>0</v>
      </c>
    </row>
    <row r="3787" ht="15" customHeight="1" s="104">
      <c r="H3787" s="198" t="n">
        <v>0</v>
      </c>
    </row>
    <row r="3788" ht="15" customHeight="1" s="104">
      <c r="H3788" s="198" t="n">
        <v>0</v>
      </c>
    </row>
    <row r="3789" ht="15" customHeight="1" s="104">
      <c r="H3789" s="198" t="n">
        <v>0</v>
      </c>
    </row>
    <row r="3790" ht="15" customHeight="1" s="104">
      <c r="H3790" s="198" t="n">
        <v>0</v>
      </c>
    </row>
    <row r="3791" ht="15" customHeight="1" s="104">
      <c r="H3791" s="198" t="n">
        <v>0</v>
      </c>
    </row>
    <row r="3792" ht="15" customHeight="1" s="104">
      <c r="H3792" s="198" t="n">
        <v>0</v>
      </c>
    </row>
    <row r="3793" ht="15" customHeight="1" s="104">
      <c r="H3793" s="198" t="n">
        <v>0</v>
      </c>
    </row>
    <row r="3794" ht="15" customHeight="1" s="104">
      <c r="H3794" s="198" t="n">
        <v>0</v>
      </c>
    </row>
    <row r="3795" ht="15" customHeight="1" s="104">
      <c r="H3795" s="198" t="n">
        <v>0</v>
      </c>
    </row>
    <row r="3796" ht="15" customHeight="1" s="104">
      <c r="H3796" s="198" t="n">
        <v>0</v>
      </c>
    </row>
    <row r="3797" ht="15" customHeight="1" s="104">
      <c r="H3797" s="198" t="n">
        <v>0</v>
      </c>
    </row>
    <row r="3798" ht="15" customHeight="1" s="104">
      <c r="H3798" s="198" t="n">
        <v>0</v>
      </c>
    </row>
    <row r="3799" ht="15" customHeight="1" s="104">
      <c r="H3799" s="198" t="n">
        <v>0</v>
      </c>
    </row>
    <row r="3800" ht="15" customHeight="1" s="104">
      <c r="H3800" s="198" t="n">
        <v>0</v>
      </c>
    </row>
    <row r="3801" ht="15" customHeight="1" s="104">
      <c r="H3801" s="198" t="n">
        <v>0</v>
      </c>
    </row>
    <row r="3802" ht="15" customHeight="1" s="104">
      <c r="H3802" s="198" t="n">
        <v>0</v>
      </c>
    </row>
    <row r="3803" ht="15" customHeight="1" s="104">
      <c r="H3803" s="198" t="n">
        <v>0</v>
      </c>
    </row>
    <row r="3804" ht="15" customHeight="1" s="104">
      <c r="H3804" s="198" t="n">
        <v>0</v>
      </c>
    </row>
    <row r="3805" ht="15" customHeight="1" s="104">
      <c r="H3805" s="198" t="n">
        <v>0</v>
      </c>
    </row>
    <row r="3806" ht="15" customHeight="1" s="104">
      <c r="H3806" s="198" t="n">
        <v>0</v>
      </c>
    </row>
    <row r="3807" ht="15" customHeight="1" s="104">
      <c r="H3807" s="198" t="n">
        <v>0</v>
      </c>
    </row>
    <row r="3808" ht="15" customHeight="1" s="104">
      <c r="H3808" s="198" t="n">
        <v>0</v>
      </c>
    </row>
    <row r="3809" ht="15" customHeight="1" s="104">
      <c r="H3809" s="198" t="n">
        <v>0</v>
      </c>
    </row>
    <row r="3810" ht="15" customHeight="1" s="104">
      <c r="H3810" s="198" t="n">
        <v>0</v>
      </c>
    </row>
    <row r="3811" ht="15" customHeight="1" s="104">
      <c r="H3811" s="198" t="n">
        <v>0</v>
      </c>
    </row>
    <row r="3812" ht="15" customHeight="1" s="104">
      <c r="H3812" s="198" t="n">
        <v>0</v>
      </c>
    </row>
    <row r="3813" ht="15" customHeight="1" s="104">
      <c r="H3813" s="198" t="n">
        <v>0</v>
      </c>
    </row>
    <row r="3814" ht="15" customHeight="1" s="104">
      <c r="H3814" s="198" t="n">
        <v>0</v>
      </c>
    </row>
    <row r="3815" ht="15" customHeight="1" s="104">
      <c r="H3815" s="198" t="n">
        <v>0</v>
      </c>
    </row>
    <row r="3816" ht="15" customHeight="1" s="104">
      <c r="H3816" s="198" t="n">
        <v>0</v>
      </c>
    </row>
    <row r="3817" ht="15" customHeight="1" s="104">
      <c r="H3817" s="198" t="n">
        <v>0</v>
      </c>
    </row>
    <row r="3818" ht="15" customHeight="1" s="104">
      <c r="H3818" s="198" t="n">
        <v>0</v>
      </c>
    </row>
    <row r="3819" ht="15" customHeight="1" s="104">
      <c r="H3819" s="198" t="n">
        <v>0</v>
      </c>
    </row>
    <row r="3820" ht="15" customHeight="1" s="104">
      <c r="H3820" s="198" t="n">
        <v>0</v>
      </c>
    </row>
    <row r="3821" ht="15" customHeight="1" s="104">
      <c r="H3821" s="198" t="n">
        <v>0</v>
      </c>
    </row>
    <row r="3822" ht="15" customHeight="1" s="104">
      <c r="H3822" s="198" t="n">
        <v>0</v>
      </c>
    </row>
    <row r="3823" ht="15" customHeight="1" s="104">
      <c r="H3823" s="198" t="n">
        <v>0</v>
      </c>
    </row>
    <row r="3824" ht="15" customHeight="1" s="104">
      <c r="H3824" s="198" t="n">
        <v>0</v>
      </c>
    </row>
    <row r="3825" ht="15" customHeight="1" s="104">
      <c r="H3825" s="198" t="n">
        <v>0</v>
      </c>
    </row>
    <row r="3826" ht="15" customHeight="1" s="104">
      <c r="H3826" s="198" t="n">
        <v>0</v>
      </c>
    </row>
    <row r="3827" ht="15" customHeight="1" s="104">
      <c r="H3827" s="198" t="n">
        <v>0</v>
      </c>
    </row>
    <row r="3828" ht="15" customHeight="1" s="104">
      <c r="H3828" s="198" t="n">
        <v>0</v>
      </c>
    </row>
    <row r="3829" ht="15" customHeight="1" s="104">
      <c r="H3829" s="198" t="n">
        <v>0</v>
      </c>
    </row>
    <row r="3830" ht="15" customHeight="1" s="104">
      <c r="H3830" s="198" t="n">
        <v>0</v>
      </c>
    </row>
    <row r="3831" ht="15" customHeight="1" s="104">
      <c r="H3831" s="198" t="n">
        <v>0</v>
      </c>
    </row>
    <row r="3832" ht="15" customHeight="1" s="104">
      <c r="H3832" s="198" t="n">
        <v>0</v>
      </c>
    </row>
    <row r="3833" ht="15" customHeight="1" s="104">
      <c r="H3833" s="198" t="n">
        <v>0</v>
      </c>
    </row>
    <row r="3834" ht="15" customHeight="1" s="104">
      <c r="H3834" s="198" t="n">
        <v>0</v>
      </c>
    </row>
    <row r="3835" ht="15" customHeight="1" s="104">
      <c r="H3835" s="198" t="n">
        <v>0</v>
      </c>
    </row>
    <row r="3836" ht="15" customHeight="1" s="104">
      <c r="H3836" s="198" t="n">
        <v>0</v>
      </c>
    </row>
    <row r="3837" ht="15" customHeight="1" s="104">
      <c r="H3837" s="198" t="n">
        <v>0</v>
      </c>
    </row>
    <row r="3838" ht="15" customHeight="1" s="104">
      <c r="H3838" s="198" t="n">
        <v>0</v>
      </c>
    </row>
    <row r="3839" ht="15" customHeight="1" s="104">
      <c r="H3839" s="198" t="n">
        <v>0</v>
      </c>
    </row>
    <row r="3840" ht="15" customHeight="1" s="104">
      <c r="H3840" s="198" t="n">
        <v>0</v>
      </c>
    </row>
    <row r="3841" ht="15" customHeight="1" s="104">
      <c r="H3841" s="198" t="n">
        <v>0</v>
      </c>
    </row>
    <row r="3842" ht="15" customHeight="1" s="104">
      <c r="H3842" s="198" t="n">
        <v>0</v>
      </c>
    </row>
    <row r="3843" ht="15" customHeight="1" s="104">
      <c r="H3843" s="198" t="n">
        <v>0</v>
      </c>
    </row>
    <row r="3844" ht="15" customHeight="1" s="104">
      <c r="H3844" s="198" t="n">
        <v>0</v>
      </c>
    </row>
    <row r="3845" ht="15" customHeight="1" s="104">
      <c r="H3845" s="198" t="n">
        <v>0</v>
      </c>
    </row>
    <row r="3846" ht="15" customHeight="1" s="104">
      <c r="H3846" s="198" t="n">
        <v>0</v>
      </c>
    </row>
    <row r="3847" ht="15" customHeight="1" s="104">
      <c r="H3847" s="198" t="n">
        <v>0</v>
      </c>
    </row>
    <row r="3848" ht="15" customHeight="1" s="104">
      <c r="H3848" s="198" t="n">
        <v>0</v>
      </c>
    </row>
    <row r="3849" ht="15" customHeight="1" s="104">
      <c r="H3849" s="198" t="n">
        <v>0</v>
      </c>
    </row>
    <row r="3850" ht="15" customHeight="1" s="104">
      <c r="H3850" s="198" t="n">
        <v>0</v>
      </c>
    </row>
    <row r="3851" ht="15" customHeight="1" s="104">
      <c r="H3851" s="198" t="n">
        <v>0</v>
      </c>
    </row>
    <row r="3852" ht="15" customHeight="1" s="104">
      <c r="H3852" s="198" t="n">
        <v>0</v>
      </c>
    </row>
    <row r="3853" ht="15" customHeight="1" s="104">
      <c r="H3853" s="198" t="n">
        <v>0</v>
      </c>
    </row>
    <row r="3854" ht="15" customHeight="1" s="104">
      <c r="H3854" s="198" t="n">
        <v>0</v>
      </c>
    </row>
    <row r="3855" ht="15" customHeight="1" s="104">
      <c r="H3855" s="198" t="n">
        <v>0</v>
      </c>
    </row>
    <row r="3856" ht="15" customHeight="1" s="104">
      <c r="H3856" s="198" t="n">
        <v>0</v>
      </c>
    </row>
    <row r="3857" ht="15" customHeight="1" s="104">
      <c r="H3857" s="198" t="n">
        <v>0</v>
      </c>
    </row>
    <row r="3858" ht="15" customHeight="1" s="104">
      <c r="H3858" s="198" t="n">
        <v>0</v>
      </c>
    </row>
    <row r="3859" ht="15" customHeight="1" s="104">
      <c r="H3859" s="198" t="n">
        <v>0</v>
      </c>
    </row>
    <row r="3860" ht="15" customHeight="1" s="104">
      <c r="H3860" s="198" t="n">
        <v>0</v>
      </c>
    </row>
    <row r="3861" ht="15" customHeight="1" s="104">
      <c r="H3861" s="198" t="n">
        <v>0</v>
      </c>
    </row>
    <row r="3862" ht="15" customHeight="1" s="104">
      <c r="H3862" s="198" t="n">
        <v>0</v>
      </c>
    </row>
    <row r="3863" ht="15" customHeight="1" s="104">
      <c r="H3863" s="198" t="n">
        <v>0</v>
      </c>
    </row>
    <row r="3864" ht="15" customHeight="1" s="104">
      <c r="H3864" s="198" t="n">
        <v>0</v>
      </c>
    </row>
    <row r="3865" ht="15" customHeight="1" s="104">
      <c r="H3865" s="198" t="n">
        <v>0</v>
      </c>
    </row>
    <row r="3866" ht="15" customHeight="1" s="104">
      <c r="H3866" s="198" t="n">
        <v>0</v>
      </c>
    </row>
    <row r="3867" ht="15" customHeight="1" s="104">
      <c r="H3867" s="198" t="n">
        <v>0</v>
      </c>
    </row>
    <row r="3868" ht="15" customHeight="1" s="104">
      <c r="H3868" s="198" t="n">
        <v>0</v>
      </c>
    </row>
    <row r="3869" ht="15" customHeight="1" s="104">
      <c r="H3869" s="198" t="n">
        <v>0</v>
      </c>
    </row>
    <row r="3870" ht="15" customHeight="1" s="104">
      <c r="H3870" s="198" t="n">
        <v>0</v>
      </c>
    </row>
    <row r="3871" ht="15" customHeight="1" s="104">
      <c r="H3871" s="198" t="n">
        <v>0</v>
      </c>
    </row>
    <row r="3872" ht="15" customHeight="1" s="104">
      <c r="H3872" s="198" t="n">
        <v>0</v>
      </c>
    </row>
    <row r="3873" ht="15" customHeight="1" s="104">
      <c r="H3873" s="198" t="n">
        <v>0</v>
      </c>
    </row>
    <row r="3874" ht="15" customHeight="1" s="104">
      <c r="H3874" s="198" t="n">
        <v>0</v>
      </c>
    </row>
    <row r="3875" ht="15" customHeight="1" s="104">
      <c r="H3875" s="198" t="n">
        <v>0</v>
      </c>
    </row>
    <row r="3876" ht="15" customHeight="1" s="104">
      <c r="H3876" s="198" t="n">
        <v>0</v>
      </c>
    </row>
    <row r="3877" ht="15" customHeight="1" s="104">
      <c r="H3877" s="198" t="n">
        <v>0</v>
      </c>
    </row>
    <row r="3878" ht="15" customHeight="1" s="104">
      <c r="H3878" s="198" t="n">
        <v>0</v>
      </c>
    </row>
    <row r="3879" ht="15" customHeight="1" s="104">
      <c r="H3879" s="198" t="n">
        <v>0</v>
      </c>
    </row>
    <row r="3880" ht="15" customHeight="1" s="104">
      <c r="H3880" s="198" t="n">
        <v>0</v>
      </c>
    </row>
    <row r="3881" ht="15" customHeight="1" s="104">
      <c r="H3881" s="198" t="n">
        <v>0</v>
      </c>
    </row>
    <row r="3882" ht="15" customHeight="1" s="104">
      <c r="H3882" s="198" t="n">
        <v>0</v>
      </c>
    </row>
    <row r="3883" ht="15" customHeight="1" s="104">
      <c r="H3883" s="198" t="n">
        <v>0</v>
      </c>
    </row>
    <row r="3884" ht="15" customHeight="1" s="104">
      <c r="H3884" s="198" t="n">
        <v>0</v>
      </c>
    </row>
    <row r="3885" ht="15" customHeight="1" s="104">
      <c r="H3885" s="198" t="n">
        <v>0</v>
      </c>
    </row>
    <row r="3886" ht="15" customHeight="1" s="104">
      <c r="H3886" s="198" t="n">
        <v>0</v>
      </c>
    </row>
    <row r="3887" ht="15" customHeight="1" s="104">
      <c r="H3887" s="198" t="n">
        <v>0</v>
      </c>
    </row>
    <row r="3888" ht="15" customHeight="1" s="104">
      <c r="H3888" s="198" t="n">
        <v>0</v>
      </c>
    </row>
    <row r="3889" ht="15" customHeight="1" s="104">
      <c r="H3889" s="198" t="n">
        <v>0</v>
      </c>
    </row>
    <row r="3890" ht="15" customHeight="1" s="104">
      <c r="H3890" s="198" t="n">
        <v>0</v>
      </c>
    </row>
    <row r="3891" ht="15" customHeight="1" s="104">
      <c r="H3891" s="198" t="n">
        <v>0</v>
      </c>
    </row>
    <row r="3892" ht="15" customHeight="1" s="104">
      <c r="H3892" s="198" t="n">
        <v>0</v>
      </c>
    </row>
    <row r="3893" ht="15" customHeight="1" s="104">
      <c r="H3893" s="198" t="n">
        <v>0</v>
      </c>
    </row>
    <row r="3894" ht="15" customHeight="1" s="104">
      <c r="H3894" s="198" t="n">
        <v>0</v>
      </c>
    </row>
    <row r="3895" ht="15" customHeight="1" s="104">
      <c r="H3895" s="198" t="n">
        <v>0</v>
      </c>
    </row>
    <row r="3896" ht="15" customHeight="1" s="104">
      <c r="H3896" s="198" t="n">
        <v>0</v>
      </c>
    </row>
    <row r="3897" ht="15" customHeight="1" s="104">
      <c r="H3897" s="198" t="n">
        <v>0</v>
      </c>
    </row>
    <row r="3898" ht="15" customHeight="1" s="104">
      <c r="H3898" s="198" t="n">
        <v>0</v>
      </c>
    </row>
    <row r="3899" ht="15" customHeight="1" s="104">
      <c r="H3899" s="198" t="n">
        <v>0</v>
      </c>
    </row>
    <row r="3900" ht="15" customHeight="1" s="104">
      <c r="H3900" s="198" t="n">
        <v>0</v>
      </c>
    </row>
    <row r="3901" ht="15" customHeight="1" s="104">
      <c r="H3901" s="198" t="n">
        <v>0</v>
      </c>
    </row>
    <row r="3902" ht="15" customHeight="1" s="104">
      <c r="H3902" s="198" t="n">
        <v>0</v>
      </c>
    </row>
    <row r="3903" ht="15" customHeight="1" s="104">
      <c r="H3903" s="198" t="n">
        <v>0</v>
      </c>
    </row>
    <row r="3904" ht="15" customHeight="1" s="104">
      <c r="H3904" s="198" t="n">
        <v>0</v>
      </c>
    </row>
    <row r="3905" ht="15" customHeight="1" s="104">
      <c r="H3905" s="198" t="n">
        <v>0</v>
      </c>
    </row>
    <row r="3906" ht="15" customHeight="1" s="104">
      <c r="H3906" s="198" t="n">
        <v>0</v>
      </c>
    </row>
    <row r="3907" ht="15" customHeight="1" s="104">
      <c r="H3907" s="198" t="n">
        <v>0</v>
      </c>
    </row>
    <row r="3908" ht="15" customHeight="1" s="104">
      <c r="H3908" s="198" t="n">
        <v>0</v>
      </c>
    </row>
    <row r="3909" ht="15" customHeight="1" s="104">
      <c r="H3909" s="198" t="n">
        <v>0</v>
      </c>
    </row>
    <row r="3910" ht="15" customHeight="1" s="104">
      <c r="H3910" s="198" t="n">
        <v>0</v>
      </c>
    </row>
    <row r="3911" ht="15" customHeight="1" s="104">
      <c r="H3911" s="198" t="n">
        <v>0</v>
      </c>
    </row>
    <row r="3912" ht="15" customHeight="1" s="104">
      <c r="H3912" s="198" t="n">
        <v>0</v>
      </c>
    </row>
    <row r="3913" ht="15" customHeight="1" s="104">
      <c r="H3913" s="198" t="n">
        <v>0</v>
      </c>
    </row>
    <row r="3914" ht="15" customHeight="1" s="104">
      <c r="H3914" s="198" t="n">
        <v>0</v>
      </c>
    </row>
    <row r="3915" ht="15" customHeight="1" s="104">
      <c r="H3915" s="198" t="n">
        <v>0</v>
      </c>
    </row>
    <row r="3916" ht="15" customHeight="1" s="104">
      <c r="H3916" s="198" t="n">
        <v>0</v>
      </c>
    </row>
    <row r="3917" ht="15" customHeight="1" s="104">
      <c r="H3917" s="198" t="n">
        <v>0</v>
      </c>
    </row>
    <row r="3918" ht="15" customHeight="1" s="104">
      <c r="H3918" s="198" t="n">
        <v>0</v>
      </c>
    </row>
    <row r="3919" ht="15" customHeight="1" s="104">
      <c r="H3919" s="198" t="n">
        <v>0</v>
      </c>
    </row>
    <row r="3920" ht="15" customHeight="1" s="104">
      <c r="H3920" s="198" t="n">
        <v>0</v>
      </c>
    </row>
    <row r="3921" ht="15" customHeight="1" s="104">
      <c r="H3921" s="198" t="n">
        <v>0</v>
      </c>
    </row>
    <row r="3922" ht="15" customHeight="1" s="104">
      <c r="H3922" s="198" t="n">
        <v>0</v>
      </c>
    </row>
    <row r="3923" ht="15" customHeight="1" s="104">
      <c r="H3923" s="198" t="n">
        <v>0</v>
      </c>
    </row>
    <row r="3924" ht="15" customHeight="1" s="104">
      <c r="H3924" s="198" t="n">
        <v>0</v>
      </c>
    </row>
    <row r="3925" ht="15" customHeight="1" s="104">
      <c r="H3925" s="198" t="n">
        <v>0</v>
      </c>
    </row>
    <row r="3926" ht="15" customHeight="1" s="104">
      <c r="H3926" s="198" t="n">
        <v>0</v>
      </c>
    </row>
    <row r="3927" ht="15" customHeight="1" s="104">
      <c r="H3927" s="198" t="n">
        <v>0</v>
      </c>
    </row>
    <row r="3928" ht="15" customHeight="1" s="104">
      <c r="H3928" s="198" t="n">
        <v>0</v>
      </c>
    </row>
    <row r="3929" ht="15" customHeight="1" s="104">
      <c r="H3929" s="198" t="n">
        <v>0</v>
      </c>
    </row>
    <row r="3930" ht="15" customHeight="1" s="104">
      <c r="H3930" s="198" t="n">
        <v>0</v>
      </c>
    </row>
    <row r="3931" ht="15" customHeight="1" s="104">
      <c r="H3931" s="198" t="n">
        <v>0</v>
      </c>
    </row>
    <row r="3932" ht="15" customHeight="1" s="104">
      <c r="H3932" s="198" t="n">
        <v>0</v>
      </c>
    </row>
    <row r="3933" ht="15" customHeight="1" s="104">
      <c r="H3933" s="198" t="n">
        <v>0</v>
      </c>
    </row>
    <row r="3934" ht="15" customHeight="1" s="104">
      <c r="H3934" s="198" t="n">
        <v>0</v>
      </c>
    </row>
    <row r="3935" ht="15" customHeight="1" s="104">
      <c r="H3935" s="198" t="n">
        <v>0</v>
      </c>
    </row>
    <row r="3936" ht="15" customHeight="1" s="104">
      <c r="H3936" s="198" t="n">
        <v>0</v>
      </c>
    </row>
    <row r="3937" ht="15" customHeight="1" s="104">
      <c r="H3937" s="198" t="n">
        <v>0</v>
      </c>
    </row>
    <row r="3938" ht="15" customHeight="1" s="104">
      <c r="H3938" s="198" t="n">
        <v>0</v>
      </c>
    </row>
    <row r="3939" ht="15" customHeight="1" s="104">
      <c r="H3939" s="198" t="n">
        <v>0</v>
      </c>
    </row>
    <row r="3940" ht="15" customHeight="1" s="104">
      <c r="H3940" s="198" t="n">
        <v>0</v>
      </c>
    </row>
    <row r="3941" ht="15" customHeight="1" s="104">
      <c r="H3941" s="198" t="n">
        <v>0</v>
      </c>
    </row>
    <row r="3942" ht="15" customHeight="1" s="104">
      <c r="H3942" s="198" t="n">
        <v>0</v>
      </c>
    </row>
    <row r="3943" ht="15" customHeight="1" s="104">
      <c r="H3943" s="198" t="n">
        <v>0</v>
      </c>
    </row>
    <row r="3944" ht="15" customHeight="1" s="104">
      <c r="H3944" s="198" t="n">
        <v>0</v>
      </c>
    </row>
    <row r="3945" ht="15" customHeight="1" s="104">
      <c r="H3945" s="198" t="n">
        <v>0</v>
      </c>
    </row>
    <row r="3946" ht="15" customHeight="1" s="104">
      <c r="H3946" s="198" t="n">
        <v>0</v>
      </c>
    </row>
    <row r="3947" ht="15" customHeight="1" s="104">
      <c r="H3947" s="198" t="n">
        <v>0</v>
      </c>
    </row>
    <row r="3948" ht="15" customHeight="1" s="104">
      <c r="H3948" s="198" t="n">
        <v>0</v>
      </c>
    </row>
    <row r="3949" ht="15" customHeight="1" s="104">
      <c r="H3949" s="198" t="n">
        <v>0</v>
      </c>
    </row>
    <row r="3950" ht="15" customHeight="1" s="104">
      <c r="H3950" s="198" t="n">
        <v>0</v>
      </c>
    </row>
    <row r="3951" ht="15" customHeight="1" s="104">
      <c r="H3951" s="198" t="n">
        <v>0</v>
      </c>
    </row>
    <row r="3952" ht="15" customHeight="1" s="104">
      <c r="H3952" s="198" t="n">
        <v>0</v>
      </c>
    </row>
    <row r="3953" ht="15" customHeight="1" s="104">
      <c r="H3953" s="198" t="n">
        <v>0</v>
      </c>
    </row>
    <row r="3954" ht="15" customHeight="1" s="104">
      <c r="H3954" s="198" t="n">
        <v>0</v>
      </c>
    </row>
    <row r="3955" ht="15" customHeight="1" s="104">
      <c r="H3955" s="198" t="n">
        <v>0</v>
      </c>
    </row>
    <row r="3956" ht="15" customHeight="1" s="104">
      <c r="H3956" s="198" t="n">
        <v>0</v>
      </c>
    </row>
    <row r="3957" ht="15" customHeight="1" s="104">
      <c r="H3957" s="198" t="n">
        <v>0</v>
      </c>
    </row>
    <row r="3958" ht="15" customHeight="1" s="104">
      <c r="H3958" s="198" t="n">
        <v>0</v>
      </c>
    </row>
    <row r="3959" ht="15" customHeight="1" s="104">
      <c r="H3959" s="198" t="n">
        <v>0</v>
      </c>
    </row>
    <row r="3960" ht="15" customHeight="1" s="104">
      <c r="H3960" s="198" t="n">
        <v>0</v>
      </c>
    </row>
    <row r="3961" ht="15" customHeight="1" s="104">
      <c r="H3961" s="198" t="n">
        <v>0</v>
      </c>
    </row>
    <row r="3962" ht="15" customHeight="1" s="104">
      <c r="H3962" s="198" t="n">
        <v>0</v>
      </c>
    </row>
    <row r="3963" ht="15" customHeight="1" s="104">
      <c r="H3963" s="198" t="n">
        <v>0</v>
      </c>
    </row>
    <row r="3964" ht="15" customHeight="1" s="104">
      <c r="H3964" s="198" t="n">
        <v>0</v>
      </c>
    </row>
    <row r="3965" ht="15" customHeight="1" s="104">
      <c r="H3965" s="198" t="n">
        <v>0</v>
      </c>
    </row>
    <row r="3966" ht="15" customHeight="1" s="104">
      <c r="H3966" s="198" t="n">
        <v>0</v>
      </c>
    </row>
    <row r="3967" ht="15" customHeight="1" s="104">
      <c r="H3967" s="198" t="n">
        <v>0</v>
      </c>
    </row>
    <row r="3968" ht="15" customHeight="1" s="104">
      <c r="H3968" s="198" t="n">
        <v>0</v>
      </c>
    </row>
    <row r="3969" ht="15" customHeight="1" s="104">
      <c r="H3969" s="198" t="n">
        <v>0</v>
      </c>
    </row>
    <row r="3970" ht="15" customHeight="1" s="104">
      <c r="H3970" s="198" t="n">
        <v>0</v>
      </c>
    </row>
    <row r="3971" ht="15" customHeight="1" s="104">
      <c r="H3971" s="198" t="n">
        <v>0</v>
      </c>
    </row>
    <row r="3972" ht="15" customHeight="1" s="104">
      <c r="H3972" s="198" t="n">
        <v>0</v>
      </c>
    </row>
    <row r="3973" ht="15" customHeight="1" s="104">
      <c r="H3973" s="198" t="n">
        <v>0</v>
      </c>
    </row>
    <row r="3974" ht="15" customHeight="1" s="104">
      <c r="H3974" s="198" t="n">
        <v>0</v>
      </c>
    </row>
    <row r="3975" ht="15" customHeight="1" s="104">
      <c r="H3975" s="198" t="n">
        <v>0</v>
      </c>
    </row>
    <row r="3976" ht="15" customHeight="1" s="104">
      <c r="H3976" s="198" t="n">
        <v>0</v>
      </c>
    </row>
    <row r="3977" ht="15" customHeight="1" s="104">
      <c r="H3977" s="198" t="n">
        <v>0</v>
      </c>
    </row>
    <row r="3978" ht="15" customHeight="1" s="104">
      <c r="H3978" s="198" t="n">
        <v>0</v>
      </c>
    </row>
    <row r="3979" ht="15" customHeight="1" s="104">
      <c r="H3979" s="198" t="n">
        <v>0</v>
      </c>
    </row>
    <row r="3980" ht="15" customHeight="1" s="104">
      <c r="H3980" s="198" t="n">
        <v>0</v>
      </c>
    </row>
    <row r="3981" ht="15" customHeight="1" s="104">
      <c r="H3981" s="198" t="n">
        <v>0</v>
      </c>
    </row>
    <row r="3982" ht="15" customHeight="1" s="104">
      <c r="H3982" s="198" t="n">
        <v>0</v>
      </c>
    </row>
    <row r="3983" ht="15" customHeight="1" s="104">
      <c r="H3983" s="198" t="n">
        <v>0</v>
      </c>
    </row>
    <row r="3984" ht="15" customHeight="1" s="104">
      <c r="H3984" s="198" t="n">
        <v>0</v>
      </c>
    </row>
    <row r="3985" ht="15" customHeight="1" s="104">
      <c r="H3985" s="198" t="n">
        <v>0</v>
      </c>
    </row>
    <row r="3986" ht="15" customHeight="1" s="104">
      <c r="H3986" s="198" t="n">
        <v>0</v>
      </c>
    </row>
    <row r="3987" ht="15" customHeight="1" s="104">
      <c r="H3987" s="198" t="n">
        <v>0</v>
      </c>
    </row>
    <row r="3988" ht="15" customHeight="1" s="104">
      <c r="H3988" s="198" t="n">
        <v>0</v>
      </c>
    </row>
    <row r="3989" ht="15" customHeight="1" s="104">
      <c r="H3989" s="198" t="n">
        <v>0</v>
      </c>
    </row>
    <row r="3990" ht="15" customHeight="1" s="104">
      <c r="H3990" s="198" t="n">
        <v>0</v>
      </c>
    </row>
    <row r="3991" ht="15" customHeight="1" s="104">
      <c r="H3991" s="198" t="n">
        <v>0</v>
      </c>
    </row>
    <row r="3992" ht="15" customHeight="1" s="104">
      <c r="H3992" s="198" t="n">
        <v>0</v>
      </c>
    </row>
    <row r="3993" ht="15" customHeight="1" s="104">
      <c r="H3993" s="198" t="n">
        <v>0</v>
      </c>
    </row>
    <row r="3994" ht="15" customHeight="1" s="104">
      <c r="H3994" s="198" t="n">
        <v>0</v>
      </c>
    </row>
    <row r="3995" ht="15" customHeight="1" s="104">
      <c r="H3995" s="198" t="n">
        <v>0</v>
      </c>
    </row>
    <row r="3996" ht="15" customHeight="1" s="104">
      <c r="H3996" s="198" t="n">
        <v>0</v>
      </c>
    </row>
    <row r="3997" ht="15" customHeight="1" s="104">
      <c r="H3997" s="198" t="n">
        <v>0</v>
      </c>
    </row>
    <row r="3998" ht="15" customHeight="1" s="104">
      <c r="H3998" s="198" t="n">
        <v>0</v>
      </c>
    </row>
    <row r="3999" ht="15" customHeight="1" s="104">
      <c r="H3999" s="198" t="n">
        <v>0</v>
      </c>
    </row>
    <row r="4000" ht="15" customHeight="1" s="104">
      <c r="H4000" s="198" t="n">
        <v>0</v>
      </c>
    </row>
    <row r="4001" ht="15" customHeight="1" s="104">
      <c r="H4001" s="198" t="n">
        <v>0</v>
      </c>
    </row>
    <row r="4002" ht="15" customHeight="1" s="104">
      <c r="H4002" s="198" t="n">
        <v>0</v>
      </c>
    </row>
    <row r="4003" ht="15" customHeight="1" s="104">
      <c r="H4003" s="198" t="n">
        <v>0</v>
      </c>
    </row>
    <row r="4004" ht="15" customHeight="1" s="104">
      <c r="H4004" s="198" t="n">
        <v>0</v>
      </c>
    </row>
    <row r="4005" ht="15" customHeight="1" s="104">
      <c r="H4005" s="198" t="n">
        <v>0</v>
      </c>
    </row>
    <row r="4006" ht="15" customHeight="1" s="104">
      <c r="H4006" s="198" t="n">
        <v>0</v>
      </c>
    </row>
    <row r="4007" ht="15" customHeight="1" s="104">
      <c r="H4007" s="198" t="n">
        <v>0</v>
      </c>
    </row>
    <row r="4008" ht="15" customHeight="1" s="104">
      <c r="H4008" s="198" t="n">
        <v>0</v>
      </c>
    </row>
    <row r="4009" ht="15" customHeight="1" s="104">
      <c r="H4009" s="198" t="n">
        <v>0</v>
      </c>
    </row>
    <row r="4010" ht="15" customHeight="1" s="104">
      <c r="H4010" s="198" t="n">
        <v>0</v>
      </c>
    </row>
    <row r="4011" ht="15" customHeight="1" s="104">
      <c r="H4011" s="198" t="n">
        <v>0</v>
      </c>
    </row>
    <row r="4012" ht="15" customHeight="1" s="104">
      <c r="H4012" s="198" t="n">
        <v>0</v>
      </c>
    </row>
    <row r="4013" ht="15" customHeight="1" s="104">
      <c r="H4013" s="198" t="n">
        <v>0</v>
      </c>
    </row>
    <row r="4014" ht="15" customHeight="1" s="104">
      <c r="H4014" s="198" t="n">
        <v>0</v>
      </c>
    </row>
    <row r="4015" ht="15" customHeight="1" s="104">
      <c r="H4015" s="198" t="n">
        <v>0</v>
      </c>
    </row>
    <row r="4016" ht="15" customHeight="1" s="104">
      <c r="H4016" s="198" t="n">
        <v>0</v>
      </c>
    </row>
    <row r="4017" ht="15" customHeight="1" s="104">
      <c r="H4017" s="198" t="n">
        <v>0</v>
      </c>
    </row>
    <row r="4018" ht="15" customHeight="1" s="104">
      <c r="H4018" s="198" t="n">
        <v>0</v>
      </c>
    </row>
    <row r="4019" ht="15" customHeight="1" s="104">
      <c r="H4019" s="198" t="n">
        <v>0</v>
      </c>
    </row>
    <row r="4020" ht="15" customHeight="1" s="104">
      <c r="H4020" s="198" t="n">
        <v>0</v>
      </c>
    </row>
    <row r="4021" ht="15" customHeight="1" s="104">
      <c r="H4021" s="198" t="n">
        <v>0</v>
      </c>
    </row>
    <row r="4022" ht="15" customHeight="1" s="104">
      <c r="H4022" s="198" t="n">
        <v>0</v>
      </c>
    </row>
    <row r="4023" ht="15" customHeight="1" s="104">
      <c r="H4023" s="198" t="n">
        <v>0</v>
      </c>
    </row>
    <row r="4024" ht="15" customHeight="1" s="104">
      <c r="H4024" s="198" t="n">
        <v>0</v>
      </c>
    </row>
    <row r="4025" ht="15" customHeight="1" s="104">
      <c r="H4025" s="198" t="n">
        <v>0</v>
      </c>
    </row>
    <row r="4026" ht="15" customHeight="1" s="104">
      <c r="H4026" s="198" t="n">
        <v>0</v>
      </c>
    </row>
    <row r="4027" ht="15" customHeight="1" s="104">
      <c r="H4027" s="198" t="n">
        <v>0</v>
      </c>
    </row>
    <row r="4028" ht="15" customHeight="1" s="104">
      <c r="H4028" s="198" t="n">
        <v>0</v>
      </c>
    </row>
    <row r="4029" ht="15" customHeight="1" s="104">
      <c r="H4029" s="198" t="n">
        <v>0</v>
      </c>
    </row>
    <row r="4030" ht="15" customHeight="1" s="104">
      <c r="H4030" s="198" t="n">
        <v>0</v>
      </c>
    </row>
    <row r="4031" ht="15" customHeight="1" s="104">
      <c r="H4031" s="198" t="n">
        <v>0</v>
      </c>
    </row>
    <row r="4032" ht="15" customHeight="1" s="104">
      <c r="H4032" s="198" t="n">
        <v>0</v>
      </c>
    </row>
    <row r="4033" ht="15" customHeight="1" s="104">
      <c r="H4033" s="198" t="n">
        <v>0</v>
      </c>
    </row>
    <row r="4034" ht="15" customHeight="1" s="104">
      <c r="H4034" s="198" t="n">
        <v>0</v>
      </c>
    </row>
    <row r="4035" ht="15" customHeight="1" s="104">
      <c r="H4035" s="198" t="n">
        <v>0</v>
      </c>
    </row>
    <row r="4036" ht="15" customHeight="1" s="104">
      <c r="H4036" s="198" t="n">
        <v>0</v>
      </c>
    </row>
    <row r="4037" ht="15" customHeight="1" s="104">
      <c r="H4037" s="198" t="n">
        <v>0</v>
      </c>
    </row>
    <row r="4038" ht="15" customHeight="1" s="104">
      <c r="H4038" s="198" t="n">
        <v>0</v>
      </c>
    </row>
    <row r="4039" ht="15" customHeight="1" s="104">
      <c r="H4039" s="198" t="n">
        <v>0</v>
      </c>
    </row>
    <row r="4040" ht="15" customHeight="1" s="104">
      <c r="H4040" s="198" t="n">
        <v>0</v>
      </c>
    </row>
    <row r="4041" ht="15" customHeight="1" s="104">
      <c r="H4041" s="198" t="n">
        <v>0</v>
      </c>
    </row>
    <row r="4042" ht="15" customHeight="1" s="104">
      <c r="H4042" s="198" t="n">
        <v>0</v>
      </c>
    </row>
    <row r="4043" ht="15" customHeight="1" s="104">
      <c r="H4043" s="198" t="n">
        <v>0</v>
      </c>
    </row>
    <row r="4044" ht="15" customHeight="1" s="104">
      <c r="H4044" s="198" t="n">
        <v>0</v>
      </c>
    </row>
    <row r="4045" ht="15" customHeight="1" s="104">
      <c r="H4045" s="198" t="n">
        <v>0</v>
      </c>
    </row>
    <row r="4046" ht="15" customHeight="1" s="104">
      <c r="H4046" s="198" t="n">
        <v>0</v>
      </c>
    </row>
    <row r="4047" ht="15" customHeight="1" s="104">
      <c r="H4047" s="198" t="n">
        <v>0</v>
      </c>
    </row>
    <row r="4048" ht="15" customHeight="1" s="104">
      <c r="H4048" s="198" t="n">
        <v>0</v>
      </c>
    </row>
    <row r="4049" ht="15" customHeight="1" s="104">
      <c r="H4049" s="198" t="n">
        <v>0</v>
      </c>
    </row>
    <row r="4050" ht="15" customHeight="1" s="104">
      <c r="H4050" s="198" t="n">
        <v>0</v>
      </c>
    </row>
    <row r="4051" ht="15" customHeight="1" s="104">
      <c r="H4051" s="198" t="n">
        <v>0</v>
      </c>
    </row>
    <row r="4052" ht="15" customHeight="1" s="104">
      <c r="H4052" s="198" t="n">
        <v>0</v>
      </c>
    </row>
    <row r="4053" ht="15" customHeight="1" s="104">
      <c r="H4053" s="198" t="n">
        <v>0</v>
      </c>
    </row>
    <row r="4054" ht="15" customHeight="1" s="104">
      <c r="H4054" s="198" t="n">
        <v>0</v>
      </c>
    </row>
    <row r="4055" ht="15" customHeight="1" s="104">
      <c r="H4055" s="198" t="n">
        <v>0</v>
      </c>
    </row>
    <row r="4056" ht="15" customHeight="1" s="104">
      <c r="H4056" s="198" t="n">
        <v>0</v>
      </c>
    </row>
    <row r="4057" ht="15" customHeight="1" s="104">
      <c r="H4057" s="198" t="n">
        <v>0</v>
      </c>
    </row>
    <row r="4058" ht="15" customHeight="1" s="104">
      <c r="H4058" s="198" t="n">
        <v>0</v>
      </c>
    </row>
    <row r="4059" ht="15" customHeight="1" s="104">
      <c r="H4059" s="198" t="n">
        <v>0</v>
      </c>
    </row>
    <row r="4060" ht="15" customHeight="1" s="104">
      <c r="H4060" s="198" t="n">
        <v>0</v>
      </c>
    </row>
    <row r="4061" ht="15" customHeight="1" s="104">
      <c r="H4061" s="198" t="n">
        <v>0</v>
      </c>
    </row>
    <row r="4062" ht="15" customHeight="1" s="104">
      <c r="H4062" s="198" t="n">
        <v>0</v>
      </c>
    </row>
    <row r="4063" ht="15" customHeight="1" s="104">
      <c r="H4063" s="198" t="n">
        <v>0</v>
      </c>
    </row>
    <row r="4064" ht="15" customHeight="1" s="104">
      <c r="H4064" s="198" t="n">
        <v>0</v>
      </c>
    </row>
    <row r="4065" ht="15" customHeight="1" s="104">
      <c r="H4065" s="198" t="n">
        <v>0</v>
      </c>
    </row>
    <row r="4066" ht="15" customHeight="1" s="104">
      <c r="H4066" s="198" t="n">
        <v>0</v>
      </c>
    </row>
    <row r="4067" ht="15" customHeight="1" s="104">
      <c r="H4067" s="198" t="n">
        <v>0</v>
      </c>
    </row>
    <row r="4068" ht="15" customHeight="1" s="104">
      <c r="H4068" s="198" t="n">
        <v>0</v>
      </c>
    </row>
    <row r="4069" ht="15" customHeight="1" s="104">
      <c r="H4069" s="198" t="n">
        <v>0</v>
      </c>
    </row>
    <row r="4070" ht="15" customHeight="1" s="104">
      <c r="H4070" s="198" t="n">
        <v>0</v>
      </c>
    </row>
    <row r="4071" ht="15" customHeight="1" s="104">
      <c r="H4071" s="198" t="n">
        <v>0</v>
      </c>
    </row>
    <row r="4072" ht="15" customHeight="1" s="104">
      <c r="H4072" s="198" t="n">
        <v>0</v>
      </c>
    </row>
    <row r="4073" ht="15" customHeight="1" s="104">
      <c r="H4073" s="198" t="n">
        <v>0</v>
      </c>
    </row>
    <row r="4074" ht="15" customHeight="1" s="104">
      <c r="H4074" s="198" t="n">
        <v>0</v>
      </c>
    </row>
    <row r="4075" ht="15" customHeight="1" s="104">
      <c r="H4075" s="198" t="n">
        <v>0</v>
      </c>
    </row>
    <row r="4076" ht="15" customHeight="1" s="104">
      <c r="H4076" s="198" t="n">
        <v>0</v>
      </c>
    </row>
    <row r="4077" ht="15" customHeight="1" s="104">
      <c r="H4077" s="198" t="n">
        <v>0</v>
      </c>
    </row>
    <row r="4078" ht="15" customHeight="1" s="104">
      <c r="H4078" s="198" t="n">
        <v>0</v>
      </c>
    </row>
    <row r="4079" ht="15" customHeight="1" s="104">
      <c r="H4079" s="198" t="n">
        <v>0</v>
      </c>
    </row>
    <row r="4080" ht="15" customHeight="1" s="104">
      <c r="H4080" s="198" t="n">
        <v>0</v>
      </c>
    </row>
    <row r="4081" ht="15" customHeight="1" s="104">
      <c r="H4081" s="198" t="n">
        <v>0</v>
      </c>
    </row>
    <row r="4082" ht="15" customHeight="1" s="104">
      <c r="H4082" s="198" t="n">
        <v>0</v>
      </c>
    </row>
    <row r="4083" ht="15" customHeight="1" s="104">
      <c r="H4083" s="198" t="n">
        <v>0</v>
      </c>
    </row>
    <row r="4084" ht="15" customHeight="1" s="104">
      <c r="H4084" s="198" t="n">
        <v>0</v>
      </c>
    </row>
    <row r="4085" ht="15" customHeight="1" s="104">
      <c r="H4085" s="198" t="n">
        <v>0</v>
      </c>
    </row>
    <row r="4086" ht="15" customHeight="1" s="104">
      <c r="H4086" s="198" t="n">
        <v>0</v>
      </c>
    </row>
    <row r="4087" ht="15" customHeight="1" s="104">
      <c r="H4087" s="198" t="n">
        <v>0</v>
      </c>
    </row>
    <row r="4088" ht="15" customHeight="1" s="104">
      <c r="H4088" s="198" t="n">
        <v>0</v>
      </c>
    </row>
    <row r="4089" ht="15" customHeight="1" s="104">
      <c r="H4089" s="198" t="n">
        <v>0</v>
      </c>
    </row>
    <row r="4090" ht="15" customHeight="1" s="104">
      <c r="H4090" s="198" t="n">
        <v>0</v>
      </c>
    </row>
    <row r="4091" ht="15" customHeight="1" s="104">
      <c r="H4091" s="198" t="n">
        <v>0</v>
      </c>
    </row>
    <row r="4092" ht="15" customHeight="1" s="104">
      <c r="H4092" s="198" t="n">
        <v>0</v>
      </c>
    </row>
    <row r="4093" ht="15" customHeight="1" s="104">
      <c r="H4093" s="198" t="n">
        <v>0</v>
      </c>
    </row>
    <row r="4094" ht="15" customHeight="1" s="104">
      <c r="H4094" s="198" t="n">
        <v>0</v>
      </c>
    </row>
    <row r="4095" ht="15" customHeight="1" s="104">
      <c r="H4095" s="198" t="n">
        <v>0</v>
      </c>
    </row>
    <row r="4096" ht="15" customHeight="1" s="104">
      <c r="H4096" s="198" t="n">
        <v>0</v>
      </c>
    </row>
    <row r="4097" ht="15" customHeight="1" s="104">
      <c r="H4097" s="198" t="n">
        <v>0</v>
      </c>
    </row>
    <row r="4098" ht="15" customHeight="1" s="104">
      <c r="H4098" s="198" t="n">
        <v>0</v>
      </c>
    </row>
    <row r="4099" ht="15" customHeight="1" s="104">
      <c r="H4099" s="198" t="n">
        <v>0</v>
      </c>
    </row>
    <row r="4100" ht="15" customHeight="1" s="104">
      <c r="H4100" s="198" t="n">
        <v>0</v>
      </c>
    </row>
    <row r="4101" ht="15" customHeight="1" s="104">
      <c r="H4101" s="198" t="n">
        <v>0</v>
      </c>
    </row>
    <row r="4102" ht="15" customHeight="1" s="104">
      <c r="H4102" s="198" t="n">
        <v>0</v>
      </c>
    </row>
    <row r="4103" ht="15" customHeight="1" s="104">
      <c r="H4103" s="198" t="n">
        <v>0</v>
      </c>
    </row>
    <row r="4104" ht="15" customHeight="1" s="104">
      <c r="H4104" s="198" t="n">
        <v>0</v>
      </c>
    </row>
    <row r="4105" ht="15" customHeight="1" s="104">
      <c r="H4105" s="198" t="n">
        <v>0</v>
      </c>
    </row>
    <row r="4106" ht="15" customHeight="1" s="104">
      <c r="H4106" s="198" t="n">
        <v>0</v>
      </c>
    </row>
    <row r="4107" ht="15" customHeight="1" s="104">
      <c r="H4107" s="198" t="n">
        <v>0</v>
      </c>
    </row>
    <row r="4108" ht="15" customHeight="1" s="104">
      <c r="H4108" s="198" t="n">
        <v>0</v>
      </c>
    </row>
    <row r="4109" ht="15" customHeight="1" s="104">
      <c r="H4109" s="198" t="n">
        <v>0</v>
      </c>
    </row>
    <row r="4110" ht="15" customHeight="1" s="104">
      <c r="H4110" s="198" t="n">
        <v>0</v>
      </c>
    </row>
    <row r="4111" ht="15" customHeight="1" s="104">
      <c r="H4111" s="198" t="n">
        <v>0</v>
      </c>
    </row>
    <row r="4112" ht="15" customHeight="1" s="104">
      <c r="H4112" s="198" t="n">
        <v>0</v>
      </c>
    </row>
    <row r="4113" ht="15" customHeight="1" s="104">
      <c r="H4113" s="198" t="n">
        <v>0</v>
      </c>
    </row>
    <row r="4114" ht="15" customHeight="1" s="104">
      <c r="H4114" s="198" t="n">
        <v>0</v>
      </c>
    </row>
    <row r="4115" ht="15" customHeight="1" s="104">
      <c r="H4115" s="198" t="n">
        <v>0</v>
      </c>
    </row>
    <row r="4116" ht="15" customHeight="1" s="104">
      <c r="H4116" s="198" t="n">
        <v>0</v>
      </c>
    </row>
    <row r="4117" ht="15" customHeight="1" s="104">
      <c r="H4117" s="198" t="n">
        <v>0</v>
      </c>
    </row>
    <row r="4118" ht="15" customHeight="1" s="104">
      <c r="H4118" s="198" t="n">
        <v>0</v>
      </c>
    </row>
    <row r="4119" ht="15" customHeight="1" s="104">
      <c r="H4119" s="198" t="n">
        <v>0</v>
      </c>
    </row>
    <row r="4120" ht="15" customHeight="1" s="104">
      <c r="H4120" s="198" t="n">
        <v>0</v>
      </c>
    </row>
    <row r="4121" ht="15" customHeight="1" s="104">
      <c r="H4121" s="198" t="n">
        <v>0</v>
      </c>
    </row>
    <row r="4122" ht="15" customHeight="1" s="104">
      <c r="H4122" s="198" t="n">
        <v>0</v>
      </c>
    </row>
    <row r="4123" ht="15" customHeight="1" s="104">
      <c r="H4123" s="198" t="n">
        <v>0</v>
      </c>
    </row>
    <row r="4124" ht="15" customHeight="1" s="104">
      <c r="H4124" s="198" t="n">
        <v>0</v>
      </c>
    </row>
    <row r="4125" ht="15" customHeight="1" s="104">
      <c r="H4125" s="198" t="n">
        <v>0</v>
      </c>
    </row>
    <row r="4126" ht="15" customHeight="1" s="104">
      <c r="H4126" s="198" t="n">
        <v>0</v>
      </c>
    </row>
    <row r="4127" ht="15" customHeight="1" s="104">
      <c r="H4127" s="198" t="n">
        <v>0</v>
      </c>
    </row>
    <row r="4128" ht="15" customHeight="1" s="104">
      <c r="H4128" s="198" t="n">
        <v>0</v>
      </c>
    </row>
    <row r="4129" ht="15" customHeight="1" s="104">
      <c r="H4129" s="198" t="n">
        <v>0</v>
      </c>
    </row>
    <row r="4130" ht="15" customHeight="1" s="104">
      <c r="H4130" s="198" t="n">
        <v>0</v>
      </c>
    </row>
    <row r="4131" ht="15" customHeight="1" s="104">
      <c r="H4131" s="198" t="n">
        <v>0</v>
      </c>
    </row>
    <row r="4132" ht="15" customHeight="1" s="104">
      <c r="H4132" s="198" t="n">
        <v>0</v>
      </c>
    </row>
    <row r="4133" ht="15" customHeight="1" s="104">
      <c r="H4133" s="198" t="n">
        <v>0</v>
      </c>
    </row>
    <row r="4134" ht="15" customHeight="1" s="104">
      <c r="H4134" s="198" t="n">
        <v>0</v>
      </c>
    </row>
    <row r="4135" ht="15" customHeight="1" s="104">
      <c r="H4135" s="198" t="n">
        <v>0</v>
      </c>
    </row>
    <row r="4136" ht="15" customHeight="1" s="104">
      <c r="H4136" s="198" t="n">
        <v>0</v>
      </c>
    </row>
    <row r="4137" ht="15" customHeight="1" s="104">
      <c r="H4137" s="198" t="n">
        <v>0</v>
      </c>
    </row>
    <row r="4138" ht="15" customHeight="1" s="104">
      <c r="H4138" s="198" t="n">
        <v>0</v>
      </c>
    </row>
    <row r="4139" ht="15" customHeight="1" s="104">
      <c r="H4139" s="198" t="n">
        <v>0</v>
      </c>
    </row>
    <row r="4140" ht="15" customHeight="1" s="104">
      <c r="H4140" s="198" t="n">
        <v>0</v>
      </c>
    </row>
    <row r="4141" ht="15" customHeight="1" s="104">
      <c r="H4141" s="198" t="n">
        <v>0</v>
      </c>
    </row>
    <row r="4142" ht="15" customHeight="1" s="104">
      <c r="H4142" s="198" t="n">
        <v>0</v>
      </c>
    </row>
    <row r="4143" ht="15" customHeight="1" s="104">
      <c r="H4143" s="198" t="n">
        <v>0</v>
      </c>
    </row>
    <row r="4144" ht="15" customHeight="1" s="104">
      <c r="H4144" s="198" t="n">
        <v>0</v>
      </c>
    </row>
    <row r="4145" ht="15" customHeight="1" s="104">
      <c r="H4145" s="198" t="n">
        <v>0</v>
      </c>
    </row>
    <row r="4146" ht="15" customHeight="1" s="104">
      <c r="H4146" s="198" t="n">
        <v>0</v>
      </c>
    </row>
    <row r="4147" ht="15" customHeight="1" s="104">
      <c r="H4147" s="198" t="n">
        <v>0</v>
      </c>
    </row>
    <row r="4148" ht="15" customHeight="1" s="104">
      <c r="H4148" s="198" t="n">
        <v>0</v>
      </c>
    </row>
    <row r="4149" ht="15" customHeight="1" s="104">
      <c r="H4149" s="198" t="n">
        <v>0</v>
      </c>
    </row>
    <row r="4150" ht="15" customHeight="1" s="104">
      <c r="H4150" s="198" t="n">
        <v>0</v>
      </c>
    </row>
    <row r="4151" ht="15" customHeight="1" s="104">
      <c r="H4151" s="198" t="n">
        <v>0</v>
      </c>
    </row>
    <row r="4152" ht="15" customHeight="1" s="104">
      <c r="H4152" s="198" t="n">
        <v>0</v>
      </c>
    </row>
    <row r="4153" ht="15" customHeight="1" s="104">
      <c r="H4153" s="198" t="n">
        <v>0</v>
      </c>
    </row>
    <row r="4154" ht="15" customHeight="1" s="104">
      <c r="H4154" s="198" t="n">
        <v>0</v>
      </c>
    </row>
    <row r="4155" ht="15" customHeight="1" s="104">
      <c r="H4155" s="198" t="n">
        <v>0</v>
      </c>
    </row>
    <row r="4156" ht="15" customHeight="1" s="104">
      <c r="H4156" s="198" t="n">
        <v>0</v>
      </c>
    </row>
    <row r="4157" ht="15" customHeight="1" s="104">
      <c r="H4157" s="198" t="n">
        <v>0</v>
      </c>
    </row>
    <row r="4158" ht="15" customHeight="1" s="104">
      <c r="H4158" s="198" t="n">
        <v>0</v>
      </c>
    </row>
    <row r="4159" ht="15" customHeight="1" s="104">
      <c r="H4159" s="198" t="n">
        <v>0</v>
      </c>
    </row>
    <row r="4160" ht="15" customHeight="1" s="104">
      <c r="H4160" s="198" t="n">
        <v>0</v>
      </c>
    </row>
    <row r="4161" ht="15" customHeight="1" s="104">
      <c r="H4161" s="198" t="n">
        <v>0</v>
      </c>
    </row>
    <row r="4162" ht="15" customHeight="1" s="104">
      <c r="H4162" s="198" t="n">
        <v>0</v>
      </c>
    </row>
    <row r="4163" ht="15" customHeight="1" s="104">
      <c r="H4163" s="198" t="n">
        <v>0</v>
      </c>
    </row>
    <row r="4164" ht="15" customHeight="1" s="104">
      <c r="H4164" s="198" t="n">
        <v>0</v>
      </c>
    </row>
    <row r="4165" ht="15" customHeight="1" s="104">
      <c r="H4165" s="198" t="n">
        <v>0</v>
      </c>
    </row>
    <row r="4166" ht="15" customHeight="1" s="104">
      <c r="H4166" s="198" t="n">
        <v>0</v>
      </c>
    </row>
    <row r="4167" ht="15" customHeight="1" s="104">
      <c r="H4167" s="198" t="n">
        <v>0</v>
      </c>
    </row>
    <row r="4168" ht="15" customHeight="1" s="104">
      <c r="H4168" s="198" t="n">
        <v>0</v>
      </c>
    </row>
    <row r="4169" ht="15" customHeight="1" s="104">
      <c r="H4169" s="198" t="n">
        <v>0</v>
      </c>
    </row>
    <row r="4170" ht="15" customHeight="1" s="104">
      <c r="H4170" s="198" t="n">
        <v>0</v>
      </c>
    </row>
    <row r="4171" ht="15" customHeight="1" s="104">
      <c r="H4171" s="198" t="n">
        <v>0</v>
      </c>
    </row>
    <row r="4172" ht="15" customHeight="1" s="104">
      <c r="H4172" s="198" t="n">
        <v>0</v>
      </c>
    </row>
    <row r="4173" ht="15" customHeight="1" s="104">
      <c r="H4173" s="198" t="n">
        <v>0</v>
      </c>
    </row>
    <row r="4174" ht="15" customHeight="1" s="104">
      <c r="H4174" s="198" t="n">
        <v>0</v>
      </c>
    </row>
    <row r="4175" ht="15" customHeight="1" s="104">
      <c r="H4175" s="198" t="n">
        <v>0</v>
      </c>
    </row>
    <row r="4176" ht="15" customHeight="1" s="104">
      <c r="H4176" s="198" t="n">
        <v>0</v>
      </c>
    </row>
    <row r="4177" ht="15" customHeight="1" s="104">
      <c r="H4177" s="198" t="n">
        <v>0</v>
      </c>
    </row>
    <row r="4178" ht="15" customHeight="1" s="104">
      <c r="H4178" s="198" t="n">
        <v>0</v>
      </c>
    </row>
    <row r="4179" ht="15" customHeight="1" s="104">
      <c r="H4179" s="198" t="n">
        <v>0</v>
      </c>
    </row>
    <row r="4180" ht="15" customHeight="1" s="104">
      <c r="H4180" s="198" t="n">
        <v>0</v>
      </c>
    </row>
    <row r="4181" ht="15" customHeight="1" s="104">
      <c r="H4181" s="198" t="n">
        <v>0</v>
      </c>
    </row>
    <row r="4182" ht="15" customHeight="1" s="104">
      <c r="H4182" s="198" t="n">
        <v>0</v>
      </c>
    </row>
    <row r="4183" ht="15" customHeight="1" s="104">
      <c r="H4183" s="198" t="n">
        <v>0</v>
      </c>
    </row>
    <row r="4184" ht="15" customHeight="1" s="104">
      <c r="H4184" s="198" t="n">
        <v>0</v>
      </c>
    </row>
    <row r="4185" ht="15" customHeight="1" s="104">
      <c r="H4185" s="198" t="n">
        <v>0</v>
      </c>
    </row>
    <row r="4186" ht="15" customHeight="1" s="104">
      <c r="H4186" s="198" t="n">
        <v>0</v>
      </c>
    </row>
    <row r="4187" ht="15" customHeight="1" s="104">
      <c r="H4187" s="198" t="n">
        <v>0</v>
      </c>
    </row>
    <row r="4188" ht="15" customHeight="1" s="104">
      <c r="H4188" s="198" t="n">
        <v>0</v>
      </c>
    </row>
    <row r="4189" ht="15" customHeight="1" s="104">
      <c r="H4189" s="198" t="n">
        <v>0</v>
      </c>
    </row>
    <row r="4190" ht="15" customHeight="1" s="104">
      <c r="H4190" s="198" t="n">
        <v>0</v>
      </c>
    </row>
    <row r="4191" ht="15" customHeight="1" s="104">
      <c r="H4191" s="198" t="n">
        <v>0</v>
      </c>
    </row>
    <row r="4192" ht="15" customHeight="1" s="104">
      <c r="H4192" s="198" t="n">
        <v>0</v>
      </c>
    </row>
    <row r="4193" ht="15" customHeight="1" s="104">
      <c r="H4193" s="198" t="n">
        <v>0</v>
      </c>
    </row>
    <row r="4194" ht="15" customHeight="1" s="104">
      <c r="H4194" s="198" t="n">
        <v>0</v>
      </c>
    </row>
    <row r="4195" ht="15" customHeight="1" s="104">
      <c r="H4195" s="198" t="n">
        <v>0</v>
      </c>
    </row>
    <row r="4196" ht="15" customHeight="1" s="104">
      <c r="H4196" s="198" t="n">
        <v>0</v>
      </c>
    </row>
    <row r="4197" ht="15" customHeight="1" s="104">
      <c r="H4197" s="198" t="n">
        <v>0</v>
      </c>
    </row>
    <row r="4198" ht="15" customHeight="1" s="104">
      <c r="H4198" s="198" t="n">
        <v>0</v>
      </c>
    </row>
    <row r="4199" ht="15" customHeight="1" s="104">
      <c r="H4199" s="198" t="n">
        <v>0</v>
      </c>
    </row>
    <row r="4200" ht="15" customHeight="1" s="104">
      <c r="H4200" s="198" t="n">
        <v>0</v>
      </c>
    </row>
    <row r="4201" ht="15" customHeight="1" s="104">
      <c r="H4201" s="198" t="n">
        <v>0</v>
      </c>
    </row>
    <row r="4202" ht="15" customHeight="1" s="104">
      <c r="H4202" s="198" t="n">
        <v>0</v>
      </c>
    </row>
    <row r="4203" ht="15" customHeight="1" s="104">
      <c r="H4203" s="198" t="n">
        <v>0</v>
      </c>
    </row>
    <row r="4204" ht="15" customHeight="1" s="104">
      <c r="H4204" s="198" t="n">
        <v>0</v>
      </c>
    </row>
    <row r="4205" ht="15" customHeight="1" s="104">
      <c r="H4205" s="198" t="n">
        <v>0</v>
      </c>
    </row>
    <row r="4206" ht="15" customHeight="1" s="104">
      <c r="H4206" s="198" t="n">
        <v>0</v>
      </c>
    </row>
    <row r="4207" ht="15" customHeight="1" s="104">
      <c r="H4207" s="198" t="n">
        <v>0</v>
      </c>
    </row>
    <row r="4208" ht="15" customHeight="1" s="104">
      <c r="H4208" s="198" t="n">
        <v>0</v>
      </c>
    </row>
    <row r="4209" ht="15" customHeight="1" s="104">
      <c r="H4209" s="198" t="n">
        <v>0</v>
      </c>
    </row>
    <row r="4210" ht="15" customHeight="1" s="104">
      <c r="H4210" s="198" t="n">
        <v>0</v>
      </c>
    </row>
    <row r="4211" ht="15" customHeight="1" s="104">
      <c r="H4211" s="198" t="n">
        <v>0</v>
      </c>
    </row>
    <row r="4212" ht="15" customHeight="1" s="104">
      <c r="H4212" s="198" t="n">
        <v>0</v>
      </c>
    </row>
    <row r="4213" ht="15" customHeight="1" s="104">
      <c r="H4213" s="198" t="n">
        <v>0</v>
      </c>
    </row>
    <row r="4214" ht="15" customHeight="1" s="104">
      <c r="H4214" s="198" t="n">
        <v>0</v>
      </c>
    </row>
    <row r="4215" ht="15" customHeight="1" s="104">
      <c r="H4215" s="198" t="n">
        <v>0</v>
      </c>
    </row>
    <row r="4216" ht="15" customHeight="1" s="104">
      <c r="H4216" s="198" t="n">
        <v>0</v>
      </c>
    </row>
    <row r="4217" ht="15" customHeight="1" s="104">
      <c r="H4217" s="198" t="n">
        <v>0</v>
      </c>
    </row>
    <row r="4218" ht="15" customHeight="1" s="104">
      <c r="H4218" s="198" t="n">
        <v>0</v>
      </c>
    </row>
    <row r="4219" ht="15" customHeight="1" s="104">
      <c r="H4219" s="198" t="n">
        <v>0</v>
      </c>
    </row>
    <row r="4220" ht="15" customHeight="1" s="104">
      <c r="H4220" s="198" t="n">
        <v>0</v>
      </c>
    </row>
    <row r="4221" ht="15" customHeight="1" s="104">
      <c r="H4221" s="198" t="n">
        <v>0</v>
      </c>
    </row>
    <row r="4222" ht="15" customHeight="1" s="104">
      <c r="H4222" s="198" t="n">
        <v>0</v>
      </c>
    </row>
    <row r="4223" ht="15" customHeight="1" s="104">
      <c r="H4223" s="198" t="n">
        <v>0</v>
      </c>
    </row>
    <row r="4224" ht="15" customHeight="1" s="104">
      <c r="H4224" s="198" t="n">
        <v>0</v>
      </c>
    </row>
    <row r="4225" ht="15" customHeight="1" s="104">
      <c r="H4225" s="198" t="n">
        <v>0</v>
      </c>
    </row>
    <row r="4226" ht="15" customHeight="1" s="104">
      <c r="H4226" s="198" t="n">
        <v>0</v>
      </c>
    </row>
    <row r="4227" ht="15" customHeight="1" s="104">
      <c r="H4227" s="198" t="n">
        <v>0</v>
      </c>
    </row>
    <row r="4228" ht="15" customHeight="1" s="104">
      <c r="H4228" s="198" t="n">
        <v>0</v>
      </c>
    </row>
    <row r="4229" ht="15" customHeight="1" s="104">
      <c r="H4229" s="198" t="n">
        <v>0</v>
      </c>
    </row>
    <row r="4230" ht="15" customHeight="1" s="104">
      <c r="H4230" s="198" t="n">
        <v>0</v>
      </c>
    </row>
    <row r="4231" ht="15" customHeight="1" s="104">
      <c r="H4231" s="198" t="n">
        <v>0</v>
      </c>
    </row>
    <row r="4232" ht="15" customHeight="1" s="104">
      <c r="H4232" s="198" t="n">
        <v>0</v>
      </c>
    </row>
    <row r="4233" ht="15" customHeight="1" s="104">
      <c r="H4233" s="198" t="n">
        <v>0</v>
      </c>
    </row>
    <row r="4234" ht="15" customHeight="1" s="104">
      <c r="H4234" s="198" t="n">
        <v>0</v>
      </c>
    </row>
    <row r="4235" ht="15" customHeight="1" s="104">
      <c r="H4235" s="198" t="n">
        <v>0</v>
      </c>
    </row>
    <row r="4236" ht="15" customHeight="1" s="104">
      <c r="H4236" s="198" t="n">
        <v>0</v>
      </c>
    </row>
    <row r="4237" ht="15" customHeight="1" s="104">
      <c r="H4237" s="198" t="n">
        <v>0</v>
      </c>
    </row>
    <row r="4238" ht="15" customHeight="1" s="104">
      <c r="H4238" s="198" t="n">
        <v>0</v>
      </c>
    </row>
    <row r="4239" ht="15" customHeight="1" s="104">
      <c r="H4239" s="198" t="n">
        <v>0</v>
      </c>
    </row>
    <row r="4240" ht="15" customHeight="1" s="104">
      <c r="H4240" s="198" t="n">
        <v>0</v>
      </c>
    </row>
    <row r="4241" ht="15" customHeight="1" s="104">
      <c r="H4241" s="198" t="n">
        <v>0</v>
      </c>
    </row>
    <row r="4242" ht="15" customHeight="1" s="104">
      <c r="H4242" s="198" t="n">
        <v>0</v>
      </c>
    </row>
    <row r="4243" ht="15" customHeight="1" s="104">
      <c r="H4243" s="198" t="n">
        <v>0</v>
      </c>
    </row>
    <row r="4244" ht="15" customHeight="1" s="104">
      <c r="H4244" s="198" t="n">
        <v>0</v>
      </c>
    </row>
    <row r="4245" ht="15" customHeight="1" s="104">
      <c r="H4245" s="198" t="n">
        <v>0</v>
      </c>
    </row>
    <row r="4246" ht="15" customHeight="1" s="104">
      <c r="H4246" s="198" t="n">
        <v>0</v>
      </c>
    </row>
    <row r="4247" ht="15" customHeight="1" s="104">
      <c r="H4247" s="198" t="n">
        <v>0</v>
      </c>
    </row>
    <row r="4248" ht="15" customHeight="1" s="104">
      <c r="H4248" s="198" t="n">
        <v>0</v>
      </c>
    </row>
    <row r="4249" ht="15" customHeight="1" s="104">
      <c r="H4249" s="198" t="n">
        <v>0</v>
      </c>
    </row>
    <row r="4250" ht="15" customHeight="1" s="104">
      <c r="H4250" s="198" t="n">
        <v>0</v>
      </c>
    </row>
    <row r="4251" ht="15" customHeight="1" s="104">
      <c r="H4251" s="198" t="n">
        <v>0</v>
      </c>
    </row>
    <row r="4252" ht="15" customHeight="1" s="104">
      <c r="H4252" s="198" t="n">
        <v>0</v>
      </c>
    </row>
    <row r="4253" ht="15" customHeight="1" s="104">
      <c r="H4253" s="198" t="n">
        <v>0</v>
      </c>
    </row>
    <row r="4254" ht="15" customHeight="1" s="104">
      <c r="H4254" s="198" t="n">
        <v>0</v>
      </c>
    </row>
    <row r="4255" ht="15" customHeight="1" s="104">
      <c r="H4255" s="198" t="n">
        <v>0</v>
      </c>
    </row>
    <row r="4256" ht="15" customHeight="1" s="104">
      <c r="H4256" s="198" t="n">
        <v>0</v>
      </c>
    </row>
    <row r="4257" ht="15" customHeight="1" s="104">
      <c r="H4257" s="198" t="n">
        <v>0</v>
      </c>
    </row>
    <row r="4258" ht="15" customHeight="1" s="104">
      <c r="H4258" s="198" t="n">
        <v>0</v>
      </c>
    </row>
    <row r="4259" ht="15" customHeight="1" s="104">
      <c r="H4259" s="198" t="n">
        <v>0</v>
      </c>
    </row>
    <row r="4260" ht="15" customHeight="1" s="104">
      <c r="H4260" s="198" t="n">
        <v>0</v>
      </c>
    </row>
    <row r="4261" ht="15" customHeight="1" s="104">
      <c r="H4261" s="198" t="n">
        <v>0</v>
      </c>
    </row>
    <row r="4262" ht="15" customHeight="1" s="104">
      <c r="H4262" s="198" t="n">
        <v>0</v>
      </c>
    </row>
    <row r="4263" ht="15" customHeight="1" s="104">
      <c r="H4263" s="198" t="n">
        <v>0</v>
      </c>
    </row>
    <row r="4264" ht="15" customHeight="1" s="104">
      <c r="H4264" s="198" t="n">
        <v>0</v>
      </c>
    </row>
    <row r="4265" ht="15" customHeight="1" s="104">
      <c r="H4265" s="198" t="n">
        <v>0</v>
      </c>
    </row>
    <row r="4266" ht="15" customHeight="1" s="104">
      <c r="H4266" s="198" t="n">
        <v>0</v>
      </c>
    </row>
    <row r="4267" ht="15" customHeight="1" s="104">
      <c r="H4267" s="198" t="n">
        <v>0</v>
      </c>
    </row>
    <row r="4268" ht="15" customHeight="1" s="104">
      <c r="H4268" s="198" t="n">
        <v>0</v>
      </c>
    </row>
    <row r="4269" ht="15" customHeight="1" s="104">
      <c r="H4269" s="198" t="n">
        <v>0</v>
      </c>
    </row>
    <row r="4270" ht="15" customHeight="1" s="104">
      <c r="H4270" s="198" t="n">
        <v>0</v>
      </c>
    </row>
    <row r="4271" ht="15" customHeight="1" s="104">
      <c r="H4271" s="198" t="n">
        <v>0</v>
      </c>
    </row>
    <row r="4272" ht="15" customHeight="1" s="104">
      <c r="H4272" s="198" t="n">
        <v>0</v>
      </c>
    </row>
    <row r="4273" ht="15" customHeight="1" s="104">
      <c r="H4273" s="198" t="n">
        <v>0</v>
      </c>
    </row>
    <row r="4274" ht="15" customHeight="1" s="104">
      <c r="H4274" s="198" t="n">
        <v>0</v>
      </c>
    </row>
    <row r="4275" ht="15" customHeight="1" s="104">
      <c r="H4275" s="198" t="n">
        <v>0</v>
      </c>
    </row>
    <row r="4276" ht="15" customHeight="1" s="104">
      <c r="H4276" s="198" t="n">
        <v>0</v>
      </c>
    </row>
    <row r="4277" ht="15" customHeight="1" s="104">
      <c r="H4277" s="198" t="n">
        <v>0</v>
      </c>
    </row>
    <row r="4278" ht="15" customHeight="1" s="104">
      <c r="H4278" s="198" t="n">
        <v>0</v>
      </c>
    </row>
    <row r="4279" ht="15" customHeight="1" s="104">
      <c r="H4279" s="198" t="n">
        <v>0</v>
      </c>
    </row>
    <row r="4280" ht="15" customHeight="1" s="104">
      <c r="H4280" s="198" t="n">
        <v>0</v>
      </c>
    </row>
    <row r="4281" ht="15" customHeight="1" s="104">
      <c r="H4281" s="198" t="n">
        <v>0</v>
      </c>
    </row>
    <row r="4282" ht="15" customHeight="1" s="104">
      <c r="H4282" s="198" t="n">
        <v>0</v>
      </c>
    </row>
    <row r="4283" ht="15" customHeight="1" s="104">
      <c r="H4283" s="198" t="n">
        <v>0</v>
      </c>
    </row>
    <row r="4284" ht="15" customHeight="1" s="104">
      <c r="H4284" s="198" t="n">
        <v>0</v>
      </c>
    </row>
    <row r="4285" ht="15" customHeight="1" s="104">
      <c r="H4285" s="198" t="n">
        <v>0</v>
      </c>
    </row>
    <row r="4286" ht="15" customHeight="1" s="104">
      <c r="H4286" s="198" t="n">
        <v>0</v>
      </c>
    </row>
    <row r="4287" ht="15" customHeight="1" s="104">
      <c r="H4287" s="198" t="n">
        <v>0</v>
      </c>
    </row>
    <row r="4288" ht="15" customHeight="1" s="104">
      <c r="H4288" s="198" t="n">
        <v>0</v>
      </c>
    </row>
    <row r="4289" ht="15" customHeight="1" s="104">
      <c r="H4289" s="198" t="n">
        <v>0</v>
      </c>
    </row>
    <row r="4290" ht="15" customHeight="1" s="104">
      <c r="H4290" s="198" t="n">
        <v>0</v>
      </c>
    </row>
    <row r="4291" ht="15" customHeight="1" s="104">
      <c r="H4291" s="198" t="n">
        <v>0</v>
      </c>
    </row>
    <row r="4292" ht="15" customHeight="1" s="104">
      <c r="H4292" s="198" t="n">
        <v>0</v>
      </c>
    </row>
    <row r="4293" ht="15" customHeight="1" s="104">
      <c r="H4293" s="198" t="n">
        <v>0</v>
      </c>
    </row>
    <row r="4294" ht="15" customHeight="1" s="104">
      <c r="H4294" s="198" t="n">
        <v>0</v>
      </c>
    </row>
    <row r="4295" ht="15" customHeight="1" s="104">
      <c r="H4295" s="198" t="n">
        <v>0</v>
      </c>
    </row>
    <row r="4296" ht="15" customHeight="1" s="104">
      <c r="H4296" s="198" t="n">
        <v>0</v>
      </c>
    </row>
    <row r="4297" ht="15" customHeight="1" s="104">
      <c r="H4297" s="198" t="n">
        <v>0</v>
      </c>
    </row>
    <row r="4298" ht="15" customHeight="1" s="104">
      <c r="H4298" s="198" t="n">
        <v>0</v>
      </c>
    </row>
    <row r="4299" ht="15" customHeight="1" s="104">
      <c r="H4299" s="198" t="n">
        <v>0</v>
      </c>
    </row>
    <row r="4300" ht="15" customHeight="1" s="104">
      <c r="H4300" s="198" t="n">
        <v>0</v>
      </c>
    </row>
    <row r="4301" ht="15" customHeight="1" s="104">
      <c r="H4301" s="198" t="n">
        <v>0</v>
      </c>
    </row>
    <row r="4302" ht="15" customHeight="1" s="104">
      <c r="H4302" s="198" t="n">
        <v>0</v>
      </c>
    </row>
    <row r="4303" ht="15" customHeight="1" s="104">
      <c r="H4303" s="198" t="n">
        <v>0</v>
      </c>
    </row>
    <row r="4304" ht="15" customHeight="1" s="104">
      <c r="H4304" s="198" t="n">
        <v>0</v>
      </c>
    </row>
    <row r="4305" ht="15" customHeight="1" s="104">
      <c r="H4305" s="198" t="n">
        <v>0</v>
      </c>
    </row>
    <row r="4306" ht="15" customHeight="1" s="104">
      <c r="H4306" s="198" t="n">
        <v>0</v>
      </c>
    </row>
    <row r="4307" ht="15" customHeight="1" s="104">
      <c r="H4307" s="198" t="n">
        <v>0</v>
      </c>
    </row>
    <row r="4308" ht="15" customHeight="1" s="104">
      <c r="H4308" s="198" t="n">
        <v>0</v>
      </c>
    </row>
    <row r="4309" ht="15" customHeight="1" s="104">
      <c r="H4309" s="198" t="n">
        <v>0</v>
      </c>
    </row>
    <row r="4310" ht="15" customHeight="1" s="104">
      <c r="H4310" s="198" t="n">
        <v>0</v>
      </c>
    </row>
    <row r="4311" ht="15" customHeight="1" s="104">
      <c r="H4311" s="198" t="n">
        <v>0</v>
      </c>
    </row>
    <row r="4312" ht="15" customHeight="1" s="104">
      <c r="H4312" s="198" t="n">
        <v>0</v>
      </c>
    </row>
    <row r="4313" ht="15" customHeight="1" s="104">
      <c r="H4313" s="198" t="n">
        <v>0</v>
      </c>
    </row>
    <row r="4314" ht="15" customHeight="1" s="104">
      <c r="H4314" s="198" t="n">
        <v>0</v>
      </c>
    </row>
    <row r="4315" ht="15" customHeight="1" s="104">
      <c r="H4315" s="198" t="n">
        <v>0</v>
      </c>
    </row>
    <row r="4316" ht="15" customHeight="1" s="104">
      <c r="H4316" s="198" t="n">
        <v>0</v>
      </c>
    </row>
    <row r="4317" ht="15" customHeight="1" s="104">
      <c r="H4317" s="198" t="n">
        <v>0</v>
      </c>
    </row>
    <row r="4318" ht="15" customHeight="1" s="104">
      <c r="H4318" s="198" t="n">
        <v>0</v>
      </c>
    </row>
    <row r="4319" ht="15" customHeight="1" s="104">
      <c r="H4319" s="198" t="n">
        <v>0</v>
      </c>
    </row>
    <row r="4320" ht="15" customHeight="1" s="104">
      <c r="H4320" s="198" t="n">
        <v>0</v>
      </c>
    </row>
    <row r="4321" ht="15" customHeight="1" s="104">
      <c r="H4321" s="198" t="n">
        <v>0</v>
      </c>
    </row>
    <row r="4322" ht="15" customHeight="1" s="104">
      <c r="H4322" s="198" t="n">
        <v>0</v>
      </c>
    </row>
    <row r="4323" ht="15" customHeight="1" s="104">
      <c r="H4323" s="198" t="n">
        <v>0</v>
      </c>
    </row>
    <row r="4324" ht="15" customHeight="1" s="104">
      <c r="H4324" s="198" t="n">
        <v>0</v>
      </c>
    </row>
    <row r="4325" ht="15" customHeight="1" s="104">
      <c r="H4325" s="198" t="n">
        <v>0</v>
      </c>
    </row>
    <row r="4326" ht="15" customHeight="1" s="104">
      <c r="H4326" s="198" t="n">
        <v>0</v>
      </c>
    </row>
    <row r="4327" ht="15" customHeight="1" s="104">
      <c r="H4327" s="198" t="n">
        <v>0</v>
      </c>
    </row>
    <row r="4328" ht="15" customHeight="1" s="104">
      <c r="H4328" s="198" t="n">
        <v>0</v>
      </c>
    </row>
    <row r="4329" ht="15" customHeight="1" s="104">
      <c r="H4329" s="198" t="n">
        <v>0</v>
      </c>
    </row>
    <row r="4330" ht="15" customHeight="1" s="104">
      <c r="H4330" s="198" t="n">
        <v>0</v>
      </c>
    </row>
    <row r="4331" ht="15" customHeight="1" s="104">
      <c r="H4331" s="198" t="n">
        <v>0</v>
      </c>
    </row>
    <row r="4332" ht="15" customHeight="1" s="104">
      <c r="H4332" s="198" t="n">
        <v>0</v>
      </c>
    </row>
    <row r="4333" ht="15" customHeight="1" s="104">
      <c r="H4333" s="198" t="n">
        <v>0</v>
      </c>
    </row>
    <row r="4334" ht="15" customHeight="1" s="104">
      <c r="H4334" s="198" t="n">
        <v>0</v>
      </c>
    </row>
    <row r="4335" ht="15" customHeight="1" s="104">
      <c r="H4335" s="198" t="n">
        <v>0</v>
      </c>
    </row>
    <row r="4336" ht="15" customHeight="1" s="104">
      <c r="H4336" s="198" t="n">
        <v>0</v>
      </c>
    </row>
    <row r="4337" ht="15" customHeight="1" s="104">
      <c r="H4337" s="198" t="n">
        <v>0</v>
      </c>
    </row>
    <row r="4338" ht="15" customHeight="1" s="104">
      <c r="H4338" s="198" t="n">
        <v>0</v>
      </c>
    </row>
    <row r="4339" ht="15" customHeight="1" s="104">
      <c r="H4339" s="198" t="n">
        <v>0</v>
      </c>
    </row>
    <row r="4340" ht="15" customHeight="1" s="104">
      <c r="H4340" s="198" t="n">
        <v>0</v>
      </c>
    </row>
    <row r="4341" ht="15" customHeight="1" s="104">
      <c r="H4341" s="198" t="n">
        <v>0</v>
      </c>
    </row>
    <row r="4342" ht="15" customHeight="1" s="104">
      <c r="H4342" s="198" t="n">
        <v>0</v>
      </c>
    </row>
    <row r="4343" ht="15" customHeight="1" s="104">
      <c r="H4343" s="198" t="n">
        <v>0</v>
      </c>
    </row>
    <row r="4344" ht="15" customHeight="1" s="104">
      <c r="H4344" s="198" t="n">
        <v>0</v>
      </c>
    </row>
    <row r="4345" ht="15" customHeight="1" s="104">
      <c r="H4345" s="198" t="n">
        <v>0</v>
      </c>
    </row>
    <row r="4346" ht="15" customHeight="1" s="104">
      <c r="H4346" s="198" t="n">
        <v>0</v>
      </c>
    </row>
    <row r="4347" ht="15" customHeight="1" s="104">
      <c r="H4347" s="198" t="n">
        <v>0</v>
      </c>
    </row>
    <row r="4348" ht="15" customHeight="1" s="104">
      <c r="H4348" s="198" t="n">
        <v>0</v>
      </c>
    </row>
    <row r="4349" ht="15" customHeight="1" s="104">
      <c r="H4349" s="198" t="n">
        <v>0</v>
      </c>
    </row>
    <row r="4350" ht="15" customHeight="1" s="104">
      <c r="H4350" s="198" t="n">
        <v>0</v>
      </c>
    </row>
    <row r="4351" ht="15" customHeight="1" s="104">
      <c r="H4351" s="198" t="n">
        <v>0</v>
      </c>
    </row>
    <row r="4352" ht="15" customHeight="1" s="104">
      <c r="H4352" s="198" t="n">
        <v>0</v>
      </c>
    </row>
    <row r="4353" ht="15" customHeight="1" s="104">
      <c r="H4353" s="198" t="n">
        <v>0</v>
      </c>
    </row>
    <row r="4354" ht="15" customHeight="1" s="104">
      <c r="H4354" s="198" t="n">
        <v>0</v>
      </c>
    </row>
    <row r="4355" ht="15" customHeight="1" s="104">
      <c r="H4355" s="198" t="n">
        <v>0</v>
      </c>
    </row>
    <row r="4356" ht="15" customHeight="1" s="104">
      <c r="H4356" s="198" t="n">
        <v>0</v>
      </c>
    </row>
    <row r="4357" ht="15" customHeight="1" s="104">
      <c r="H4357" s="198" t="n">
        <v>0</v>
      </c>
    </row>
    <row r="4358" ht="15" customHeight="1" s="104">
      <c r="H4358" s="198" t="n">
        <v>0</v>
      </c>
    </row>
    <row r="4359" ht="15" customHeight="1" s="104">
      <c r="H4359" s="198" t="n">
        <v>0</v>
      </c>
    </row>
    <row r="4360" ht="15" customHeight="1" s="104">
      <c r="H4360" s="198" t="n">
        <v>0</v>
      </c>
    </row>
    <row r="4361" ht="15" customHeight="1" s="104">
      <c r="H4361" s="198" t="n">
        <v>0</v>
      </c>
    </row>
    <row r="4362" ht="15" customHeight="1" s="104">
      <c r="H4362" s="198" t="n">
        <v>0</v>
      </c>
    </row>
    <row r="4363" ht="15" customHeight="1" s="104">
      <c r="H4363" s="198" t="n">
        <v>0</v>
      </c>
    </row>
    <row r="4364" ht="15" customHeight="1" s="104">
      <c r="H4364" s="198" t="n">
        <v>0</v>
      </c>
    </row>
    <row r="4365" ht="15" customHeight="1" s="104">
      <c r="H4365" s="198" t="n">
        <v>0</v>
      </c>
    </row>
    <row r="4366" ht="15" customHeight="1" s="104">
      <c r="H4366" s="198" t="n">
        <v>0</v>
      </c>
    </row>
    <row r="4367" ht="15" customHeight="1" s="104">
      <c r="H4367" s="198" t="n">
        <v>0</v>
      </c>
    </row>
    <row r="4368" ht="15" customHeight="1" s="104">
      <c r="H4368" s="198" t="n">
        <v>0</v>
      </c>
    </row>
    <row r="4369" ht="15" customHeight="1" s="104">
      <c r="H4369" s="198" t="n">
        <v>0</v>
      </c>
    </row>
    <row r="4370" ht="15" customHeight="1" s="104">
      <c r="H4370" s="198" t="n">
        <v>0</v>
      </c>
    </row>
    <row r="4371" ht="15" customHeight="1" s="104">
      <c r="H4371" s="198" t="n">
        <v>0</v>
      </c>
    </row>
    <row r="4372" ht="15" customHeight="1" s="104">
      <c r="H4372" s="198" t="n">
        <v>0</v>
      </c>
    </row>
    <row r="4373" ht="15" customHeight="1" s="104">
      <c r="H4373" s="198" t="n">
        <v>0</v>
      </c>
    </row>
    <row r="4374" ht="15" customHeight="1" s="104">
      <c r="H4374" s="198" t="n">
        <v>0</v>
      </c>
    </row>
    <row r="4375" ht="15" customHeight="1" s="104">
      <c r="H4375" s="198" t="n">
        <v>0</v>
      </c>
    </row>
    <row r="4376" ht="15" customHeight="1" s="104">
      <c r="H4376" s="198" t="n">
        <v>0</v>
      </c>
    </row>
    <row r="4377" ht="15" customHeight="1" s="104">
      <c r="H4377" s="198" t="n">
        <v>0</v>
      </c>
    </row>
    <row r="4378" ht="15" customHeight="1" s="104">
      <c r="H4378" s="198" t="n">
        <v>0</v>
      </c>
    </row>
    <row r="4379" ht="15" customHeight="1" s="104">
      <c r="H4379" s="198" t="n">
        <v>0</v>
      </c>
    </row>
    <row r="4380" ht="15" customHeight="1" s="104">
      <c r="H4380" s="198" t="n">
        <v>0</v>
      </c>
    </row>
    <row r="4381" ht="15" customHeight="1" s="104">
      <c r="H4381" s="198" t="n">
        <v>0</v>
      </c>
    </row>
    <row r="4382" ht="15" customHeight="1" s="104">
      <c r="H4382" s="198" t="n">
        <v>0</v>
      </c>
    </row>
    <row r="4383" ht="15" customHeight="1" s="104">
      <c r="H4383" s="198" t="n">
        <v>0</v>
      </c>
    </row>
    <row r="4384" ht="15" customHeight="1" s="104">
      <c r="H4384" s="198" t="n">
        <v>0</v>
      </c>
    </row>
    <row r="4385" ht="15" customHeight="1" s="104">
      <c r="H4385" s="198" t="n">
        <v>0</v>
      </c>
    </row>
    <row r="4386" ht="15" customHeight="1" s="104">
      <c r="H4386" s="198" t="n">
        <v>0</v>
      </c>
    </row>
    <row r="4387" ht="15" customHeight="1" s="104">
      <c r="H4387" s="198" t="n">
        <v>0</v>
      </c>
    </row>
    <row r="4388" ht="15" customHeight="1" s="104">
      <c r="H4388" s="198" t="n">
        <v>0</v>
      </c>
    </row>
    <row r="4389" ht="15" customHeight="1" s="104">
      <c r="H4389" s="198" t="n">
        <v>0</v>
      </c>
    </row>
    <row r="4390" ht="15" customHeight="1" s="104">
      <c r="H4390" s="198" t="n">
        <v>0</v>
      </c>
    </row>
    <row r="4391" ht="15" customHeight="1" s="104">
      <c r="H4391" s="198" t="n">
        <v>0</v>
      </c>
    </row>
    <row r="4392" ht="15" customHeight="1" s="104">
      <c r="H4392" s="198" t="n">
        <v>0</v>
      </c>
    </row>
    <row r="4393" ht="15" customHeight="1" s="104">
      <c r="H4393" s="198" t="n">
        <v>0</v>
      </c>
    </row>
    <row r="4394" ht="15" customHeight="1" s="104">
      <c r="H4394" s="198" t="n">
        <v>0</v>
      </c>
    </row>
    <row r="4395" ht="15" customHeight="1" s="104">
      <c r="H4395" s="198" t="n">
        <v>0</v>
      </c>
    </row>
    <row r="4396" ht="15" customHeight="1" s="104">
      <c r="H4396" s="198" t="n">
        <v>0</v>
      </c>
    </row>
    <row r="4397" ht="15" customHeight="1" s="104">
      <c r="H4397" s="198" t="n">
        <v>0</v>
      </c>
    </row>
    <row r="4398" ht="15" customHeight="1" s="104">
      <c r="H4398" s="198" t="n">
        <v>0</v>
      </c>
    </row>
    <row r="4399" ht="15" customHeight="1" s="104">
      <c r="H4399" s="198" t="n">
        <v>0</v>
      </c>
    </row>
    <row r="4400" ht="15" customHeight="1" s="104">
      <c r="H4400" s="198" t="n">
        <v>0</v>
      </c>
    </row>
    <row r="4401" ht="15" customHeight="1" s="104">
      <c r="H4401" s="198" t="n">
        <v>0</v>
      </c>
    </row>
    <row r="4402" ht="15" customHeight="1" s="104">
      <c r="H4402" s="198" t="n">
        <v>0</v>
      </c>
    </row>
    <row r="4403" ht="15" customHeight="1" s="104">
      <c r="H4403" s="198" t="n">
        <v>0</v>
      </c>
    </row>
    <row r="4404" ht="15" customHeight="1" s="104">
      <c r="H4404" s="198" t="n">
        <v>0</v>
      </c>
    </row>
    <row r="4405" ht="15" customHeight="1" s="104">
      <c r="H4405" s="198" t="n">
        <v>0</v>
      </c>
    </row>
    <row r="4406" ht="15" customHeight="1" s="104">
      <c r="H4406" s="198" t="n">
        <v>0</v>
      </c>
    </row>
    <row r="4407" ht="15" customHeight="1" s="104">
      <c r="H4407" s="198" t="n">
        <v>0</v>
      </c>
    </row>
    <row r="4408" ht="15" customHeight="1" s="104">
      <c r="H4408" s="198" t="n">
        <v>0</v>
      </c>
    </row>
    <row r="4409" ht="15" customHeight="1" s="104">
      <c r="H4409" s="198" t="n">
        <v>0</v>
      </c>
    </row>
    <row r="4410" ht="15" customHeight="1" s="104">
      <c r="H4410" s="198" t="n">
        <v>0</v>
      </c>
    </row>
    <row r="4411" ht="15" customHeight="1" s="104">
      <c r="H4411" s="198" t="n">
        <v>0</v>
      </c>
    </row>
    <row r="4412" ht="15" customHeight="1" s="104">
      <c r="H4412" s="198" t="n">
        <v>0</v>
      </c>
    </row>
    <row r="4413" ht="15" customHeight="1" s="104">
      <c r="H4413" s="198" t="n">
        <v>0</v>
      </c>
    </row>
    <row r="4414" ht="15" customHeight="1" s="104">
      <c r="H4414" s="198" t="n">
        <v>0</v>
      </c>
    </row>
    <row r="4415" ht="15" customHeight="1" s="104">
      <c r="H4415" s="198" t="n">
        <v>0</v>
      </c>
    </row>
    <row r="4416" ht="15" customHeight="1" s="104">
      <c r="H4416" s="198" t="n">
        <v>0</v>
      </c>
    </row>
    <row r="4417" ht="15" customHeight="1" s="104">
      <c r="H4417" s="198" t="n">
        <v>0</v>
      </c>
    </row>
    <row r="4418" ht="15" customHeight="1" s="104">
      <c r="H4418" s="198" t="n">
        <v>0</v>
      </c>
    </row>
    <row r="4419" ht="15" customHeight="1" s="104">
      <c r="H4419" s="198" t="n">
        <v>0</v>
      </c>
    </row>
    <row r="4420" ht="15" customHeight="1" s="104">
      <c r="H4420" s="198" t="n">
        <v>0</v>
      </c>
    </row>
    <row r="4421" ht="15" customHeight="1" s="104">
      <c r="H4421" s="198" t="n">
        <v>0</v>
      </c>
    </row>
    <row r="4422" ht="15" customHeight="1" s="104">
      <c r="H4422" s="198" t="n">
        <v>0</v>
      </c>
    </row>
    <row r="4423" ht="15" customHeight="1" s="104">
      <c r="H4423" s="198" t="n">
        <v>0</v>
      </c>
    </row>
    <row r="4424" ht="15" customHeight="1" s="104">
      <c r="H4424" s="198" t="n">
        <v>0</v>
      </c>
    </row>
    <row r="4425" ht="15" customHeight="1" s="104">
      <c r="H4425" s="198" t="n">
        <v>0</v>
      </c>
    </row>
    <row r="4426" ht="15" customHeight="1" s="104">
      <c r="H4426" s="198" t="n">
        <v>0</v>
      </c>
    </row>
    <row r="4427" ht="15" customHeight="1" s="104">
      <c r="H4427" s="198" t="n">
        <v>0</v>
      </c>
    </row>
    <row r="4428" ht="15" customHeight="1" s="104">
      <c r="H4428" s="198" t="n">
        <v>0</v>
      </c>
    </row>
    <row r="4429" ht="15" customHeight="1" s="104">
      <c r="H4429" s="198" t="n">
        <v>0</v>
      </c>
    </row>
    <row r="4430" ht="15" customHeight="1" s="104">
      <c r="H4430" s="198" t="n">
        <v>0</v>
      </c>
    </row>
    <row r="4431" ht="15" customHeight="1" s="104">
      <c r="H4431" s="198" t="n">
        <v>0</v>
      </c>
    </row>
    <row r="4432" ht="15" customHeight="1" s="104">
      <c r="H4432" s="198" t="n">
        <v>0</v>
      </c>
    </row>
    <row r="4433" ht="15" customHeight="1" s="104">
      <c r="H4433" s="198" t="n">
        <v>0</v>
      </c>
    </row>
    <row r="4434" ht="15" customHeight="1" s="104">
      <c r="H4434" s="198" t="n">
        <v>0</v>
      </c>
    </row>
    <row r="4435" ht="15" customHeight="1" s="104">
      <c r="H4435" s="198" t="n">
        <v>0</v>
      </c>
    </row>
    <row r="4436" ht="15" customHeight="1" s="104">
      <c r="H4436" s="198" t="n">
        <v>0</v>
      </c>
    </row>
    <row r="4437" ht="15" customHeight="1" s="104">
      <c r="H4437" s="198" t="n">
        <v>0</v>
      </c>
    </row>
    <row r="4438" ht="15" customHeight="1" s="104">
      <c r="H4438" s="198" t="n">
        <v>0</v>
      </c>
    </row>
    <row r="4439" ht="15" customHeight="1" s="104">
      <c r="H4439" s="198" t="n">
        <v>0</v>
      </c>
    </row>
    <row r="4440" ht="15" customHeight="1" s="104">
      <c r="H4440" s="198" t="n">
        <v>0</v>
      </c>
    </row>
    <row r="4441" ht="15" customHeight="1" s="104">
      <c r="H4441" s="198" t="n">
        <v>0</v>
      </c>
    </row>
    <row r="4442" ht="15" customHeight="1" s="104">
      <c r="H4442" s="198" t="n">
        <v>0</v>
      </c>
    </row>
    <row r="4443" ht="15" customHeight="1" s="104">
      <c r="H4443" s="198" t="n">
        <v>0</v>
      </c>
    </row>
    <row r="4444" ht="15" customHeight="1" s="104">
      <c r="H4444" s="198" t="n">
        <v>0</v>
      </c>
    </row>
    <row r="4445" ht="15" customHeight="1" s="104">
      <c r="H4445" s="198" t="n">
        <v>0</v>
      </c>
    </row>
    <row r="4446" ht="15" customHeight="1" s="104">
      <c r="H4446" s="198" t="n">
        <v>0</v>
      </c>
    </row>
    <row r="4447" ht="15" customHeight="1" s="104">
      <c r="H4447" s="198" t="n">
        <v>0</v>
      </c>
    </row>
    <row r="4448" ht="15" customHeight="1" s="104">
      <c r="H4448" s="198" t="n">
        <v>0</v>
      </c>
    </row>
    <row r="4449" ht="15" customHeight="1" s="104">
      <c r="H4449" s="198" t="n">
        <v>0</v>
      </c>
    </row>
    <row r="4450" ht="15" customHeight="1" s="104">
      <c r="H4450" s="198" t="n">
        <v>0</v>
      </c>
    </row>
    <row r="4451" ht="15" customHeight="1" s="104">
      <c r="H4451" s="198" t="n">
        <v>0</v>
      </c>
    </row>
    <row r="4452" ht="15" customHeight="1" s="104">
      <c r="H4452" s="198" t="n">
        <v>0</v>
      </c>
    </row>
    <row r="4453" ht="15" customHeight="1" s="104">
      <c r="H4453" s="198" t="n">
        <v>0</v>
      </c>
    </row>
    <row r="4454" ht="15" customHeight="1" s="104">
      <c r="H4454" s="198" t="n">
        <v>0</v>
      </c>
    </row>
    <row r="4455" ht="15" customHeight="1" s="104">
      <c r="H4455" s="198" t="n">
        <v>0</v>
      </c>
    </row>
    <row r="4456" ht="15" customHeight="1" s="104">
      <c r="H4456" s="198" t="n">
        <v>0</v>
      </c>
    </row>
    <row r="4457" ht="15" customHeight="1" s="104">
      <c r="H4457" s="198" t="n">
        <v>0</v>
      </c>
    </row>
    <row r="4458" ht="15" customHeight="1" s="104">
      <c r="H4458" s="198" t="n">
        <v>0</v>
      </c>
    </row>
    <row r="4459" ht="15" customHeight="1" s="104">
      <c r="H4459" s="198" t="n">
        <v>0</v>
      </c>
    </row>
    <row r="4460" ht="15" customHeight="1" s="104">
      <c r="H4460" s="198" t="n">
        <v>0</v>
      </c>
    </row>
    <row r="4461" ht="15" customHeight="1" s="104">
      <c r="H4461" s="198" t="n">
        <v>0</v>
      </c>
    </row>
    <row r="4462" ht="15" customHeight="1" s="104">
      <c r="H4462" s="198" t="n">
        <v>0</v>
      </c>
    </row>
    <row r="4463" ht="15" customHeight="1" s="104">
      <c r="H4463" s="198" t="n">
        <v>0</v>
      </c>
    </row>
    <row r="4464" ht="15" customHeight="1" s="104">
      <c r="H4464" s="198" t="n">
        <v>0</v>
      </c>
    </row>
    <row r="4465" ht="15" customHeight="1" s="104">
      <c r="H4465" s="198" t="n">
        <v>0</v>
      </c>
    </row>
    <row r="4466" ht="15" customHeight="1" s="104">
      <c r="H4466" s="198" t="n">
        <v>0</v>
      </c>
    </row>
    <row r="4467" ht="15" customHeight="1" s="104">
      <c r="H4467" s="198" t="n">
        <v>0</v>
      </c>
    </row>
    <row r="4468" ht="15" customHeight="1" s="104">
      <c r="H4468" s="198" t="n">
        <v>0</v>
      </c>
    </row>
    <row r="4469" ht="15" customHeight="1" s="104">
      <c r="H4469" s="198" t="n">
        <v>0</v>
      </c>
    </row>
    <row r="4470" ht="15" customHeight="1" s="104">
      <c r="H4470" s="198" t="n">
        <v>0</v>
      </c>
    </row>
    <row r="4471" ht="15" customHeight="1" s="104">
      <c r="H4471" s="198" t="n">
        <v>0</v>
      </c>
    </row>
    <row r="4472" ht="15" customHeight="1" s="104">
      <c r="H4472" s="198" t="n">
        <v>0</v>
      </c>
    </row>
    <row r="4473" ht="15" customHeight="1" s="104">
      <c r="H4473" s="198" t="n">
        <v>0</v>
      </c>
    </row>
    <row r="4474" ht="15" customHeight="1" s="104">
      <c r="H4474" s="198" t="n">
        <v>0</v>
      </c>
    </row>
    <row r="4475" ht="15" customHeight="1" s="104">
      <c r="H4475" s="198" t="n">
        <v>0</v>
      </c>
    </row>
    <row r="4476" ht="15" customHeight="1" s="104">
      <c r="H4476" s="198" t="n">
        <v>0</v>
      </c>
    </row>
    <row r="4477" ht="15" customHeight="1" s="104">
      <c r="H4477" s="198" t="n">
        <v>0</v>
      </c>
    </row>
    <row r="4478" ht="15" customHeight="1" s="104">
      <c r="H4478" s="198" t="n">
        <v>0</v>
      </c>
    </row>
    <row r="4479" ht="15" customHeight="1" s="104">
      <c r="H4479" s="198" t="n">
        <v>0</v>
      </c>
    </row>
    <row r="4480" ht="15" customHeight="1" s="104">
      <c r="H4480" s="198" t="n">
        <v>0</v>
      </c>
    </row>
    <row r="4481" ht="15" customHeight="1" s="104">
      <c r="H4481" s="198" t="n">
        <v>0</v>
      </c>
    </row>
    <row r="4482" ht="15" customHeight="1" s="104">
      <c r="H4482" s="198" t="n">
        <v>0</v>
      </c>
    </row>
    <row r="4483" ht="15" customHeight="1" s="104">
      <c r="H4483" s="198" t="n">
        <v>0</v>
      </c>
    </row>
    <row r="4484" ht="15" customHeight="1" s="104">
      <c r="H4484" s="198" t="n">
        <v>0</v>
      </c>
    </row>
    <row r="4485" ht="15" customHeight="1" s="104">
      <c r="H4485" s="198" t="n">
        <v>0</v>
      </c>
    </row>
    <row r="4486" ht="15" customHeight="1" s="104">
      <c r="H4486" s="198" t="n">
        <v>0</v>
      </c>
    </row>
    <row r="4487" ht="15" customHeight="1" s="104">
      <c r="H4487" s="198" t="n">
        <v>0</v>
      </c>
    </row>
    <row r="4488" ht="15" customHeight="1" s="104">
      <c r="H4488" s="198" t="n">
        <v>0</v>
      </c>
    </row>
    <row r="4489" ht="15" customHeight="1" s="104">
      <c r="H4489" s="198" t="n">
        <v>0</v>
      </c>
    </row>
    <row r="4490" ht="15" customHeight="1" s="104">
      <c r="H4490" s="198" t="n">
        <v>0</v>
      </c>
    </row>
    <row r="4491" ht="15" customHeight="1" s="104">
      <c r="H4491" s="198" t="n">
        <v>0</v>
      </c>
    </row>
    <row r="4492" ht="15" customHeight="1" s="104">
      <c r="H4492" s="198" t="n">
        <v>0</v>
      </c>
    </row>
    <row r="4493" ht="15" customHeight="1" s="104">
      <c r="H4493" s="198" t="n">
        <v>0</v>
      </c>
    </row>
    <row r="4494" ht="15" customHeight="1" s="104">
      <c r="H4494" s="198" t="n">
        <v>0</v>
      </c>
    </row>
    <row r="4495" ht="15" customHeight="1" s="104">
      <c r="H4495" s="198" t="n">
        <v>0</v>
      </c>
    </row>
    <row r="4496" ht="15" customHeight="1" s="104">
      <c r="H4496" s="198" t="n">
        <v>0</v>
      </c>
    </row>
    <row r="4497" ht="15" customHeight="1" s="104">
      <c r="H4497" s="198" t="n">
        <v>0</v>
      </c>
    </row>
    <row r="4498" ht="15" customHeight="1" s="104">
      <c r="H4498" s="198" t="n">
        <v>0</v>
      </c>
    </row>
    <row r="4499" ht="15" customHeight="1" s="104">
      <c r="H4499" s="198" t="n">
        <v>0</v>
      </c>
    </row>
    <row r="4500" ht="15" customHeight="1" s="104">
      <c r="H4500" s="198" t="n">
        <v>0</v>
      </c>
    </row>
    <row r="4501" ht="15" customHeight="1" s="104">
      <c r="H4501" s="198" t="n">
        <v>0</v>
      </c>
    </row>
    <row r="4502" ht="15" customHeight="1" s="104">
      <c r="H4502" s="198" t="n">
        <v>0</v>
      </c>
    </row>
    <row r="4503" ht="15" customHeight="1" s="104">
      <c r="H4503" s="198" t="n">
        <v>0</v>
      </c>
    </row>
    <row r="4504" ht="15" customHeight="1" s="104">
      <c r="H4504" s="198" t="n">
        <v>0</v>
      </c>
    </row>
    <row r="4505" ht="15" customHeight="1" s="104">
      <c r="H4505" s="198" t="n">
        <v>0</v>
      </c>
    </row>
    <row r="4506" ht="15" customHeight="1" s="104">
      <c r="H4506" s="198" t="n">
        <v>0</v>
      </c>
    </row>
    <row r="4507" ht="15" customHeight="1" s="104">
      <c r="H4507" s="198" t="n">
        <v>0</v>
      </c>
    </row>
    <row r="4508" ht="15" customHeight="1" s="104">
      <c r="H4508" s="198" t="n">
        <v>0</v>
      </c>
    </row>
    <row r="4509" ht="15" customHeight="1" s="104">
      <c r="H4509" s="198" t="n">
        <v>0</v>
      </c>
    </row>
    <row r="4510" ht="15" customHeight="1" s="104">
      <c r="H4510" s="198" t="n">
        <v>0</v>
      </c>
    </row>
    <row r="4511" ht="15" customHeight="1" s="104">
      <c r="H4511" s="198" t="n">
        <v>0</v>
      </c>
    </row>
    <row r="4512" ht="15" customHeight="1" s="104">
      <c r="H4512" s="198" t="n">
        <v>0</v>
      </c>
    </row>
    <row r="4513" ht="15" customHeight="1" s="104">
      <c r="H4513" s="198" t="n">
        <v>0</v>
      </c>
    </row>
    <row r="4514" ht="15" customHeight="1" s="104">
      <c r="H4514" s="198" t="n">
        <v>0</v>
      </c>
    </row>
    <row r="4515" ht="15" customHeight="1" s="104">
      <c r="H4515" s="198" t="n">
        <v>0</v>
      </c>
    </row>
    <row r="4516" ht="15" customHeight="1" s="104">
      <c r="H4516" s="198" t="n">
        <v>0</v>
      </c>
    </row>
    <row r="4517" ht="15" customHeight="1" s="104">
      <c r="H4517" s="198" t="n">
        <v>0</v>
      </c>
    </row>
    <row r="4518" ht="15" customHeight="1" s="104">
      <c r="H4518" s="198" t="n">
        <v>0</v>
      </c>
    </row>
    <row r="4519" ht="15" customHeight="1" s="104">
      <c r="H4519" s="198" t="n">
        <v>0</v>
      </c>
    </row>
    <row r="4520" ht="15" customHeight="1" s="104">
      <c r="H4520" s="198" t="n">
        <v>0</v>
      </c>
    </row>
    <row r="4521" ht="15" customHeight="1" s="104">
      <c r="H4521" s="198" t="n">
        <v>0</v>
      </c>
    </row>
    <row r="4522" ht="15" customHeight="1" s="104">
      <c r="H4522" s="198" t="n">
        <v>0</v>
      </c>
    </row>
    <row r="4523" ht="15" customHeight="1" s="104">
      <c r="H4523" s="198" t="n">
        <v>0</v>
      </c>
    </row>
    <row r="4524" ht="15" customHeight="1" s="104">
      <c r="H4524" s="198" t="n">
        <v>0</v>
      </c>
    </row>
    <row r="4525" ht="15" customHeight="1" s="104">
      <c r="H4525" s="198" t="n">
        <v>0</v>
      </c>
    </row>
    <row r="4526" ht="15" customHeight="1" s="104">
      <c r="H4526" s="198" t="n">
        <v>0</v>
      </c>
    </row>
    <row r="4527" ht="15" customHeight="1" s="104">
      <c r="H4527" s="198" t="n">
        <v>0</v>
      </c>
    </row>
    <row r="4528" ht="15" customHeight="1" s="104">
      <c r="H4528" s="198" t="n">
        <v>0</v>
      </c>
    </row>
    <row r="4529" ht="15" customHeight="1" s="104">
      <c r="H4529" s="198" t="n">
        <v>0</v>
      </c>
    </row>
    <row r="4530" ht="15" customHeight="1" s="104">
      <c r="H4530" s="198" t="n">
        <v>0</v>
      </c>
    </row>
    <row r="4531" ht="15" customHeight="1" s="104">
      <c r="H4531" s="198" t="n">
        <v>0</v>
      </c>
    </row>
    <row r="4532" ht="15" customHeight="1" s="104">
      <c r="H4532" s="198" t="n">
        <v>0</v>
      </c>
    </row>
    <row r="4533" ht="15" customHeight="1" s="104">
      <c r="H4533" s="198" t="n">
        <v>0</v>
      </c>
    </row>
    <row r="4534" ht="15" customHeight="1" s="104">
      <c r="H4534" s="198" t="n">
        <v>0</v>
      </c>
    </row>
    <row r="4535" ht="15" customHeight="1" s="104">
      <c r="H4535" s="198" t="n">
        <v>0</v>
      </c>
    </row>
    <row r="4536" ht="15" customHeight="1" s="104">
      <c r="H4536" s="198" t="n">
        <v>0</v>
      </c>
    </row>
    <row r="4537" ht="15" customHeight="1" s="104">
      <c r="H4537" s="198" t="n">
        <v>0</v>
      </c>
    </row>
    <row r="4538" ht="15" customHeight="1" s="104">
      <c r="H4538" s="198" t="n">
        <v>0</v>
      </c>
    </row>
    <row r="4539" ht="15" customHeight="1" s="104">
      <c r="H4539" s="198" t="n">
        <v>0</v>
      </c>
    </row>
    <row r="4540" ht="15" customHeight="1" s="104">
      <c r="H4540" s="198" t="n">
        <v>0</v>
      </c>
    </row>
    <row r="4541" ht="15" customHeight="1" s="104">
      <c r="H4541" s="198" t="n">
        <v>0</v>
      </c>
    </row>
    <row r="4542" ht="15" customHeight="1" s="104">
      <c r="H4542" s="198" t="n">
        <v>0</v>
      </c>
    </row>
    <row r="4543" ht="15" customHeight="1" s="104">
      <c r="H4543" s="198" t="n">
        <v>0</v>
      </c>
    </row>
    <row r="4544" ht="15" customHeight="1" s="104">
      <c r="H4544" s="198" t="n">
        <v>0</v>
      </c>
    </row>
    <row r="4545" ht="15" customHeight="1" s="104">
      <c r="H4545" s="198" t="n">
        <v>0</v>
      </c>
    </row>
    <row r="4546" ht="15" customHeight="1" s="104">
      <c r="H4546" s="198" t="n">
        <v>0</v>
      </c>
    </row>
    <row r="4547" ht="15" customHeight="1" s="104">
      <c r="H4547" s="198" t="n">
        <v>0</v>
      </c>
    </row>
    <row r="4548" ht="15" customHeight="1" s="104">
      <c r="H4548" s="198" t="n">
        <v>0</v>
      </c>
    </row>
    <row r="4549" ht="15" customHeight="1" s="104">
      <c r="H4549" s="198" t="n">
        <v>0</v>
      </c>
    </row>
    <row r="4550" ht="15" customHeight="1" s="104">
      <c r="H4550" s="198" t="n">
        <v>0</v>
      </c>
    </row>
    <row r="4551" ht="15" customHeight="1" s="104">
      <c r="H4551" s="198" t="n">
        <v>0</v>
      </c>
    </row>
    <row r="4552" ht="15" customHeight="1" s="104">
      <c r="H4552" s="198" t="n">
        <v>0</v>
      </c>
    </row>
    <row r="4553" ht="15" customHeight="1" s="104">
      <c r="H4553" s="198" t="n">
        <v>0</v>
      </c>
    </row>
    <row r="4554" ht="15" customHeight="1" s="104">
      <c r="H4554" s="198" t="n">
        <v>0</v>
      </c>
    </row>
    <row r="4555" ht="15" customHeight="1" s="104">
      <c r="H4555" s="198" t="n">
        <v>0</v>
      </c>
    </row>
    <row r="4556" ht="15" customHeight="1" s="104">
      <c r="H4556" s="198" t="n">
        <v>0</v>
      </c>
    </row>
    <row r="4557" ht="15" customHeight="1" s="104">
      <c r="H4557" s="198" t="n">
        <v>0</v>
      </c>
    </row>
    <row r="4558" ht="15" customHeight="1" s="104">
      <c r="H4558" s="198" t="n">
        <v>0</v>
      </c>
    </row>
    <row r="4559" ht="15" customHeight="1" s="104">
      <c r="H4559" s="198" t="n">
        <v>0</v>
      </c>
    </row>
    <row r="4560" ht="15" customHeight="1" s="104">
      <c r="H4560" s="198" t="n">
        <v>0</v>
      </c>
    </row>
    <row r="4561" ht="15" customHeight="1" s="104">
      <c r="H4561" s="198" t="n">
        <v>0</v>
      </c>
    </row>
    <row r="4562" ht="15" customHeight="1" s="104">
      <c r="H4562" s="198" t="n">
        <v>0</v>
      </c>
    </row>
    <row r="4563" ht="15" customHeight="1" s="104">
      <c r="H4563" s="198" t="n">
        <v>0</v>
      </c>
    </row>
    <row r="4564" ht="15" customHeight="1" s="104">
      <c r="H4564" s="198" t="n">
        <v>0</v>
      </c>
    </row>
    <row r="4565" ht="15" customHeight="1" s="104">
      <c r="H4565" s="198" t="n">
        <v>0</v>
      </c>
    </row>
    <row r="4566" ht="15" customHeight="1" s="104">
      <c r="H4566" s="198" t="n">
        <v>0</v>
      </c>
    </row>
    <row r="4567" ht="15" customHeight="1" s="104">
      <c r="H4567" s="198" t="n">
        <v>0</v>
      </c>
    </row>
    <row r="4568" ht="15" customHeight="1" s="104">
      <c r="H4568" s="198" t="n">
        <v>0</v>
      </c>
    </row>
    <row r="4569" ht="15" customHeight="1" s="104">
      <c r="H4569" s="198" t="n">
        <v>0</v>
      </c>
    </row>
    <row r="4570" ht="15" customHeight="1" s="104">
      <c r="H4570" s="198" t="n">
        <v>0</v>
      </c>
    </row>
    <row r="4571" ht="15" customHeight="1" s="104">
      <c r="H4571" s="198" t="n">
        <v>0</v>
      </c>
    </row>
    <row r="4572" ht="15" customHeight="1" s="104">
      <c r="H4572" s="198" t="n">
        <v>0</v>
      </c>
    </row>
    <row r="4573" ht="15" customHeight="1" s="104">
      <c r="H4573" s="198" t="n">
        <v>0</v>
      </c>
    </row>
    <row r="4574" ht="15" customHeight="1" s="104">
      <c r="H4574" s="198" t="n">
        <v>0</v>
      </c>
    </row>
    <row r="4575" ht="15" customHeight="1" s="104">
      <c r="H4575" s="198" t="n">
        <v>0</v>
      </c>
    </row>
    <row r="4576" ht="15" customHeight="1" s="104">
      <c r="H4576" s="198" t="n">
        <v>0</v>
      </c>
    </row>
    <row r="4577" ht="15" customHeight="1" s="104">
      <c r="H4577" s="198" t="n">
        <v>0</v>
      </c>
    </row>
    <row r="4578" ht="15" customHeight="1" s="104">
      <c r="H4578" s="198" t="n">
        <v>0</v>
      </c>
    </row>
    <row r="4579" ht="15" customHeight="1" s="104">
      <c r="H4579" s="198" t="n">
        <v>0</v>
      </c>
    </row>
    <row r="4580" ht="15" customHeight="1" s="104">
      <c r="H4580" s="198" t="n">
        <v>0</v>
      </c>
    </row>
    <row r="4581" ht="15" customHeight="1" s="104">
      <c r="H4581" s="198" t="n">
        <v>0</v>
      </c>
    </row>
    <row r="4582" ht="15" customHeight="1" s="104">
      <c r="H4582" s="198" t="n">
        <v>0</v>
      </c>
    </row>
    <row r="4583" ht="15" customHeight="1" s="104">
      <c r="H4583" s="198" t="n">
        <v>0</v>
      </c>
    </row>
    <row r="4584" ht="15" customHeight="1" s="104">
      <c r="H4584" s="198" t="n">
        <v>0</v>
      </c>
    </row>
    <row r="4585" ht="15" customHeight="1" s="104">
      <c r="H4585" s="198" t="n">
        <v>0</v>
      </c>
    </row>
    <row r="4586" ht="15" customHeight="1" s="104">
      <c r="H4586" s="198" t="n">
        <v>0</v>
      </c>
    </row>
    <row r="4587" ht="15" customHeight="1" s="104">
      <c r="H4587" s="198" t="n">
        <v>0</v>
      </c>
    </row>
    <row r="4588" ht="15" customHeight="1" s="104">
      <c r="H4588" s="198" t="n">
        <v>0</v>
      </c>
    </row>
    <row r="4589" ht="15" customHeight="1" s="104">
      <c r="H4589" s="198" t="n">
        <v>0</v>
      </c>
    </row>
    <row r="4590" ht="15" customHeight="1" s="104">
      <c r="H4590" s="198" t="n">
        <v>0</v>
      </c>
    </row>
    <row r="4591" ht="15" customHeight="1" s="104">
      <c r="H4591" s="198" t="n">
        <v>0</v>
      </c>
    </row>
    <row r="4592" ht="15" customHeight="1" s="104">
      <c r="H4592" s="198" t="n">
        <v>0</v>
      </c>
    </row>
    <row r="4593" ht="15" customHeight="1" s="104">
      <c r="H4593" s="198" t="n">
        <v>0</v>
      </c>
    </row>
    <row r="4594" ht="15" customHeight="1" s="104">
      <c r="H4594" s="198" t="n">
        <v>0</v>
      </c>
    </row>
    <row r="4595" ht="15" customHeight="1" s="104">
      <c r="H4595" s="198" t="n">
        <v>0</v>
      </c>
    </row>
    <row r="4596" ht="15" customHeight="1" s="104">
      <c r="H4596" s="198" t="n">
        <v>0</v>
      </c>
    </row>
    <row r="4597" ht="15" customHeight="1" s="104">
      <c r="H4597" s="198" t="n">
        <v>0</v>
      </c>
    </row>
    <row r="4598" ht="15" customHeight="1" s="104">
      <c r="H4598" s="198" t="n">
        <v>0</v>
      </c>
    </row>
    <row r="4599" ht="15" customHeight="1" s="104">
      <c r="H4599" s="198" t="n">
        <v>0</v>
      </c>
    </row>
    <row r="4600" ht="15" customHeight="1" s="104">
      <c r="H4600" s="198" t="n">
        <v>0</v>
      </c>
    </row>
    <row r="4601" ht="15" customHeight="1" s="104">
      <c r="H4601" s="198" t="n">
        <v>0</v>
      </c>
    </row>
    <row r="4602" ht="15" customHeight="1" s="104">
      <c r="H4602" s="198" t="n">
        <v>0</v>
      </c>
    </row>
    <row r="4603" ht="15" customHeight="1" s="104">
      <c r="H4603" s="198" t="n">
        <v>0</v>
      </c>
    </row>
    <row r="4604" ht="15" customHeight="1" s="104">
      <c r="H4604" s="198" t="n">
        <v>0</v>
      </c>
    </row>
    <row r="4605" ht="15" customHeight="1" s="104">
      <c r="H4605" s="198" t="n">
        <v>0</v>
      </c>
    </row>
    <row r="4606" ht="15" customHeight="1" s="104">
      <c r="H4606" s="198" t="n">
        <v>0</v>
      </c>
    </row>
    <row r="4607" ht="15" customHeight="1" s="104">
      <c r="H4607" s="198" t="n">
        <v>0</v>
      </c>
    </row>
    <row r="4608" ht="15" customHeight="1" s="104">
      <c r="H4608" s="198" t="n">
        <v>0</v>
      </c>
    </row>
    <row r="4609" ht="15" customHeight="1" s="104">
      <c r="H4609" s="198" t="n">
        <v>0</v>
      </c>
    </row>
    <row r="4610" ht="15" customHeight="1" s="104">
      <c r="H4610" s="198" t="n">
        <v>0</v>
      </c>
    </row>
    <row r="4611" ht="15" customHeight="1" s="104">
      <c r="H4611" s="198" t="n">
        <v>0</v>
      </c>
    </row>
    <row r="4612" ht="15" customHeight="1" s="104">
      <c r="H4612" s="198" t="n">
        <v>0</v>
      </c>
    </row>
    <row r="4613" ht="15" customHeight="1" s="104">
      <c r="H4613" s="198" t="n">
        <v>0</v>
      </c>
    </row>
    <row r="4614" ht="15" customHeight="1" s="104">
      <c r="H4614" s="198" t="n">
        <v>0</v>
      </c>
    </row>
    <row r="4615" ht="15" customHeight="1" s="104">
      <c r="H4615" s="198" t="n">
        <v>0</v>
      </c>
    </row>
    <row r="4616" ht="15" customHeight="1" s="104">
      <c r="H4616" s="198" t="n">
        <v>0</v>
      </c>
    </row>
    <row r="4617" ht="15" customHeight="1" s="104">
      <c r="H4617" s="198" t="n">
        <v>0</v>
      </c>
    </row>
    <row r="4618" ht="15" customHeight="1" s="104">
      <c r="H4618" s="198" t="n">
        <v>0</v>
      </c>
    </row>
    <row r="4619" ht="15" customHeight="1" s="104">
      <c r="H4619" s="198" t="n">
        <v>0</v>
      </c>
    </row>
    <row r="4620" ht="15" customHeight="1" s="104">
      <c r="H4620" s="198" t="n">
        <v>0</v>
      </c>
    </row>
    <row r="4621" ht="15" customHeight="1" s="104">
      <c r="H4621" s="198" t="n">
        <v>0</v>
      </c>
    </row>
    <row r="4622" ht="15" customHeight="1" s="104">
      <c r="H4622" s="198" t="n">
        <v>0</v>
      </c>
    </row>
    <row r="4623" ht="15" customHeight="1" s="104">
      <c r="H4623" s="198" t="n">
        <v>0</v>
      </c>
    </row>
    <row r="4624" ht="15" customHeight="1" s="104">
      <c r="H4624" s="198" t="n">
        <v>0</v>
      </c>
    </row>
    <row r="4625" ht="15" customHeight="1" s="104">
      <c r="H4625" s="198" t="n">
        <v>0</v>
      </c>
    </row>
    <row r="4626" ht="15" customHeight="1" s="104">
      <c r="H4626" s="198" t="n">
        <v>0</v>
      </c>
    </row>
    <row r="4627" ht="15" customHeight="1" s="104">
      <c r="H4627" s="198" t="n">
        <v>0</v>
      </c>
    </row>
    <row r="4628" ht="15" customHeight="1" s="104">
      <c r="H4628" s="198" t="n">
        <v>0</v>
      </c>
    </row>
    <row r="4629" ht="15" customHeight="1" s="104">
      <c r="H4629" s="198" t="n">
        <v>0</v>
      </c>
    </row>
    <row r="4630" ht="15" customHeight="1" s="104">
      <c r="H4630" s="198" t="n">
        <v>0</v>
      </c>
    </row>
    <row r="4631" ht="15" customHeight="1" s="104">
      <c r="H4631" s="198" t="n">
        <v>0</v>
      </c>
    </row>
    <row r="4632" ht="15" customHeight="1" s="104">
      <c r="H4632" s="198" t="n">
        <v>0</v>
      </c>
    </row>
    <row r="4633" ht="15" customHeight="1" s="104">
      <c r="H4633" s="198" t="n">
        <v>0</v>
      </c>
    </row>
    <row r="4634" ht="15" customHeight="1" s="104">
      <c r="H4634" s="198" t="n">
        <v>0</v>
      </c>
    </row>
    <row r="4635" ht="15" customHeight="1" s="104">
      <c r="H4635" s="198" t="n">
        <v>0</v>
      </c>
    </row>
    <row r="4636" ht="15" customHeight="1" s="104">
      <c r="H4636" s="198" t="n">
        <v>0</v>
      </c>
    </row>
    <row r="4637" ht="15" customHeight="1" s="104">
      <c r="H4637" s="198" t="n">
        <v>0</v>
      </c>
    </row>
    <row r="4638" ht="15" customHeight="1" s="104">
      <c r="H4638" s="198" t="n">
        <v>0</v>
      </c>
    </row>
    <row r="4639" ht="15" customHeight="1" s="104">
      <c r="H4639" s="198" t="n">
        <v>0</v>
      </c>
    </row>
    <row r="4640" ht="15" customHeight="1" s="104">
      <c r="H4640" s="198" t="n">
        <v>0</v>
      </c>
    </row>
    <row r="4641" ht="15" customHeight="1" s="104">
      <c r="H4641" s="198" t="n">
        <v>0</v>
      </c>
    </row>
    <row r="4642" ht="15" customHeight="1" s="104">
      <c r="H4642" s="198" t="n">
        <v>0</v>
      </c>
    </row>
    <row r="4643" ht="15" customHeight="1" s="104">
      <c r="H4643" s="198" t="n">
        <v>0</v>
      </c>
    </row>
    <row r="4644" ht="15" customHeight="1" s="104">
      <c r="H4644" s="198" t="n">
        <v>0</v>
      </c>
    </row>
    <row r="4645" ht="15" customHeight="1" s="104">
      <c r="H4645" s="198" t="n">
        <v>0</v>
      </c>
    </row>
    <row r="4646" ht="15" customHeight="1" s="104">
      <c r="H4646" s="198" t="n">
        <v>0</v>
      </c>
    </row>
    <row r="4647" ht="15" customHeight="1" s="104">
      <c r="H4647" s="198" t="n">
        <v>0</v>
      </c>
    </row>
    <row r="4648" ht="15" customHeight="1" s="104">
      <c r="H4648" s="198" t="n">
        <v>0</v>
      </c>
    </row>
    <row r="4649" ht="15" customHeight="1" s="104">
      <c r="H4649" s="198" t="n">
        <v>0</v>
      </c>
    </row>
    <row r="4650" ht="15" customHeight="1" s="104">
      <c r="H4650" s="198" t="n">
        <v>0</v>
      </c>
    </row>
    <row r="4651" ht="15" customHeight="1" s="104">
      <c r="H4651" s="198" t="n">
        <v>0</v>
      </c>
    </row>
    <row r="4652" ht="15" customHeight="1" s="104">
      <c r="H4652" s="198" t="n">
        <v>0</v>
      </c>
    </row>
    <row r="4653" ht="15" customHeight="1" s="104">
      <c r="H4653" s="198" t="n">
        <v>0</v>
      </c>
    </row>
    <row r="4654" ht="15" customHeight="1" s="104">
      <c r="H4654" s="198" t="n">
        <v>0</v>
      </c>
    </row>
    <row r="4655" ht="15" customHeight="1" s="104">
      <c r="H4655" s="198" t="n">
        <v>0</v>
      </c>
    </row>
    <row r="4656" ht="15" customHeight="1" s="104">
      <c r="H4656" s="198" t="n">
        <v>0</v>
      </c>
    </row>
    <row r="4657" ht="15" customHeight="1" s="104">
      <c r="H4657" s="198" t="n">
        <v>0</v>
      </c>
    </row>
    <row r="4658" ht="15" customHeight="1" s="104">
      <c r="H4658" s="198" t="n">
        <v>0</v>
      </c>
    </row>
    <row r="4659" ht="15" customHeight="1" s="104">
      <c r="H4659" s="198" t="n">
        <v>0</v>
      </c>
    </row>
    <row r="4660" ht="15" customHeight="1" s="104">
      <c r="H4660" s="198" t="n">
        <v>0</v>
      </c>
    </row>
    <row r="4661" ht="15" customHeight="1" s="104">
      <c r="H4661" s="198" t="n">
        <v>0</v>
      </c>
    </row>
    <row r="4662" ht="15" customHeight="1" s="104">
      <c r="H4662" s="198" t="n">
        <v>0</v>
      </c>
    </row>
    <row r="4663" ht="15" customHeight="1" s="104">
      <c r="H4663" s="198" t="n">
        <v>0</v>
      </c>
    </row>
    <row r="4664" ht="15" customHeight="1" s="104">
      <c r="H4664" s="198" t="n">
        <v>0</v>
      </c>
    </row>
    <row r="4665" ht="15" customHeight="1" s="104">
      <c r="H4665" s="198" t="n">
        <v>0</v>
      </c>
    </row>
    <row r="4666" ht="15" customHeight="1" s="104">
      <c r="H4666" s="198" t="n">
        <v>0</v>
      </c>
    </row>
    <row r="4667" ht="15" customHeight="1" s="104">
      <c r="H4667" s="198" t="n">
        <v>0</v>
      </c>
    </row>
    <row r="4668" ht="15" customHeight="1" s="104">
      <c r="H4668" s="198" t="n">
        <v>0</v>
      </c>
    </row>
    <row r="4669" ht="15" customHeight="1" s="104">
      <c r="H4669" s="198" t="n">
        <v>0</v>
      </c>
    </row>
    <row r="4670" ht="15" customHeight="1" s="104">
      <c r="H4670" s="198" t="n">
        <v>0</v>
      </c>
    </row>
    <row r="4671" ht="15" customHeight="1" s="104">
      <c r="H4671" s="198" t="n">
        <v>0</v>
      </c>
    </row>
    <row r="4672" ht="15" customHeight="1" s="104">
      <c r="H4672" s="198" t="n">
        <v>0</v>
      </c>
    </row>
    <row r="4673" ht="15" customHeight="1" s="104">
      <c r="H4673" s="198" t="n">
        <v>0</v>
      </c>
    </row>
    <row r="4674" ht="15" customHeight="1" s="104">
      <c r="H4674" s="198" t="n">
        <v>0</v>
      </c>
    </row>
    <row r="4675" ht="15" customHeight="1" s="104">
      <c r="H4675" s="198" t="n">
        <v>0</v>
      </c>
    </row>
    <row r="4676" ht="15" customHeight="1" s="104">
      <c r="H4676" s="198" t="n">
        <v>0</v>
      </c>
    </row>
    <row r="4677" ht="15" customHeight="1" s="104">
      <c r="H4677" s="198" t="n">
        <v>0</v>
      </c>
    </row>
    <row r="4678" ht="15" customHeight="1" s="104">
      <c r="H4678" s="198" t="n">
        <v>0</v>
      </c>
    </row>
    <row r="4679" ht="15" customHeight="1" s="104">
      <c r="H4679" s="198" t="n">
        <v>0</v>
      </c>
    </row>
    <row r="4680" ht="15" customHeight="1" s="104">
      <c r="H4680" s="198" t="n">
        <v>0</v>
      </c>
    </row>
    <row r="4681" ht="15" customHeight="1" s="104">
      <c r="H4681" s="198" t="n">
        <v>0</v>
      </c>
    </row>
    <row r="4682" ht="15" customHeight="1" s="104">
      <c r="H4682" s="198" t="n">
        <v>0</v>
      </c>
    </row>
    <row r="4683" ht="15" customHeight="1" s="104">
      <c r="H4683" s="198" t="n">
        <v>0</v>
      </c>
    </row>
    <row r="4684" ht="15" customHeight="1" s="104">
      <c r="H4684" s="198" t="n">
        <v>0</v>
      </c>
    </row>
    <row r="4685" ht="15" customHeight="1" s="104">
      <c r="H4685" s="198" t="n">
        <v>0</v>
      </c>
    </row>
    <row r="4686" ht="15" customHeight="1" s="104">
      <c r="H4686" s="198" t="n">
        <v>0</v>
      </c>
    </row>
    <row r="4687" ht="15" customHeight="1" s="104">
      <c r="H4687" s="198" t="n">
        <v>0</v>
      </c>
    </row>
    <row r="4688" ht="15" customHeight="1" s="104">
      <c r="H4688" s="198" t="n">
        <v>0</v>
      </c>
    </row>
    <row r="4689" ht="15" customHeight="1" s="104">
      <c r="H4689" s="198" t="n">
        <v>0</v>
      </c>
    </row>
    <row r="4690" ht="15" customHeight="1" s="104">
      <c r="H4690" s="198" t="n">
        <v>0</v>
      </c>
    </row>
    <row r="4691" ht="15" customHeight="1" s="104">
      <c r="H4691" s="198" t="n">
        <v>0</v>
      </c>
    </row>
    <row r="4692" ht="15" customHeight="1" s="104">
      <c r="H4692" s="198" t="n">
        <v>0</v>
      </c>
    </row>
    <row r="4693" ht="15" customHeight="1" s="104">
      <c r="H4693" s="198" t="n">
        <v>0</v>
      </c>
    </row>
    <row r="4694" ht="15" customHeight="1" s="104">
      <c r="H4694" s="198" t="n">
        <v>0</v>
      </c>
    </row>
    <row r="4695" ht="15" customHeight="1" s="104">
      <c r="H4695" s="198" t="n">
        <v>0</v>
      </c>
    </row>
    <row r="4696" ht="15" customHeight="1" s="104">
      <c r="H4696" s="198" t="n">
        <v>0</v>
      </c>
    </row>
    <row r="4697" ht="15" customHeight="1" s="104">
      <c r="H4697" s="198" t="n">
        <v>0</v>
      </c>
    </row>
    <row r="4698" ht="15" customHeight="1" s="104">
      <c r="H4698" s="198" t="n">
        <v>0</v>
      </c>
    </row>
    <row r="4699" ht="15" customHeight="1" s="104">
      <c r="H4699" s="198" t="n">
        <v>0</v>
      </c>
    </row>
    <row r="4700" ht="15" customHeight="1" s="104">
      <c r="H4700" s="198" t="n">
        <v>0</v>
      </c>
    </row>
    <row r="4701" ht="15" customHeight="1" s="104">
      <c r="H4701" s="198" t="n">
        <v>0</v>
      </c>
    </row>
    <row r="4702" ht="15" customHeight="1" s="104">
      <c r="H4702" s="198" t="n">
        <v>0</v>
      </c>
    </row>
    <row r="4703" ht="15" customHeight="1" s="104">
      <c r="H4703" s="198" t="n">
        <v>0</v>
      </c>
    </row>
    <row r="4704" ht="15" customHeight="1" s="104">
      <c r="H4704" s="198" t="n">
        <v>0</v>
      </c>
    </row>
    <row r="4705" ht="15" customHeight="1" s="104">
      <c r="H4705" s="198" t="n">
        <v>0</v>
      </c>
    </row>
    <row r="4706" ht="15" customHeight="1" s="104">
      <c r="H4706" s="198" t="n">
        <v>0</v>
      </c>
    </row>
    <row r="4707" ht="15" customHeight="1" s="104">
      <c r="H4707" s="198" t="n">
        <v>0</v>
      </c>
    </row>
    <row r="4708" ht="15" customHeight="1" s="104">
      <c r="H4708" s="198" t="n">
        <v>0</v>
      </c>
    </row>
    <row r="4709" ht="15" customHeight="1" s="104">
      <c r="H4709" s="198" t="n">
        <v>0</v>
      </c>
    </row>
    <row r="4710" ht="15" customHeight="1" s="104">
      <c r="H4710" s="198" t="n">
        <v>0</v>
      </c>
    </row>
    <row r="4711" ht="15" customHeight="1" s="104">
      <c r="H4711" s="198" t="n">
        <v>0</v>
      </c>
    </row>
    <row r="4712" ht="15" customHeight="1" s="104">
      <c r="H4712" s="198" t="n">
        <v>0</v>
      </c>
    </row>
    <row r="4713" ht="15" customHeight="1" s="104">
      <c r="H4713" s="198" t="n">
        <v>0</v>
      </c>
    </row>
    <row r="4714" ht="15" customHeight="1" s="104">
      <c r="H4714" s="198" t="n">
        <v>0</v>
      </c>
    </row>
    <row r="4715" ht="15" customHeight="1" s="104">
      <c r="H4715" s="198" t="n">
        <v>0</v>
      </c>
    </row>
    <row r="4716" ht="15" customHeight="1" s="104">
      <c r="H4716" s="198" t="n">
        <v>0</v>
      </c>
    </row>
    <row r="4717" ht="15" customHeight="1" s="104">
      <c r="H4717" s="198" t="n">
        <v>0</v>
      </c>
    </row>
    <row r="4718" ht="15" customHeight="1" s="104">
      <c r="H4718" s="198" t="n">
        <v>0</v>
      </c>
    </row>
    <row r="4719" ht="15" customHeight="1" s="104">
      <c r="H4719" s="198" t="n">
        <v>0</v>
      </c>
    </row>
    <row r="4720" ht="15" customHeight="1" s="104">
      <c r="H4720" s="198" t="n">
        <v>0</v>
      </c>
    </row>
    <row r="4721" ht="15" customHeight="1" s="104">
      <c r="H4721" s="198" t="n">
        <v>0</v>
      </c>
    </row>
    <row r="4722" ht="15" customHeight="1" s="104">
      <c r="H4722" s="198" t="n">
        <v>0</v>
      </c>
    </row>
    <row r="4723" ht="15" customHeight="1" s="104">
      <c r="H4723" s="198" t="n">
        <v>0</v>
      </c>
    </row>
    <row r="4724" ht="15" customHeight="1" s="104">
      <c r="H4724" s="198" t="n">
        <v>0</v>
      </c>
    </row>
    <row r="4725" ht="15" customHeight="1" s="104">
      <c r="H4725" s="198" t="n">
        <v>0</v>
      </c>
    </row>
    <row r="4726" ht="15" customHeight="1" s="104">
      <c r="H4726" s="198" t="n">
        <v>0</v>
      </c>
    </row>
    <row r="4727" ht="15" customHeight="1" s="104">
      <c r="H4727" s="198" t="n">
        <v>0</v>
      </c>
    </row>
    <row r="4728" ht="15" customHeight="1" s="104">
      <c r="H4728" s="198" t="n">
        <v>0</v>
      </c>
    </row>
    <row r="4729" ht="15" customHeight="1" s="104">
      <c r="H4729" s="198" t="n">
        <v>0</v>
      </c>
    </row>
    <row r="4730" ht="15" customHeight="1" s="104">
      <c r="H4730" s="198" t="n">
        <v>0</v>
      </c>
    </row>
    <row r="4731" ht="15" customHeight="1" s="104">
      <c r="H4731" s="198" t="n">
        <v>0</v>
      </c>
    </row>
    <row r="4732" ht="15" customHeight="1" s="104">
      <c r="H4732" s="198" t="n">
        <v>0</v>
      </c>
    </row>
    <row r="4733" ht="15" customHeight="1" s="104">
      <c r="H4733" s="198" t="n">
        <v>0</v>
      </c>
    </row>
    <row r="4734" ht="15" customHeight="1" s="104">
      <c r="H4734" s="198" t="n">
        <v>0</v>
      </c>
    </row>
    <row r="4735" ht="15" customHeight="1" s="104">
      <c r="H4735" s="198" t="n">
        <v>0</v>
      </c>
    </row>
    <row r="4736" ht="15" customHeight="1" s="104">
      <c r="H4736" s="198" t="n">
        <v>0</v>
      </c>
    </row>
    <row r="4737" ht="15" customHeight="1" s="104">
      <c r="H4737" s="198" t="n">
        <v>0</v>
      </c>
    </row>
    <row r="4738" ht="15" customHeight="1" s="104">
      <c r="H4738" s="198" t="n">
        <v>0</v>
      </c>
    </row>
    <row r="4739" ht="15" customHeight="1" s="104">
      <c r="H4739" s="198" t="n">
        <v>0</v>
      </c>
    </row>
    <row r="4740" ht="15" customHeight="1" s="104">
      <c r="H4740" s="198" t="n">
        <v>0</v>
      </c>
    </row>
    <row r="4741" ht="15" customHeight="1" s="104">
      <c r="H4741" s="198" t="n">
        <v>0</v>
      </c>
    </row>
    <row r="4742" ht="15" customHeight="1" s="104">
      <c r="H4742" s="198" t="n">
        <v>0</v>
      </c>
    </row>
    <row r="4743" ht="15" customHeight="1" s="104">
      <c r="H4743" s="198" t="n">
        <v>0</v>
      </c>
    </row>
    <row r="4744" ht="15" customHeight="1" s="104">
      <c r="H4744" s="198" t="n">
        <v>0</v>
      </c>
    </row>
    <row r="4745" ht="15" customHeight="1" s="104">
      <c r="H4745" s="198" t="n">
        <v>0</v>
      </c>
    </row>
    <row r="4746" ht="15" customHeight="1" s="104">
      <c r="H4746" s="198" t="n">
        <v>0</v>
      </c>
    </row>
    <row r="4747" ht="15" customHeight="1" s="104">
      <c r="H4747" s="198" t="n">
        <v>0</v>
      </c>
    </row>
    <row r="4748" ht="15" customHeight="1" s="104">
      <c r="H4748" s="198" t="n">
        <v>0</v>
      </c>
    </row>
    <row r="4749" ht="15" customHeight="1" s="104">
      <c r="H4749" s="198" t="n">
        <v>0</v>
      </c>
    </row>
    <row r="4750" ht="15" customHeight="1" s="104">
      <c r="H4750" s="198" t="n">
        <v>0</v>
      </c>
    </row>
    <row r="4751" ht="15" customHeight="1" s="104">
      <c r="H4751" s="198" t="n">
        <v>0</v>
      </c>
    </row>
    <row r="4752" ht="15" customHeight="1" s="104">
      <c r="H4752" s="198" t="n">
        <v>0</v>
      </c>
    </row>
    <row r="4753" ht="15" customHeight="1" s="104">
      <c r="H4753" s="198" t="n">
        <v>0</v>
      </c>
    </row>
    <row r="4754" ht="15" customHeight="1" s="104">
      <c r="H4754" s="198" t="n">
        <v>0</v>
      </c>
    </row>
    <row r="4755" ht="15" customHeight="1" s="104">
      <c r="H4755" s="198" t="n">
        <v>0</v>
      </c>
    </row>
    <row r="4756" ht="15" customHeight="1" s="104">
      <c r="H4756" s="198" t="n">
        <v>0</v>
      </c>
    </row>
    <row r="4757" ht="15" customHeight="1" s="104">
      <c r="H4757" s="198" t="n">
        <v>0</v>
      </c>
    </row>
    <row r="4758" ht="15" customHeight="1" s="104">
      <c r="H4758" s="198" t="n">
        <v>0</v>
      </c>
    </row>
    <row r="4759" ht="15" customHeight="1" s="104">
      <c r="H4759" s="198" t="n">
        <v>0</v>
      </c>
    </row>
    <row r="4760" ht="15" customHeight="1" s="104">
      <c r="H4760" s="198" t="n">
        <v>0</v>
      </c>
    </row>
    <row r="4761" ht="15" customHeight="1" s="104">
      <c r="H4761" s="198" t="n">
        <v>0</v>
      </c>
    </row>
    <row r="4762" ht="15" customHeight="1" s="104">
      <c r="H4762" s="198" t="n">
        <v>0</v>
      </c>
    </row>
    <row r="4763" ht="15" customHeight="1" s="104">
      <c r="H4763" s="198" t="n">
        <v>0</v>
      </c>
    </row>
    <row r="4764" ht="15" customHeight="1" s="104">
      <c r="H4764" s="198" t="n">
        <v>0</v>
      </c>
    </row>
    <row r="4765" ht="15" customHeight="1" s="104">
      <c r="H4765" s="198" t="n">
        <v>0</v>
      </c>
    </row>
    <row r="4766" ht="15" customHeight="1" s="104">
      <c r="H4766" s="198" t="n">
        <v>0</v>
      </c>
    </row>
    <row r="4767" ht="15" customHeight="1" s="104">
      <c r="H4767" s="198" t="n">
        <v>0</v>
      </c>
    </row>
    <row r="4768" ht="15" customHeight="1" s="104">
      <c r="H4768" s="198" t="n">
        <v>0</v>
      </c>
    </row>
    <row r="4769" ht="15" customHeight="1" s="104">
      <c r="H4769" s="198" t="n">
        <v>0</v>
      </c>
    </row>
    <row r="4770" ht="15" customHeight="1" s="104">
      <c r="H4770" s="198" t="n">
        <v>0</v>
      </c>
    </row>
    <row r="4771" ht="15" customHeight="1" s="104">
      <c r="H4771" s="198" t="n">
        <v>0</v>
      </c>
    </row>
    <row r="4772" ht="15" customHeight="1" s="104">
      <c r="H4772" s="198" t="n">
        <v>0</v>
      </c>
    </row>
    <row r="4773" ht="15" customHeight="1" s="104">
      <c r="H4773" s="198" t="n">
        <v>0</v>
      </c>
    </row>
    <row r="4774" ht="15" customHeight="1" s="104">
      <c r="H4774" s="198" t="n">
        <v>0</v>
      </c>
    </row>
    <row r="4775" ht="15" customHeight="1" s="104">
      <c r="H4775" s="198" t="n">
        <v>0</v>
      </c>
    </row>
    <row r="4776" ht="15" customHeight="1" s="104">
      <c r="H4776" s="198" t="n">
        <v>0</v>
      </c>
    </row>
    <row r="4777" ht="15" customHeight="1" s="104">
      <c r="H4777" s="198" t="n">
        <v>0</v>
      </c>
    </row>
    <row r="4778" ht="15" customHeight="1" s="104">
      <c r="H4778" s="198" t="n">
        <v>0</v>
      </c>
    </row>
    <row r="4779" ht="15" customHeight="1" s="104">
      <c r="H4779" s="198" t="n">
        <v>0</v>
      </c>
    </row>
    <row r="4780" ht="15" customHeight="1" s="104">
      <c r="H4780" s="198" t="n">
        <v>0</v>
      </c>
    </row>
    <row r="4781" ht="15" customHeight="1" s="104">
      <c r="H4781" s="198" t="n">
        <v>0</v>
      </c>
    </row>
    <row r="4782" ht="15" customHeight="1" s="104">
      <c r="H4782" s="198" t="n">
        <v>0</v>
      </c>
    </row>
    <row r="4783" ht="15" customHeight="1" s="104">
      <c r="H4783" s="198" t="n">
        <v>0</v>
      </c>
    </row>
    <row r="4784" ht="15" customHeight="1" s="104">
      <c r="H4784" s="198" t="n">
        <v>0</v>
      </c>
    </row>
    <row r="4785" ht="15" customHeight="1" s="104">
      <c r="H4785" s="198" t="n">
        <v>0</v>
      </c>
    </row>
    <row r="4786" ht="15" customHeight="1" s="104">
      <c r="H4786" s="198" t="n">
        <v>0</v>
      </c>
    </row>
    <row r="4787" ht="15" customHeight="1" s="104">
      <c r="H4787" s="198" t="n">
        <v>0</v>
      </c>
    </row>
    <row r="4788" ht="15" customHeight="1" s="104">
      <c r="H4788" s="198" t="n">
        <v>0</v>
      </c>
    </row>
    <row r="4789" ht="15" customHeight="1" s="104">
      <c r="H4789" s="198" t="n">
        <v>0</v>
      </c>
    </row>
    <row r="4790" ht="15" customHeight="1" s="104">
      <c r="H4790" s="198" t="n">
        <v>0</v>
      </c>
    </row>
    <row r="4791" ht="15" customHeight="1" s="104">
      <c r="H4791" s="198" t="n">
        <v>0</v>
      </c>
    </row>
    <row r="4792" ht="15" customHeight="1" s="104">
      <c r="H4792" s="198" t="n">
        <v>0</v>
      </c>
    </row>
    <row r="4793" ht="15" customHeight="1" s="104">
      <c r="H4793" s="198" t="n">
        <v>0</v>
      </c>
    </row>
    <row r="4794" ht="15" customHeight="1" s="104">
      <c r="H4794" s="198" t="n">
        <v>0</v>
      </c>
    </row>
    <row r="4795" ht="15" customHeight="1" s="104">
      <c r="H4795" s="198" t="n">
        <v>0</v>
      </c>
    </row>
    <row r="4796" ht="15" customHeight="1" s="104">
      <c r="H4796" s="198" t="n">
        <v>0</v>
      </c>
    </row>
    <row r="4797" ht="15" customHeight="1" s="104">
      <c r="H4797" s="198" t="n">
        <v>0</v>
      </c>
    </row>
    <row r="4798" ht="15" customHeight="1" s="104">
      <c r="H4798" s="198" t="n">
        <v>0</v>
      </c>
    </row>
    <row r="4799" ht="15" customHeight="1" s="104">
      <c r="H4799" s="198" t="n">
        <v>0</v>
      </c>
    </row>
    <row r="4800" ht="15" customHeight="1" s="104">
      <c r="H4800" s="198" t="n">
        <v>0</v>
      </c>
    </row>
    <row r="4801" ht="15" customHeight="1" s="104">
      <c r="H4801" s="198" t="n">
        <v>0</v>
      </c>
    </row>
    <row r="4802" ht="15" customHeight="1" s="104">
      <c r="H4802" s="198" t="n">
        <v>0</v>
      </c>
    </row>
    <row r="4803" ht="15" customHeight="1" s="104">
      <c r="H4803" s="198" t="n">
        <v>0</v>
      </c>
    </row>
    <row r="4804" ht="15" customHeight="1" s="104">
      <c r="H4804" s="198" t="n">
        <v>0</v>
      </c>
    </row>
    <row r="4805" ht="15" customHeight="1" s="104">
      <c r="H4805" s="198" t="n">
        <v>0</v>
      </c>
    </row>
    <row r="4806" ht="15" customHeight="1" s="104">
      <c r="H4806" s="198" t="n">
        <v>0</v>
      </c>
    </row>
    <row r="4807" ht="15" customHeight="1" s="104">
      <c r="H4807" s="198" t="n">
        <v>0</v>
      </c>
    </row>
    <row r="4808" ht="15" customHeight="1" s="104">
      <c r="H4808" s="198" t="n">
        <v>0</v>
      </c>
    </row>
    <row r="4809" ht="15" customHeight="1" s="104">
      <c r="H4809" s="198" t="n">
        <v>0</v>
      </c>
    </row>
    <row r="4810" ht="15" customHeight="1" s="104">
      <c r="H4810" s="198" t="n">
        <v>0</v>
      </c>
    </row>
    <row r="4811" ht="15" customHeight="1" s="104">
      <c r="H4811" s="198" t="n">
        <v>0</v>
      </c>
    </row>
    <row r="4812" ht="15" customHeight="1" s="104">
      <c r="H4812" s="198" t="n">
        <v>0</v>
      </c>
    </row>
    <row r="4813" ht="15" customHeight="1" s="104">
      <c r="H4813" s="198" t="n">
        <v>0</v>
      </c>
    </row>
    <row r="4814" ht="15" customHeight="1" s="104">
      <c r="H4814" s="198" t="n">
        <v>0</v>
      </c>
    </row>
    <row r="4815" ht="15" customHeight="1" s="104">
      <c r="H4815" s="198" t="n">
        <v>0</v>
      </c>
    </row>
    <row r="4816" ht="15" customHeight="1" s="104">
      <c r="H4816" s="198" t="n">
        <v>0</v>
      </c>
    </row>
    <row r="4817" ht="15" customHeight="1" s="104">
      <c r="H4817" s="198" t="n">
        <v>0</v>
      </c>
    </row>
    <row r="4818" ht="15" customHeight="1" s="104">
      <c r="H4818" s="198" t="n">
        <v>0</v>
      </c>
    </row>
    <row r="4819" ht="15" customHeight="1" s="104">
      <c r="H4819" s="198" t="n">
        <v>0</v>
      </c>
    </row>
    <row r="4820" ht="15" customHeight="1" s="104">
      <c r="H4820" s="198" t="n">
        <v>0</v>
      </c>
    </row>
    <row r="4821" ht="15" customHeight="1" s="104">
      <c r="H4821" s="198" t="n">
        <v>0</v>
      </c>
    </row>
    <row r="4822" ht="15" customHeight="1" s="104">
      <c r="H4822" s="198" t="n">
        <v>0</v>
      </c>
    </row>
    <row r="4823" ht="15" customHeight="1" s="104">
      <c r="H4823" s="198" t="n">
        <v>0</v>
      </c>
    </row>
    <row r="4824" ht="15" customHeight="1" s="104">
      <c r="H4824" s="198" t="n">
        <v>0</v>
      </c>
    </row>
    <row r="4825" ht="15" customHeight="1" s="104">
      <c r="H4825" s="198" t="n">
        <v>0</v>
      </c>
    </row>
    <row r="4826" ht="15" customHeight="1" s="104">
      <c r="H4826" s="198" t="n">
        <v>0</v>
      </c>
    </row>
    <row r="4827" ht="15" customHeight="1" s="104">
      <c r="H4827" s="198" t="n">
        <v>0</v>
      </c>
    </row>
    <row r="4828" ht="15" customHeight="1" s="104">
      <c r="H4828" s="198" t="n">
        <v>0</v>
      </c>
    </row>
    <row r="4829" ht="15" customHeight="1" s="104">
      <c r="H4829" s="198" t="n">
        <v>0</v>
      </c>
    </row>
    <row r="4830" ht="15" customHeight="1" s="104">
      <c r="H4830" s="198" t="n">
        <v>0</v>
      </c>
    </row>
    <row r="4831" ht="15" customHeight="1" s="104">
      <c r="H4831" s="198" t="n">
        <v>0</v>
      </c>
    </row>
    <row r="4832" ht="15" customHeight="1" s="104">
      <c r="H4832" s="198" t="n">
        <v>0</v>
      </c>
    </row>
    <row r="4833" ht="15" customHeight="1" s="104">
      <c r="H4833" s="198" t="n">
        <v>0</v>
      </c>
    </row>
    <row r="4834" ht="15" customHeight="1" s="104">
      <c r="H4834" s="198" t="n">
        <v>0</v>
      </c>
    </row>
    <row r="4835" ht="15" customHeight="1" s="104">
      <c r="H4835" s="198" t="n">
        <v>0</v>
      </c>
    </row>
    <row r="4836" ht="15" customHeight="1" s="104">
      <c r="H4836" s="198" t="n">
        <v>0</v>
      </c>
    </row>
    <row r="4837" ht="15" customHeight="1" s="104">
      <c r="H4837" s="198" t="n">
        <v>0</v>
      </c>
    </row>
    <row r="4838" ht="15" customHeight="1" s="104">
      <c r="H4838" s="198" t="n">
        <v>0</v>
      </c>
    </row>
    <row r="4839" ht="15" customHeight="1" s="104">
      <c r="H4839" s="198" t="n">
        <v>0</v>
      </c>
    </row>
    <row r="4840" ht="15" customHeight="1" s="104">
      <c r="H4840" s="198" t="n">
        <v>0</v>
      </c>
    </row>
    <row r="4841" ht="15" customHeight="1" s="104">
      <c r="H4841" s="198" t="n">
        <v>0</v>
      </c>
    </row>
    <row r="4842" ht="15" customHeight="1" s="104">
      <c r="H4842" s="198" t="n">
        <v>0</v>
      </c>
    </row>
    <row r="4843" ht="15" customHeight="1" s="104">
      <c r="H4843" s="198" t="n">
        <v>0</v>
      </c>
    </row>
    <row r="4844" ht="15" customHeight="1" s="104">
      <c r="H4844" s="198" t="n">
        <v>0</v>
      </c>
    </row>
    <row r="4845" ht="15" customHeight="1" s="104">
      <c r="H4845" s="198" t="n">
        <v>0</v>
      </c>
    </row>
    <row r="4846" ht="15" customHeight="1" s="104">
      <c r="H4846" s="198" t="n">
        <v>0</v>
      </c>
    </row>
    <row r="4847" ht="15" customHeight="1" s="104">
      <c r="H4847" s="198" t="n">
        <v>0</v>
      </c>
    </row>
    <row r="4848" ht="15" customHeight="1" s="104">
      <c r="H4848" s="198" t="n">
        <v>0</v>
      </c>
    </row>
    <row r="4849" ht="15" customHeight="1" s="104">
      <c r="H4849" s="198" t="n">
        <v>0</v>
      </c>
    </row>
    <row r="4850" ht="15" customHeight="1" s="104">
      <c r="H4850" s="198" t="n">
        <v>0</v>
      </c>
    </row>
    <row r="4851" ht="15" customHeight="1" s="104">
      <c r="H4851" s="198" t="n">
        <v>0</v>
      </c>
    </row>
    <row r="4852" ht="15" customHeight="1" s="104">
      <c r="H4852" s="198" t="n">
        <v>0</v>
      </c>
    </row>
    <row r="4853" ht="15" customHeight="1" s="104">
      <c r="H4853" s="198" t="n">
        <v>0</v>
      </c>
    </row>
    <row r="4854" ht="15" customHeight="1" s="104">
      <c r="H4854" s="198" t="n">
        <v>0</v>
      </c>
    </row>
    <row r="4855" ht="15" customHeight="1" s="104">
      <c r="H4855" s="198" t="n">
        <v>0</v>
      </c>
    </row>
    <row r="4856" ht="15" customHeight="1" s="104">
      <c r="H4856" s="198" t="n">
        <v>0</v>
      </c>
    </row>
    <row r="4857" ht="15" customHeight="1" s="104">
      <c r="H4857" s="198" t="n">
        <v>0</v>
      </c>
    </row>
    <row r="4858" ht="15" customHeight="1" s="104">
      <c r="H4858" s="198" t="n">
        <v>0</v>
      </c>
    </row>
    <row r="4859" ht="15" customHeight="1" s="104">
      <c r="H4859" s="198" t="n">
        <v>0</v>
      </c>
    </row>
    <row r="4860" ht="15" customHeight="1" s="104">
      <c r="H4860" s="198" t="n">
        <v>0</v>
      </c>
    </row>
    <row r="4861" ht="15" customHeight="1" s="104">
      <c r="H4861" s="198" t="n">
        <v>0</v>
      </c>
    </row>
    <row r="4862" ht="15" customHeight="1" s="104">
      <c r="H4862" s="198" t="n">
        <v>0</v>
      </c>
    </row>
    <row r="4863" ht="15" customHeight="1" s="104">
      <c r="H4863" s="198" t="n">
        <v>0</v>
      </c>
    </row>
    <row r="4864" ht="15" customHeight="1" s="104">
      <c r="H4864" s="198" t="n">
        <v>0</v>
      </c>
    </row>
    <row r="4865" ht="15" customHeight="1" s="104">
      <c r="H4865" s="198" t="n">
        <v>0</v>
      </c>
    </row>
    <row r="4866" ht="15" customHeight="1" s="104">
      <c r="H4866" s="198" t="n">
        <v>0</v>
      </c>
    </row>
    <row r="4867" ht="15" customHeight="1" s="104">
      <c r="H4867" s="198" t="n">
        <v>0</v>
      </c>
    </row>
    <row r="4868" ht="15" customHeight="1" s="104">
      <c r="H4868" s="198" t="n">
        <v>0</v>
      </c>
    </row>
    <row r="4869" ht="15" customHeight="1" s="104">
      <c r="H4869" s="198" t="n">
        <v>0</v>
      </c>
    </row>
    <row r="4870" ht="15" customHeight="1" s="104">
      <c r="H4870" s="198" t="n">
        <v>0</v>
      </c>
    </row>
    <row r="4871" ht="15" customHeight="1" s="104">
      <c r="H4871" s="198" t="n">
        <v>0</v>
      </c>
    </row>
    <row r="4872" ht="15" customHeight="1" s="104">
      <c r="H4872" s="198" t="n">
        <v>0</v>
      </c>
    </row>
    <row r="4873" ht="15" customHeight="1" s="104">
      <c r="H4873" s="198" t="n">
        <v>0</v>
      </c>
    </row>
    <row r="4874" ht="15" customHeight="1" s="104">
      <c r="H4874" s="198" t="n">
        <v>0</v>
      </c>
    </row>
    <row r="4875" ht="15" customHeight="1" s="104">
      <c r="H4875" s="198" t="n">
        <v>0</v>
      </c>
    </row>
    <row r="4876" ht="15" customHeight="1" s="104">
      <c r="H4876" s="198" t="n">
        <v>0</v>
      </c>
    </row>
    <row r="4877" ht="15" customHeight="1" s="104">
      <c r="H4877" s="198" t="n">
        <v>0</v>
      </c>
    </row>
    <row r="4878" ht="15" customHeight="1" s="104">
      <c r="H4878" s="198" t="n">
        <v>0</v>
      </c>
    </row>
    <row r="4879" ht="15" customHeight="1" s="104">
      <c r="H4879" s="198" t="n">
        <v>0</v>
      </c>
    </row>
    <row r="4880" ht="15" customHeight="1" s="104">
      <c r="H4880" s="198" t="n">
        <v>0</v>
      </c>
    </row>
    <row r="4881" ht="15" customHeight="1" s="104">
      <c r="H4881" s="198" t="n">
        <v>0</v>
      </c>
    </row>
    <row r="4882" ht="15" customHeight="1" s="104">
      <c r="H4882" s="198" t="n">
        <v>0</v>
      </c>
    </row>
    <row r="4883" ht="15" customHeight="1" s="104">
      <c r="H4883" s="198" t="n">
        <v>0</v>
      </c>
    </row>
    <row r="4884" ht="15" customHeight="1" s="104">
      <c r="H4884" s="198" t="n">
        <v>0</v>
      </c>
    </row>
    <row r="4885" ht="15" customHeight="1" s="104">
      <c r="H4885" s="198" t="n">
        <v>0</v>
      </c>
    </row>
    <row r="4886" ht="15" customHeight="1" s="104">
      <c r="H4886" s="198" t="n">
        <v>0</v>
      </c>
    </row>
    <row r="4887" ht="15" customHeight="1" s="104">
      <c r="H4887" s="198" t="n">
        <v>0</v>
      </c>
    </row>
    <row r="4888" ht="15" customHeight="1" s="104">
      <c r="H4888" s="198" t="n">
        <v>0</v>
      </c>
    </row>
    <row r="4889" ht="15" customHeight="1" s="104">
      <c r="H4889" s="198" t="n">
        <v>0</v>
      </c>
    </row>
    <row r="4890" ht="15" customHeight="1" s="104">
      <c r="H4890" s="198" t="n">
        <v>0</v>
      </c>
    </row>
    <row r="4891" ht="15" customHeight="1" s="104">
      <c r="H4891" s="198" t="n">
        <v>0</v>
      </c>
    </row>
    <row r="4892" ht="15" customHeight="1" s="104">
      <c r="H4892" s="198" t="n">
        <v>0</v>
      </c>
    </row>
    <row r="4893" ht="15" customHeight="1" s="104">
      <c r="H4893" s="198" t="n">
        <v>0</v>
      </c>
    </row>
    <row r="4894" ht="15" customHeight="1" s="104">
      <c r="H4894" s="198" t="n">
        <v>0</v>
      </c>
    </row>
    <row r="4895" ht="15" customHeight="1" s="104">
      <c r="H4895" s="198" t="n">
        <v>0</v>
      </c>
    </row>
    <row r="4896" ht="15" customHeight="1" s="104">
      <c r="H4896" s="198" t="n">
        <v>0</v>
      </c>
    </row>
    <row r="4897" ht="15" customHeight="1" s="104">
      <c r="H4897" s="198" t="n">
        <v>0</v>
      </c>
    </row>
    <row r="4898" ht="15" customHeight="1" s="104">
      <c r="H4898" s="198" t="n">
        <v>0</v>
      </c>
    </row>
    <row r="4899" ht="15" customHeight="1" s="104">
      <c r="H4899" s="198" t="n">
        <v>0</v>
      </c>
    </row>
    <row r="4900" ht="15" customHeight="1" s="104">
      <c r="H4900" s="198" t="n">
        <v>0</v>
      </c>
    </row>
    <row r="4901" ht="15" customHeight="1" s="104">
      <c r="H4901" s="198" t="n">
        <v>0</v>
      </c>
    </row>
    <row r="4902" ht="15" customHeight="1" s="104">
      <c r="H4902" s="198" t="n">
        <v>0</v>
      </c>
    </row>
    <row r="4903" ht="15" customHeight="1" s="104">
      <c r="H4903" s="198" t="n">
        <v>0</v>
      </c>
    </row>
    <row r="4904" ht="15" customHeight="1" s="104">
      <c r="H4904" s="198" t="n">
        <v>0</v>
      </c>
    </row>
    <row r="4905" ht="15" customHeight="1" s="104">
      <c r="H4905" s="198" t="n">
        <v>0</v>
      </c>
    </row>
    <row r="4906" ht="15" customHeight="1" s="104">
      <c r="H4906" s="198" t="n">
        <v>0</v>
      </c>
    </row>
    <row r="4907" ht="15" customHeight="1" s="104">
      <c r="H4907" s="198" t="n">
        <v>0</v>
      </c>
    </row>
    <row r="4908" ht="15" customHeight="1" s="104">
      <c r="H4908" s="198" t="n">
        <v>0</v>
      </c>
    </row>
    <row r="4909" ht="15" customHeight="1" s="104">
      <c r="H4909" s="198" t="n">
        <v>0</v>
      </c>
    </row>
    <row r="4910" ht="15" customHeight="1" s="104">
      <c r="H4910" s="198" t="n">
        <v>0</v>
      </c>
    </row>
    <row r="4911" ht="15" customHeight="1" s="104">
      <c r="H4911" s="198" t="n">
        <v>0</v>
      </c>
    </row>
    <row r="4912" ht="15" customHeight="1" s="104">
      <c r="H4912" s="198" t="n">
        <v>0</v>
      </c>
    </row>
    <row r="4913" ht="15" customHeight="1" s="104">
      <c r="H4913" s="198" t="n">
        <v>0</v>
      </c>
    </row>
    <row r="4914" ht="15" customHeight="1" s="104">
      <c r="H4914" s="198" t="n">
        <v>0</v>
      </c>
    </row>
    <row r="4915" ht="15" customHeight="1" s="104">
      <c r="H4915" s="198" t="n">
        <v>0</v>
      </c>
    </row>
    <row r="4916" ht="15" customHeight="1" s="104">
      <c r="H4916" s="198" t="n">
        <v>0</v>
      </c>
    </row>
    <row r="4917" ht="15" customHeight="1" s="104">
      <c r="H4917" s="198" t="n">
        <v>0</v>
      </c>
    </row>
    <row r="4918" ht="15" customHeight="1" s="104">
      <c r="H4918" s="198" t="n">
        <v>0</v>
      </c>
    </row>
    <row r="4919" ht="15" customHeight="1" s="104">
      <c r="H4919" s="198" t="n">
        <v>0</v>
      </c>
    </row>
    <row r="4920" ht="15" customHeight="1" s="104">
      <c r="H4920" s="198" t="n">
        <v>0</v>
      </c>
    </row>
    <row r="4921" ht="15" customHeight="1" s="104">
      <c r="H4921" s="198" t="n">
        <v>0</v>
      </c>
    </row>
    <row r="4922" ht="15" customHeight="1" s="104">
      <c r="H4922" s="198" t="n">
        <v>0</v>
      </c>
    </row>
    <row r="4923" ht="15" customHeight="1" s="104">
      <c r="H4923" s="198" t="n">
        <v>0</v>
      </c>
    </row>
    <row r="4924" ht="15" customHeight="1" s="104">
      <c r="H4924" s="198" t="n">
        <v>0</v>
      </c>
    </row>
    <row r="4925" ht="15" customHeight="1" s="104">
      <c r="H4925" s="198" t="n">
        <v>0</v>
      </c>
    </row>
    <row r="4926" ht="15" customHeight="1" s="104">
      <c r="H4926" s="198" t="n">
        <v>0</v>
      </c>
    </row>
    <row r="4927" ht="15" customHeight="1" s="104">
      <c r="H4927" s="198" t="n">
        <v>0</v>
      </c>
    </row>
    <row r="4928" ht="15" customHeight="1" s="104">
      <c r="H4928" s="198" t="n">
        <v>0</v>
      </c>
    </row>
    <row r="4929" ht="15" customHeight="1" s="104">
      <c r="H4929" s="198" t="n">
        <v>0</v>
      </c>
    </row>
    <row r="4930" ht="15" customHeight="1" s="104">
      <c r="H4930" s="198" t="n">
        <v>0</v>
      </c>
    </row>
    <row r="4931" ht="15" customHeight="1" s="104">
      <c r="H4931" s="198" t="n">
        <v>0</v>
      </c>
    </row>
    <row r="4932" ht="15" customHeight="1" s="104">
      <c r="H4932" s="198" t="n">
        <v>0</v>
      </c>
    </row>
    <row r="4933" ht="15" customHeight="1" s="104">
      <c r="H4933" s="198" t="n">
        <v>0</v>
      </c>
    </row>
    <row r="4934" ht="15" customHeight="1" s="104">
      <c r="H4934" s="198" t="n">
        <v>0</v>
      </c>
    </row>
    <row r="4935" ht="15" customHeight="1" s="104">
      <c r="H4935" s="198" t="n">
        <v>0</v>
      </c>
    </row>
    <row r="4936" ht="15" customHeight="1" s="104">
      <c r="H4936" s="198" t="n">
        <v>0</v>
      </c>
    </row>
    <row r="4937" ht="15" customHeight="1" s="104">
      <c r="H4937" s="198" t="n">
        <v>0</v>
      </c>
    </row>
    <row r="4938" ht="15" customHeight="1" s="104">
      <c r="H4938" s="198" t="n">
        <v>0</v>
      </c>
    </row>
    <row r="4939" ht="15" customHeight="1" s="104">
      <c r="H4939" s="198" t="n">
        <v>0</v>
      </c>
    </row>
    <row r="4940" ht="15" customHeight="1" s="104">
      <c r="H4940" s="198" t="n">
        <v>0</v>
      </c>
    </row>
    <row r="4941" ht="15" customHeight="1" s="104">
      <c r="H4941" s="198" t="n">
        <v>0</v>
      </c>
    </row>
    <row r="4942" ht="15" customHeight="1" s="104">
      <c r="H4942" s="198" t="n">
        <v>0</v>
      </c>
    </row>
    <row r="4943" ht="15" customHeight="1" s="104">
      <c r="H4943" s="198" t="n">
        <v>0</v>
      </c>
    </row>
    <row r="4944" ht="15" customHeight="1" s="104">
      <c r="H4944" s="198" t="n">
        <v>0</v>
      </c>
    </row>
    <row r="4945" ht="15" customHeight="1" s="104">
      <c r="H4945" s="198" t="n">
        <v>0</v>
      </c>
    </row>
    <row r="4946" ht="15" customHeight="1" s="104">
      <c r="H4946" s="198" t="n">
        <v>0</v>
      </c>
    </row>
    <row r="4947" ht="15" customHeight="1" s="104">
      <c r="H4947" s="198" t="n">
        <v>0</v>
      </c>
    </row>
    <row r="4948" ht="15" customHeight="1" s="104">
      <c r="H4948" s="198" t="n">
        <v>0</v>
      </c>
    </row>
    <row r="4949" ht="15" customHeight="1" s="104">
      <c r="H4949" s="198" t="n">
        <v>0</v>
      </c>
    </row>
    <row r="4950" ht="15" customHeight="1" s="104">
      <c r="H4950" s="198" t="n">
        <v>0</v>
      </c>
    </row>
    <row r="4951" ht="15" customHeight="1" s="104">
      <c r="H4951" s="198" t="n">
        <v>0</v>
      </c>
    </row>
    <row r="4952" ht="15" customHeight="1" s="104">
      <c r="H4952" s="198" t="n">
        <v>0</v>
      </c>
    </row>
    <row r="4953" ht="15" customHeight="1" s="104">
      <c r="H4953" s="198" t="n">
        <v>0</v>
      </c>
    </row>
    <row r="4954" ht="15" customHeight="1" s="104">
      <c r="H4954" s="198" t="n">
        <v>0</v>
      </c>
    </row>
    <row r="4955" ht="15" customHeight="1" s="104">
      <c r="H4955" s="198" t="n">
        <v>0</v>
      </c>
    </row>
    <row r="4956" ht="15" customHeight="1" s="104">
      <c r="H4956" s="198" t="n">
        <v>0</v>
      </c>
    </row>
    <row r="4957" ht="15" customHeight="1" s="104">
      <c r="H4957" s="198" t="n">
        <v>0</v>
      </c>
    </row>
    <row r="4958" ht="15" customHeight="1" s="104">
      <c r="H4958" s="198" t="n">
        <v>0</v>
      </c>
    </row>
    <row r="4959" ht="15" customHeight="1" s="104">
      <c r="H4959" s="198" t="n">
        <v>0</v>
      </c>
    </row>
    <row r="4960" ht="15" customHeight="1" s="104">
      <c r="H4960" s="198" t="n">
        <v>0</v>
      </c>
    </row>
    <row r="4961" ht="15" customHeight="1" s="104">
      <c r="H4961" s="198" t="n">
        <v>0</v>
      </c>
    </row>
    <row r="4962" ht="15" customHeight="1" s="104">
      <c r="H4962" s="198" t="n">
        <v>0</v>
      </c>
    </row>
    <row r="4963" ht="15" customHeight="1" s="104">
      <c r="H4963" s="198" t="n">
        <v>0</v>
      </c>
    </row>
    <row r="4964" ht="15" customHeight="1" s="104">
      <c r="H4964" s="198" t="n">
        <v>0</v>
      </c>
    </row>
    <row r="4965" ht="15" customHeight="1" s="104">
      <c r="H4965" s="198" t="n">
        <v>0</v>
      </c>
    </row>
    <row r="4966" ht="15" customHeight="1" s="104">
      <c r="H4966" s="198" t="n">
        <v>0</v>
      </c>
    </row>
    <row r="4967" ht="15" customHeight="1" s="104">
      <c r="H4967" s="198" t="n">
        <v>0</v>
      </c>
    </row>
    <row r="4968" ht="15" customHeight="1" s="104">
      <c r="H4968" s="198" t="n">
        <v>0</v>
      </c>
    </row>
    <row r="4969" ht="15" customHeight="1" s="104">
      <c r="H4969" s="198" t="n">
        <v>0</v>
      </c>
    </row>
    <row r="4970" ht="15" customHeight="1" s="104">
      <c r="H4970" s="198" t="n">
        <v>0</v>
      </c>
    </row>
    <row r="4971" ht="15" customHeight="1" s="104">
      <c r="H4971" s="198" t="n">
        <v>0</v>
      </c>
    </row>
    <row r="4972" ht="15" customHeight="1" s="104">
      <c r="H4972" s="198" t="n">
        <v>0</v>
      </c>
    </row>
    <row r="4973" ht="15" customHeight="1" s="104">
      <c r="H4973" s="198" t="n">
        <v>0</v>
      </c>
    </row>
    <row r="4974" ht="15" customHeight="1" s="104">
      <c r="H4974" s="198" t="n">
        <v>0</v>
      </c>
    </row>
    <row r="4975" ht="15" customHeight="1" s="104">
      <c r="H4975" s="198" t="n">
        <v>0</v>
      </c>
    </row>
    <row r="4976" ht="15" customHeight="1" s="104">
      <c r="H4976" s="198" t="n">
        <v>0</v>
      </c>
    </row>
    <row r="4977" ht="15" customHeight="1" s="104">
      <c r="H4977" s="198" t="n">
        <v>0</v>
      </c>
    </row>
    <row r="4978" ht="15" customHeight="1" s="104">
      <c r="H4978" s="198" t="n">
        <v>0</v>
      </c>
    </row>
    <row r="4979" ht="15" customHeight="1" s="104">
      <c r="H4979" s="198" t="n">
        <v>0</v>
      </c>
    </row>
    <row r="4980" ht="15" customHeight="1" s="104">
      <c r="H4980" s="198" t="n">
        <v>0</v>
      </c>
    </row>
    <row r="4981" ht="15" customHeight="1" s="104">
      <c r="H4981" s="198" t="n">
        <v>0</v>
      </c>
    </row>
    <row r="4982" ht="15" customHeight="1" s="104">
      <c r="H4982" s="198" t="n">
        <v>0</v>
      </c>
    </row>
    <row r="4983" ht="15" customHeight="1" s="104">
      <c r="H4983" s="198" t="n">
        <v>0</v>
      </c>
    </row>
    <row r="4984" ht="15" customHeight="1" s="104">
      <c r="H4984" s="198" t="n">
        <v>0</v>
      </c>
    </row>
    <row r="4985" ht="15" customHeight="1" s="104">
      <c r="H4985" s="198" t="n">
        <v>0</v>
      </c>
    </row>
    <row r="4986" ht="15" customHeight="1" s="104">
      <c r="H4986" s="198" t="n">
        <v>0</v>
      </c>
    </row>
    <row r="4987" ht="15" customHeight="1" s="104">
      <c r="H4987" s="198" t="n">
        <v>0</v>
      </c>
    </row>
    <row r="4988" ht="15" customHeight="1" s="104">
      <c r="H4988" s="198" t="n">
        <v>0</v>
      </c>
    </row>
    <row r="4989" ht="15" customHeight="1" s="104">
      <c r="H4989" s="198" t="n">
        <v>0</v>
      </c>
    </row>
    <row r="4990" ht="15" customHeight="1" s="104">
      <c r="H4990" s="198" t="n">
        <v>0</v>
      </c>
    </row>
    <row r="4991" ht="15" customHeight="1" s="104">
      <c r="H4991" s="198" t="n">
        <v>0</v>
      </c>
    </row>
    <row r="4992" ht="15" customHeight="1" s="104">
      <c r="H4992" s="198" t="n">
        <v>0</v>
      </c>
    </row>
    <row r="4993" ht="15" customHeight="1" s="104">
      <c r="H4993" s="198" t="n">
        <v>0</v>
      </c>
    </row>
    <row r="4994" ht="15" customHeight="1" s="104">
      <c r="H4994" s="198" t="n">
        <v>0</v>
      </c>
    </row>
    <row r="4995" ht="15" customHeight="1" s="104">
      <c r="H4995" s="198" t="n">
        <v>0</v>
      </c>
    </row>
    <row r="4996" ht="15" customHeight="1" s="104">
      <c r="H4996" s="198" t="n">
        <v>0</v>
      </c>
    </row>
    <row r="4997" ht="15" customHeight="1" s="104">
      <c r="H4997" s="198" t="n">
        <v>0</v>
      </c>
    </row>
    <row r="4998" ht="15" customHeight="1" s="104">
      <c r="H4998" s="198" t="n">
        <v>0</v>
      </c>
    </row>
    <row r="4999" ht="15" customHeight="1" s="104">
      <c r="H4999" s="198" t="n">
        <v>0</v>
      </c>
    </row>
    <row r="5000" ht="15" customHeight="1" s="104">
      <c r="H5000" s="198" t="n">
        <v>0</v>
      </c>
    </row>
    <row r="5001" ht="15" customHeight="1" s="104">
      <c r="H5001" s="198" t="n">
        <v>0</v>
      </c>
    </row>
    <row r="5002" ht="15" customHeight="1" s="104">
      <c r="H5002" s="198" t="n">
        <v>0</v>
      </c>
    </row>
    <row r="5003" ht="15" customHeight="1" s="104">
      <c r="H5003" s="198" t="n">
        <v>0</v>
      </c>
    </row>
    <row r="5004" ht="15" customHeight="1" s="104">
      <c r="H5004" s="198" t="n">
        <v>0</v>
      </c>
    </row>
    <row r="5005" ht="15" customHeight="1" s="104">
      <c r="H5005" s="198" t="n">
        <v>0</v>
      </c>
    </row>
    <row r="5006" ht="15" customHeight="1" s="104">
      <c r="H5006" s="198" t="n">
        <v>0</v>
      </c>
    </row>
    <row r="5007" ht="15" customHeight="1" s="104">
      <c r="H5007" s="198" t="n">
        <v>0</v>
      </c>
    </row>
    <row r="5008" ht="15" customHeight="1" s="104">
      <c r="H5008" s="198" t="n">
        <v>0</v>
      </c>
    </row>
    <row r="5009" ht="15" customHeight="1" s="104">
      <c r="H5009" s="198" t="n">
        <v>0</v>
      </c>
    </row>
    <row r="5010" ht="15" customHeight="1" s="104">
      <c r="H5010" s="198" t="n">
        <v>0</v>
      </c>
    </row>
    <row r="5011" ht="15" customHeight="1" s="104">
      <c r="H5011" s="198" t="n">
        <v>0</v>
      </c>
    </row>
    <row r="5012" ht="15" customHeight="1" s="104">
      <c r="H5012" s="198" t="n">
        <v>0</v>
      </c>
    </row>
    <row r="5013" ht="15" customHeight="1" s="104">
      <c r="H5013" s="198" t="n">
        <v>0</v>
      </c>
    </row>
    <row r="5014" ht="15" customHeight="1" s="104">
      <c r="H5014" s="198" t="n">
        <v>0</v>
      </c>
    </row>
    <row r="5015" ht="15" customHeight="1" s="104">
      <c r="H5015" s="198" t="n">
        <v>0</v>
      </c>
    </row>
    <row r="5016" ht="15" customHeight="1" s="104">
      <c r="H5016" s="198" t="n">
        <v>0</v>
      </c>
    </row>
    <row r="5017" ht="15" customHeight="1" s="104">
      <c r="H5017" s="198" t="n">
        <v>0</v>
      </c>
    </row>
    <row r="5018" ht="15" customHeight="1" s="104">
      <c r="H5018" s="198" t="n">
        <v>0</v>
      </c>
    </row>
    <row r="5019" ht="15" customHeight="1" s="104">
      <c r="H5019" s="198" t="n">
        <v>0</v>
      </c>
    </row>
    <row r="5020" ht="15" customHeight="1" s="104">
      <c r="H5020" s="198" t="n">
        <v>0</v>
      </c>
    </row>
    <row r="5021" ht="15" customHeight="1" s="104">
      <c r="H5021" s="198" t="n">
        <v>0</v>
      </c>
    </row>
    <row r="5022" ht="15" customHeight="1" s="104">
      <c r="H5022" s="198" t="n">
        <v>0</v>
      </c>
    </row>
    <row r="5023" ht="15" customHeight="1" s="104">
      <c r="H5023" s="198" t="n">
        <v>0</v>
      </c>
    </row>
    <row r="5024" ht="15" customHeight="1" s="104">
      <c r="H5024" s="198" t="n">
        <v>0</v>
      </c>
    </row>
    <row r="5025" ht="15" customHeight="1" s="104">
      <c r="H5025" s="198" t="n">
        <v>0</v>
      </c>
    </row>
    <row r="5026" ht="15" customHeight="1" s="104">
      <c r="H5026" s="198" t="n">
        <v>0</v>
      </c>
    </row>
    <row r="5027" ht="15" customHeight="1" s="104">
      <c r="H5027" s="198" t="n">
        <v>0</v>
      </c>
    </row>
    <row r="5028" ht="15" customHeight="1" s="104">
      <c r="H5028" s="198" t="n">
        <v>0</v>
      </c>
    </row>
    <row r="5029" ht="15" customHeight="1" s="104">
      <c r="H5029" s="198" t="n">
        <v>0</v>
      </c>
    </row>
    <row r="5030" ht="15" customHeight="1" s="104">
      <c r="H5030" s="198" t="n">
        <v>0</v>
      </c>
    </row>
    <row r="5031" ht="15" customHeight="1" s="104">
      <c r="H5031" s="198" t="n">
        <v>0</v>
      </c>
    </row>
    <row r="5032" ht="15" customHeight="1" s="104">
      <c r="H5032" s="198" t="n">
        <v>0</v>
      </c>
    </row>
    <row r="5033" ht="15" customHeight="1" s="104">
      <c r="H5033" s="198" t="n">
        <v>0</v>
      </c>
    </row>
    <row r="5034" ht="15" customHeight="1" s="104">
      <c r="H5034" s="198" t="n">
        <v>0</v>
      </c>
    </row>
    <row r="5035" ht="15" customHeight="1" s="104">
      <c r="H5035" s="198" t="n">
        <v>0</v>
      </c>
    </row>
    <row r="5036" ht="15" customHeight="1" s="104">
      <c r="H5036" s="198" t="n">
        <v>0</v>
      </c>
    </row>
    <row r="5037" ht="15" customHeight="1" s="104">
      <c r="H5037" s="198" t="n">
        <v>0</v>
      </c>
    </row>
    <row r="5038" ht="15" customHeight="1" s="104">
      <c r="H5038" s="198" t="n">
        <v>0</v>
      </c>
    </row>
    <row r="5039" ht="15" customHeight="1" s="104">
      <c r="H5039" s="198" t="n">
        <v>0</v>
      </c>
    </row>
    <row r="5040" ht="15" customHeight="1" s="104">
      <c r="H5040" s="198" t="n">
        <v>0</v>
      </c>
    </row>
    <row r="5041" ht="15" customHeight="1" s="104">
      <c r="H5041" s="198" t="n">
        <v>0</v>
      </c>
    </row>
    <row r="5042" ht="15" customHeight="1" s="104">
      <c r="H5042" s="198" t="n">
        <v>0</v>
      </c>
    </row>
    <row r="5043" ht="15" customHeight="1" s="104">
      <c r="H5043" s="198" t="n">
        <v>0</v>
      </c>
    </row>
    <row r="5044" ht="15" customHeight="1" s="104">
      <c r="H5044" s="198" t="n">
        <v>0</v>
      </c>
    </row>
    <row r="5045" ht="15" customHeight="1" s="104">
      <c r="H5045" s="198" t="n">
        <v>0</v>
      </c>
    </row>
    <row r="5046" ht="15" customHeight="1" s="104">
      <c r="H5046" s="198" t="n">
        <v>0</v>
      </c>
    </row>
    <row r="5047" ht="15" customHeight="1" s="104">
      <c r="H5047" s="198" t="n">
        <v>0</v>
      </c>
    </row>
    <row r="5048" ht="15" customHeight="1" s="104">
      <c r="H5048" s="198" t="n">
        <v>0</v>
      </c>
    </row>
    <row r="5049" ht="15" customHeight="1" s="104">
      <c r="H5049" s="198" t="n">
        <v>0</v>
      </c>
    </row>
    <row r="5050" ht="15" customHeight="1" s="104">
      <c r="H5050" s="198" t="n">
        <v>0</v>
      </c>
    </row>
    <row r="5051" ht="15" customHeight="1" s="104">
      <c r="H5051" s="198" t="n">
        <v>0</v>
      </c>
    </row>
    <row r="5052" ht="15" customHeight="1" s="104">
      <c r="H5052" s="198" t="n">
        <v>0</v>
      </c>
    </row>
    <row r="5053" ht="15" customHeight="1" s="104">
      <c r="H5053" s="198" t="n">
        <v>0</v>
      </c>
    </row>
    <row r="5054" ht="15" customHeight="1" s="104">
      <c r="H5054" s="198" t="n">
        <v>0</v>
      </c>
    </row>
    <row r="5055" ht="15" customHeight="1" s="104">
      <c r="H5055" s="198" t="n">
        <v>0</v>
      </c>
    </row>
    <row r="5056" ht="15" customHeight="1" s="104">
      <c r="H5056" s="198" t="n">
        <v>0</v>
      </c>
    </row>
    <row r="5057" ht="15" customHeight="1" s="104">
      <c r="H5057" s="198" t="n">
        <v>0</v>
      </c>
    </row>
    <row r="5058" ht="15" customHeight="1" s="104">
      <c r="H5058" s="198" t="n">
        <v>0</v>
      </c>
    </row>
    <row r="5059" ht="15" customHeight="1" s="104">
      <c r="H5059" s="198" t="n">
        <v>0</v>
      </c>
    </row>
    <row r="5060" ht="15" customHeight="1" s="104">
      <c r="H5060" s="198" t="n">
        <v>0</v>
      </c>
    </row>
    <row r="5061" ht="15" customHeight="1" s="104">
      <c r="H5061" s="198" t="n">
        <v>0</v>
      </c>
    </row>
    <row r="5062" ht="15" customHeight="1" s="104">
      <c r="H5062" s="198" t="n">
        <v>0</v>
      </c>
    </row>
    <row r="5063" ht="15" customHeight="1" s="104">
      <c r="H5063" s="198" t="n">
        <v>0</v>
      </c>
    </row>
    <row r="5064" ht="15" customHeight="1" s="104">
      <c r="H5064" s="198" t="n">
        <v>0</v>
      </c>
    </row>
    <row r="5065" ht="15" customHeight="1" s="104">
      <c r="H5065" s="198" t="n">
        <v>0</v>
      </c>
    </row>
    <row r="5066" ht="15" customHeight="1" s="104">
      <c r="H5066" s="198" t="n">
        <v>0</v>
      </c>
    </row>
    <row r="5067" ht="15" customHeight="1" s="104">
      <c r="H5067" s="198" t="n">
        <v>0</v>
      </c>
    </row>
    <row r="5068" ht="15" customHeight="1" s="104">
      <c r="H5068" s="198" t="n">
        <v>0</v>
      </c>
    </row>
    <row r="5069" ht="15" customHeight="1" s="104">
      <c r="H5069" s="198" t="n">
        <v>0</v>
      </c>
    </row>
    <row r="5070" ht="15" customHeight="1" s="104">
      <c r="H5070" s="198" t="n">
        <v>0</v>
      </c>
    </row>
    <row r="5071" ht="15" customHeight="1" s="104">
      <c r="H5071" s="198" t="n">
        <v>0</v>
      </c>
    </row>
    <row r="5072" ht="15" customHeight="1" s="104">
      <c r="H5072" s="198" t="n">
        <v>0</v>
      </c>
    </row>
    <row r="5073" ht="15" customHeight="1" s="104">
      <c r="H5073" s="198" t="n">
        <v>0</v>
      </c>
    </row>
    <row r="5074" ht="15" customHeight="1" s="104">
      <c r="H5074" s="198" t="n">
        <v>0</v>
      </c>
    </row>
    <row r="5075" ht="15" customHeight="1" s="104">
      <c r="H5075" s="198" t="n">
        <v>0</v>
      </c>
    </row>
    <row r="5076" ht="15" customHeight="1" s="104">
      <c r="H5076" s="198" t="n">
        <v>0</v>
      </c>
    </row>
    <row r="5077" ht="15" customHeight="1" s="104">
      <c r="H5077" s="198" t="n">
        <v>0</v>
      </c>
    </row>
    <row r="5078" ht="15" customHeight="1" s="104">
      <c r="H5078" s="198" t="n">
        <v>0</v>
      </c>
    </row>
    <row r="5079" ht="15" customHeight="1" s="104">
      <c r="H5079" s="198" t="n">
        <v>0</v>
      </c>
    </row>
    <row r="5080" ht="15" customHeight="1" s="104">
      <c r="H5080" s="198" t="n">
        <v>0</v>
      </c>
    </row>
    <row r="5081" ht="15" customHeight="1" s="104">
      <c r="H5081" s="198" t="n">
        <v>0</v>
      </c>
    </row>
    <row r="5082" ht="15" customHeight="1" s="104">
      <c r="H5082" s="198" t="n">
        <v>0</v>
      </c>
    </row>
    <row r="5083" ht="15" customHeight="1" s="104">
      <c r="H5083" s="198" t="n">
        <v>0</v>
      </c>
    </row>
    <row r="5084" ht="15" customHeight="1" s="104">
      <c r="H5084" s="198" t="n">
        <v>0</v>
      </c>
    </row>
    <row r="5085" ht="15" customHeight="1" s="104">
      <c r="H5085" s="198" t="n">
        <v>0</v>
      </c>
    </row>
    <row r="5086" ht="15" customHeight="1" s="104">
      <c r="H5086" s="198" t="n">
        <v>0</v>
      </c>
    </row>
    <row r="5087" ht="15" customHeight="1" s="104">
      <c r="H5087" s="198" t="n">
        <v>0</v>
      </c>
    </row>
    <row r="5088" ht="15" customHeight="1" s="104">
      <c r="H5088" s="198" t="n">
        <v>0</v>
      </c>
    </row>
    <row r="5089" ht="15" customHeight="1" s="104">
      <c r="H5089" s="198" t="n">
        <v>0</v>
      </c>
    </row>
    <row r="5090" ht="15" customHeight="1" s="104">
      <c r="H5090" s="198" t="n">
        <v>0</v>
      </c>
    </row>
    <row r="5091" ht="15" customHeight="1" s="104">
      <c r="H5091" s="198" t="n">
        <v>0</v>
      </c>
    </row>
    <row r="5092" ht="15" customHeight="1" s="104">
      <c r="H5092" s="198" t="n">
        <v>0</v>
      </c>
    </row>
    <row r="5093" ht="15" customHeight="1" s="104">
      <c r="H5093" s="198" t="n">
        <v>0</v>
      </c>
    </row>
    <row r="5094" ht="15" customHeight="1" s="104">
      <c r="H5094" s="198" t="n">
        <v>0</v>
      </c>
    </row>
    <row r="5095" ht="15" customHeight="1" s="104">
      <c r="H5095" s="198" t="n">
        <v>0</v>
      </c>
    </row>
    <row r="5096" ht="15" customHeight="1" s="104">
      <c r="H5096" s="198" t="n">
        <v>0</v>
      </c>
    </row>
    <row r="5097" ht="15" customHeight="1" s="104">
      <c r="H5097" s="198" t="n">
        <v>0</v>
      </c>
    </row>
    <row r="5098" ht="15" customHeight="1" s="104">
      <c r="H5098" s="198" t="n">
        <v>0</v>
      </c>
    </row>
    <row r="5099" ht="15" customHeight="1" s="104">
      <c r="H5099" s="198" t="n">
        <v>0</v>
      </c>
    </row>
    <row r="5100" ht="15" customHeight="1" s="104">
      <c r="H5100" s="198" t="n">
        <v>0</v>
      </c>
    </row>
    <row r="5101" ht="15" customHeight="1" s="104">
      <c r="H5101" s="198" t="n">
        <v>0</v>
      </c>
    </row>
    <row r="5102" ht="15" customHeight="1" s="104">
      <c r="H5102" s="198" t="n">
        <v>0</v>
      </c>
    </row>
    <row r="5103" ht="15" customHeight="1" s="104">
      <c r="H5103" s="198" t="n">
        <v>0</v>
      </c>
    </row>
    <row r="5104" ht="15" customHeight="1" s="104">
      <c r="H5104" s="198" t="n">
        <v>0</v>
      </c>
    </row>
    <row r="5105" ht="15" customHeight="1" s="104">
      <c r="H5105" s="198" t="n">
        <v>0</v>
      </c>
    </row>
    <row r="5106" ht="15" customHeight="1" s="104">
      <c r="H5106" s="198" t="n">
        <v>0</v>
      </c>
    </row>
    <row r="5107" ht="15" customHeight="1" s="104">
      <c r="H5107" s="198" t="n">
        <v>0</v>
      </c>
    </row>
    <row r="5108" ht="15" customHeight="1" s="104">
      <c r="H5108" s="198" t="n">
        <v>0</v>
      </c>
    </row>
    <row r="5109" ht="15" customHeight="1" s="104">
      <c r="H5109" s="198" t="n">
        <v>0</v>
      </c>
    </row>
    <row r="5110" ht="15" customHeight="1" s="104">
      <c r="H5110" s="198" t="n">
        <v>0</v>
      </c>
    </row>
    <row r="5111" ht="15" customHeight="1" s="104">
      <c r="H5111" s="198" t="n">
        <v>0</v>
      </c>
    </row>
    <row r="5112" ht="15" customHeight="1" s="104">
      <c r="H5112" s="198" t="n">
        <v>0</v>
      </c>
    </row>
    <row r="5113" ht="15" customHeight="1" s="104">
      <c r="H5113" s="198" t="n">
        <v>0</v>
      </c>
    </row>
    <row r="5114" ht="15" customHeight="1" s="104">
      <c r="H5114" s="198" t="n">
        <v>0</v>
      </c>
    </row>
    <row r="5115" ht="15" customHeight="1" s="104">
      <c r="H5115" s="198" t="n">
        <v>0</v>
      </c>
    </row>
    <row r="5116" ht="15" customHeight="1" s="104">
      <c r="H5116" s="198" t="n">
        <v>0</v>
      </c>
    </row>
    <row r="5117" ht="15" customHeight="1" s="104">
      <c r="H5117" s="198" t="n">
        <v>0</v>
      </c>
    </row>
    <row r="5118" ht="15" customHeight="1" s="104">
      <c r="H5118" s="198" t="n">
        <v>0</v>
      </c>
    </row>
    <row r="5119" ht="15" customHeight="1" s="104">
      <c r="H5119" s="198" t="n">
        <v>0</v>
      </c>
    </row>
    <row r="5120" ht="15" customHeight="1" s="104">
      <c r="H5120" s="198" t="n">
        <v>0</v>
      </c>
    </row>
    <row r="5121" ht="15" customHeight="1" s="104">
      <c r="H5121" s="198" t="n">
        <v>0</v>
      </c>
    </row>
    <row r="5122" ht="15" customHeight="1" s="104">
      <c r="H5122" s="198" t="n">
        <v>0</v>
      </c>
    </row>
    <row r="5123" ht="15" customHeight="1" s="104">
      <c r="H5123" s="198" t="n">
        <v>0</v>
      </c>
    </row>
    <row r="5124" ht="15" customHeight="1" s="104">
      <c r="H5124" s="198" t="n">
        <v>0</v>
      </c>
    </row>
    <row r="5125" ht="15" customHeight="1" s="104">
      <c r="H5125" s="198" t="n">
        <v>0</v>
      </c>
    </row>
    <row r="5126" ht="15" customHeight="1" s="104">
      <c r="H5126" s="198" t="n">
        <v>0</v>
      </c>
    </row>
    <row r="5127" ht="15" customHeight="1" s="104">
      <c r="H5127" s="198" t="n">
        <v>0</v>
      </c>
    </row>
    <row r="5128" ht="15" customHeight="1" s="104">
      <c r="H5128" s="198" t="n">
        <v>0</v>
      </c>
    </row>
    <row r="5129" ht="15" customHeight="1" s="104">
      <c r="H5129" s="198" t="n">
        <v>0</v>
      </c>
    </row>
    <row r="5130" ht="15" customHeight="1" s="104">
      <c r="H5130" s="198" t="n">
        <v>0</v>
      </c>
    </row>
    <row r="5131" ht="15" customHeight="1" s="104">
      <c r="H5131" s="198" t="n">
        <v>0</v>
      </c>
    </row>
    <row r="5132" ht="15" customHeight="1" s="104">
      <c r="H5132" s="198" t="n">
        <v>0</v>
      </c>
    </row>
    <row r="5133" ht="15" customHeight="1" s="104">
      <c r="H5133" s="198" t="n">
        <v>0</v>
      </c>
    </row>
    <row r="5134" ht="15" customHeight="1" s="104">
      <c r="H5134" s="198" t="n">
        <v>0</v>
      </c>
    </row>
    <row r="5135" ht="15" customHeight="1" s="104">
      <c r="H5135" s="198" t="n">
        <v>0</v>
      </c>
    </row>
    <row r="5136" ht="15" customHeight="1" s="104">
      <c r="H5136" s="198" t="n">
        <v>0</v>
      </c>
    </row>
    <row r="5137" ht="15" customHeight="1" s="104">
      <c r="H5137" s="198" t="n">
        <v>0</v>
      </c>
    </row>
    <row r="5138" ht="15" customHeight="1" s="104">
      <c r="H5138" s="198" t="n">
        <v>0</v>
      </c>
    </row>
    <row r="5139" ht="15" customHeight="1" s="104">
      <c r="H5139" s="198" t="n">
        <v>0</v>
      </c>
    </row>
    <row r="5140" ht="15" customHeight="1" s="104">
      <c r="H5140" s="198" t="n">
        <v>0</v>
      </c>
    </row>
    <row r="5141" ht="15" customHeight="1" s="104">
      <c r="H5141" s="198" t="n">
        <v>0</v>
      </c>
    </row>
    <row r="5142" ht="15" customHeight="1" s="104">
      <c r="H5142" s="198" t="n">
        <v>0</v>
      </c>
    </row>
    <row r="5143" ht="15" customHeight="1" s="104">
      <c r="H5143" s="198" t="n">
        <v>0</v>
      </c>
    </row>
    <row r="5144" ht="15" customHeight="1" s="104">
      <c r="H5144" s="198" t="n">
        <v>0</v>
      </c>
    </row>
    <row r="5145" ht="15" customHeight="1" s="104">
      <c r="H5145" s="198" t="n">
        <v>0</v>
      </c>
    </row>
    <row r="5146" ht="15" customHeight="1" s="104">
      <c r="H5146" s="198" t="n">
        <v>0</v>
      </c>
    </row>
    <row r="5147" ht="15" customHeight="1" s="104">
      <c r="H5147" s="198" t="n">
        <v>0</v>
      </c>
    </row>
    <row r="5148" ht="15" customHeight="1" s="104">
      <c r="H5148" s="198" t="n">
        <v>0</v>
      </c>
    </row>
    <row r="5149" ht="15" customHeight="1" s="104">
      <c r="H5149" s="198" t="n">
        <v>0</v>
      </c>
    </row>
    <row r="5150" ht="15" customHeight="1" s="104">
      <c r="H5150" s="198" t="n">
        <v>0</v>
      </c>
    </row>
    <row r="5151" ht="15" customHeight="1" s="104">
      <c r="H5151" s="198" t="n">
        <v>0</v>
      </c>
    </row>
    <row r="5152" ht="15" customHeight="1" s="104">
      <c r="H5152" s="198" t="n">
        <v>0</v>
      </c>
    </row>
    <row r="5153" ht="15" customHeight="1" s="104">
      <c r="H5153" s="198" t="n">
        <v>0</v>
      </c>
    </row>
    <row r="5154" ht="15" customHeight="1" s="104">
      <c r="H5154" s="198" t="n">
        <v>0</v>
      </c>
    </row>
    <row r="5155" ht="15" customHeight="1" s="104">
      <c r="H5155" s="198" t="n">
        <v>0</v>
      </c>
    </row>
    <row r="5156" ht="15" customHeight="1" s="104">
      <c r="H5156" s="198" t="n">
        <v>0</v>
      </c>
    </row>
    <row r="5157" ht="15" customHeight="1" s="104">
      <c r="H5157" s="198" t="n">
        <v>0</v>
      </c>
    </row>
    <row r="5158" ht="15" customHeight="1" s="104">
      <c r="H5158" s="198" t="n">
        <v>0</v>
      </c>
    </row>
    <row r="5159" ht="15" customHeight="1" s="104">
      <c r="H5159" s="198" t="n">
        <v>0</v>
      </c>
    </row>
    <row r="5160" ht="15" customHeight="1" s="104">
      <c r="H5160" s="198" t="n">
        <v>0</v>
      </c>
    </row>
    <row r="5161" ht="15" customHeight="1" s="104">
      <c r="H5161" s="198" t="n">
        <v>0</v>
      </c>
    </row>
    <row r="5162" ht="15" customHeight="1" s="104">
      <c r="H5162" s="198" t="n">
        <v>0</v>
      </c>
    </row>
    <row r="5163" ht="15" customHeight="1" s="104">
      <c r="H5163" s="198" t="n">
        <v>0</v>
      </c>
    </row>
    <row r="5164" ht="15" customHeight="1" s="104">
      <c r="H5164" s="198" t="n">
        <v>0</v>
      </c>
    </row>
    <row r="5165" ht="15" customHeight="1" s="104">
      <c r="H5165" s="198" t="n">
        <v>0</v>
      </c>
    </row>
    <row r="5166" ht="15" customHeight="1" s="104">
      <c r="H5166" s="198" t="n">
        <v>0</v>
      </c>
    </row>
    <row r="5167" ht="15" customHeight="1" s="104">
      <c r="H5167" s="198" t="n">
        <v>0</v>
      </c>
    </row>
    <row r="5168" ht="15" customHeight="1" s="104">
      <c r="H5168" s="198" t="n">
        <v>0</v>
      </c>
    </row>
    <row r="5169" ht="15" customHeight="1" s="104">
      <c r="H5169" s="198" t="n">
        <v>0</v>
      </c>
    </row>
    <row r="5170" ht="15" customHeight="1" s="104">
      <c r="H5170" s="198" t="n">
        <v>0</v>
      </c>
    </row>
    <row r="5171" ht="15" customHeight="1" s="104">
      <c r="H5171" s="198" t="n">
        <v>0</v>
      </c>
    </row>
    <row r="5172" ht="15" customHeight="1" s="104">
      <c r="H5172" s="198" t="n">
        <v>0</v>
      </c>
    </row>
    <row r="5173" ht="15" customHeight="1" s="104">
      <c r="H5173" s="198" t="n">
        <v>0</v>
      </c>
    </row>
    <row r="5174" ht="15" customHeight="1" s="104">
      <c r="H5174" s="198" t="n">
        <v>0</v>
      </c>
    </row>
    <row r="5175" ht="15" customHeight="1" s="104">
      <c r="H5175" s="198" t="n">
        <v>0</v>
      </c>
    </row>
    <row r="5176" ht="15" customHeight="1" s="104">
      <c r="H5176" s="198" t="n">
        <v>0</v>
      </c>
    </row>
    <row r="5177" ht="15" customHeight="1" s="104">
      <c r="H5177" s="198" t="n">
        <v>0</v>
      </c>
    </row>
    <row r="5178" ht="15" customHeight="1" s="104">
      <c r="H5178" s="198" t="n">
        <v>0</v>
      </c>
    </row>
    <row r="5179" ht="15" customHeight="1" s="104">
      <c r="H5179" s="198" t="n">
        <v>0</v>
      </c>
    </row>
    <row r="5180" ht="15" customHeight="1" s="104">
      <c r="H5180" s="198" t="n">
        <v>0</v>
      </c>
    </row>
    <row r="5181" ht="15" customHeight="1" s="104">
      <c r="H5181" s="198" t="n">
        <v>0</v>
      </c>
    </row>
    <row r="5182" ht="15" customHeight="1" s="104">
      <c r="H5182" s="198" t="n">
        <v>0</v>
      </c>
    </row>
    <row r="5183" ht="15" customHeight="1" s="104">
      <c r="H5183" s="198" t="n">
        <v>0</v>
      </c>
    </row>
    <row r="5184" ht="15" customHeight="1" s="104">
      <c r="H5184" s="198" t="n">
        <v>0</v>
      </c>
    </row>
    <row r="5185" ht="15" customHeight="1" s="104">
      <c r="H5185" s="198" t="n">
        <v>0</v>
      </c>
    </row>
    <row r="5186" ht="15" customHeight="1" s="104">
      <c r="H5186" s="198" t="n">
        <v>0</v>
      </c>
    </row>
    <row r="5187" ht="15" customHeight="1" s="104">
      <c r="H5187" s="198" t="n">
        <v>0</v>
      </c>
    </row>
    <row r="5188" ht="15" customHeight="1" s="104">
      <c r="H5188" s="198" t="n">
        <v>0</v>
      </c>
    </row>
    <row r="5189" ht="15" customHeight="1" s="104">
      <c r="H5189" s="198" t="n">
        <v>0</v>
      </c>
    </row>
    <row r="5190" ht="15" customHeight="1" s="104">
      <c r="H5190" s="198" t="n">
        <v>0</v>
      </c>
    </row>
    <row r="5191" ht="15" customHeight="1" s="104">
      <c r="H5191" s="198" t="n">
        <v>0</v>
      </c>
    </row>
    <row r="5192" ht="15" customHeight="1" s="104">
      <c r="H5192" s="198" t="n">
        <v>0</v>
      </c>
    </row>
    <row r="5193" ht="15" customHeight="1" s="104">
      <c r="H5193" s="198" t="n">
        <v>0</v>
      </c>
    </row>
    <row r="5194" ht="15" customHeight="1" s="104">
      <c r="H5194" s="198" t="n">
        <v>0</v>
      </c>
    </row>
    <row r="5195" ht="15" customHeight="1" s="104">
      <c r="H5195" s="198" t="n">
        <v>0</v>
      </c>
    </row>
    <row r="5196" ht="15" customHeight="1" s="104">
      <c r="H5196" s="198" t="n">
        <v>0</v>
      </c>
    </row>
    <row r="5197" ht="15" customHeight="1" s="104">
      <c r="H5197" s="198" t="n">
        <v>0</v>
      </c>
    </row>
    <row r="5198" ht="15" customHeight="1" s="104">
      <c r="H5198" s="198" t="n">
        <v>0</v>
      </c>
    </row>
    <row r="5199" ht="15" customHeight="1" s="104">
      <c r="H5199" s="198" t="n">
        <v>0</v>
      </c>
    </row>
    <row r="5200" ht="15" customHeight="1" s="104">
      <c r="H5200" s="198" t="n">
        <v>0</v>
      </c>
    </row>
    <row r="5201" ht="15" customHeight="1" s="104">
      <c r="H5201" s="198" t="n">
        <v>0</v>
      </c>
    </row>
    <row r="5202" ht="15" customHeight="1" s="104">
      <c r="H5202" s="198" t="n">
        <v>0</v>
      </c>
    </row>
    <row r="5203" ht="15" customHeight="1" s="104">
      <c r="H5203" s="198" t="n">
        <v>0</v>
      </c>
    </row>
    <row r="5204" ht="15" customHeight="1" s="104">
      <c r="H5204" s="198" t="n">
        <v>0</v>
      </c>
    </row>
    <row r="5205" ht="15" customHeight="1" s="104">
      <c r="H5205" s="198" t="n">
        <v>0</v>
      </c>
    </row>
    <row r="5206" ht="15" customHeight="1" s="104">
      <c r="H5206" s="198" t="n">
        <v>0</v>
      </c>
    </row>
    <row r="5207" ht="15" customHeight="1" s="104">
      <c r="H5207" s="198" t="n">
        <v>0</v>
      </c>
    </row>
    <row r="5208" ht="15" customHeight="1" s="104">
      <c r="H5208" s="198" t="n">
        <v>0</v>
      </c>
    </row>
    <row r="5209" ht="15" customHeight="1" s="104">
      <c r="H5209" s="198" t="n">
        <v>0</v>
      </c>
    </row>
    <row r="5210" ht="15" customHeight="1" s="104">
      <c r="H5210" s="198" t="n">
        <v>0</v>
      </c>
    </row>
    <row r="5211" ht="15" customHeight="1" s="104">
      <c r="H5211" s="198" t="n">
        <v>0</v>
      </c>
    </row>
    <row r="5212" ht="15" customHeight="1" s="104">
      <c r="H5212" s="198" t="n">
        <v>0</v>
      </c>
    </row>
    <row r="5213" ht="15" customHeight="1" s="104">
      <c r="H5213" s="198" t="n">
        <v>0</v>
      </c>
    </row>
    <row r="5214" ht="15" customHeight="1" s="104">
      <c r="H5214" s="198" t="n">
        <v>0</v>
      </c>
    </row>
    <row r="5215" ht="15" customHeight="1" s="104">
      <c r="H5215" s="198" t="n">
        <v>0</v>
      </c>
    </row>
    <row r="5216" ht="15" customHeight="1" s="104">
      <c r="H5216" s="198" t="n">
        <v>0</v>
      </c>
    </row>
    <row r="5217" ht="15" customHeight="1" s="104">
      <c r="H5217" s="198" t="n">
        <v>0</v>
      </c>
    </row>
    <row r="5218" ht="15" customHeight="1" s="104">
      <c r="H5218" s="198" t="n">
        <v>0</v>
      </c>
    </row>
    <row r="5219" ht="15" customHeight="1" s="104">
      <c r="H5219" s="198" t="n">
        <v>0</v>
      </c>
    </row>
    <row r="5220" ht="15" customHeight="1" s="104">
      <c r="H5220" s="198" t="n">
        <v>0</v>
      </c>
    </row>
    <row r="5221" ht="15" customHeight="1" s="104">
      <c r="H5221" s="198" t="n">
        <v>0</v>
      </c>
    </row>
    <row r="5222" ht="15" customHeight="1" s="104">
      <c r="H5222" s="198" t="n">
        <v>0</v>
      </c>
    </row>
    <row r="5223" ht="15" customHeight="1" s="104">
      <c r="H5223" s="198" t="n">
        <v>0</v>
      </c>
    </row>
    <row r="5224" ht="15" customHeight="1" s="104">
      <c r="H5224" s="198" t="n">
        <v>0</v>
      </c>
    </row>
    <row r="5225" ht="15" customHeight="1" s="104">
      <c r="H5225" s="198" t="n">
        <v>0</v>
      </c>
    </row>
    <row r="5226" ht="15" customHeight="1" s="104">
      <c r="H5226" s="198" t="n">
        <v>0</v>
      </c>
    </row>
    <row r="5227" ht="15" customHeight="1" s="104">
      <c r="H5227" s="198" t="n">
        <v>0</v>
      </c>
    </row>
    <row r="5228" ht="15" customHeight="1" s="104">
      <c r="H5228" s="198" t="n">
        <v>0</v>
      </c>
    </row>
    <row r="5229" ht="15" customHeight="1" s="104">
      <c r="H5229" s="198" t="n">
        <v>0</v>
      </c>
    </row>
    <row r="5230" ht="15" customHeight="1" s="104">
      <c r="H5230" s="198" t="n">
        <v>0</v>
      </c>
    </row>
    <row r="5231" ht="15" customHeight="1" s="104">
      <c r="H5231" s="198" t="n">
        <v>0</v>
      </c>
    </row>
    <row r="5232" ht="15" customHeight="1" s="104">
      <c r="H5232" s="198" t="n">
        <v>0</v>
      </c>
    </row>
    <row r="5233" ht="15" customHeight="1" s="104">
      <c r="H5233" s="198" t="n">
        <v>0</v>
      </c>
    </row>
    <row r="5234" ht="15" customHeight="1" s="104">
      <c r="H5234" s="198" t="n">
        <v>0</v>
      </c>
    </row>
    <row r="5235" ht="15" customHeight="1" s="104">
      <c r="H5235" s="198" t="n">
        <v>0</v>
      </c>
    </row>
    <row r="5236" ht="15" customHeight="1" s="104">
      <c r="H5236" s="198" t="n">
        <v>0</v>
      </c>
    </row>
    <row r="5237" ht="15" customHeight="1" s="104">
      <c r="H5237" s="198" t="n">
        <v>0</v>
      </c>
    </row>
    <row r="5238" ht="15" customHeight="1" s="104">
      <c r="H5238" s="198" t="n">
        <v>0</v>
      </c>
    </row>
    <row r="5239" ht="15" customHeight="1" s="104">
      <c r="H5239" s="198" t="n">
        <v>0</v>
      </c>
    </row>
    <row r="5240" ht="15" customHeight="1" s="104">
      <c r="H5240" s="198" t="n">
        <v>0</v>
      </c>
    </row>
    <row r="5241" ht="15" customHeight="1" s="104">
      <c r="H5241" s="198" t="n">
        <v>0</v>
      </c>
    </row>
    <row r="5242" ht="15" customHeight="1" s="104">
      <c r="H5242" s="198" t="n">
        <v>0</v>
      </c>
    </row>
    <row r="5243" ht="15" customHeight="1" s="104">
      <c r="H5243" s="198" t="n">
        <v>0</v>
      </c>
    </row>
    <row r="5244" ht="15" customHeight="1" s="104">
      <c r="H5244" s="198" t="n">
        <v>0</v>
      </c>
    </row>
    <row r="5245" ht="15" customHeight="1" s="104">
      <c r="H5245" s="198" t="n">
        <v>0</v>
      </c>
    </row>
    <row r="5246" ht="15" customHeight="1" s="104">
      <c r="H5246" s="198" t="n">
        <v>0</v>
      </c>
    </row>
    <row r="5247" ht="15" customHeight="1" s="104">
      <c r="H5247" s="198" t="n">
        <v>0</v>
      </c>
    </row>
    <row r="5248" ht="15" customHeight="1" s="104">
      <c r="H5248" s="198" t="n">
        <v>0</v>
      </c>
    </row>
    <row r="5249" ht="15" customHeight="1" s="104">
      <c r="H5249" s="198" t="n">
        <v>0</v>
      </c>
    </row>
    <row r="5250" ht="15" customHeight="1" s="104">
      <c r="H5250" s="198" t="n">
        <v>0</v>
      </c>
    </row>
    <row r="5251" ht="15" customHeight="1" s="104">
      <c r="H5251" s="198" t="n">
        <v>0</v>
      </c>
    </row>
    <row r="5252" ht="15" customHeight="1" s="104">
      <c r="H5252" s="198" t="n">
        <v>0</v>
      </c>
    </row>
    <row r="5253" ht="15" customHeight="1" s="104">
      <c r="H5253" s="198" t="n">
        <v>0</v>
      </c>
    </row>
    <row r="5254" ht="15" customHeight="1" s="104">
      <c r="H5254" s="198" t="n">
        <v>0</v>
      </c>
    </row>
    <row r="5255" ht="15" customHeight="1" s="104">
      <c r="H5255" s="198" t="n">
        <v>0</v>
      </c>
    </row>
    <row r="5256" ht="15" customHeight="1" s="104">
      <c r="H5256" s="198" t="n">
        <v>0</v>
      </c>
    </row>
    <row r="5257" ht="15" customHeight="1" s="104">
      <c r="H5257" s="198" t="n">
        <v>0</v>
      </c>
    </row>
    <row r="5258" ht="15" customHeight="1" s="104">
      <c r="H5258" s="198" t="n">
        <v>0</v>
      </c>
    </row>
    <row r="5259" ht="15" customHeight="1" s="104">
      <c r="H5259" s="198" t="n">
        <v>0</v>
      </c>
    </row>
    <row r="5260" ht="15" customHeight="1" s="104">
      <c r="H5260" s="198" t="n">
        <v>0</v>
      </c>
    </row>
    <row r="5261" ht="15" customHeight="1" s="104">
      <c r="H5261" s="198" t="n">
        <v>0</v>
      </c>
    </row>
    <row r="5262" ht="15" customHeight="1" s="104">
      <c r="H5262" s="198" t="n">
        <v>0</v>
      </c>
    </row>
    <row r="5263" ht="15" customHeight="1" s="104">
      <c r="H5263" s="198" t="n">
        <v>0</v>
      </c>
    </row>
    <row r="5264" ht="15" customHeight="1" s="104">
      <c r="H5264" s="198" t="n">
        <v>0</v>
      </c>
    </row>
    <row r="5265" ht="15" customHeight="1" s="104">
      <c r="H5265" s="198" t="n">
        <v>0</v>
      </c>
    </row>
    <row r="5266" ht="15" customHeight="1" s="104">
      <c r="H5266" s="198" t="n">
        <v>0</v>
      </c>
    </row>
    <row r="5267" ht="15" customHeight="1" s="104">
      <c r="H5267" s="198" t="n">
        <v>0</v>
      </c>
    </row>
    <row r="5268" ht="15" customHeight="1" s="104">
      <c r="H5268" s="198" t="n">
        <v>0</v>
      </c>
    </row>
    <row r="5269" ht="15" customHeight="1" s="104">
      <c r="H5269" s="198" t="n">
        <v>0</v>
      </c>
    </row>
    <row r="5270" ht="15" customHeight="1" s="104">
      <c r="H5270" s="198" t="n">
        <v>0</v>
      </c>
    </row>
    <row r="5271" ht="15" customHeight="1" s="104">
      <c r="H5271" s="198" t="n">
        <v>0</v>
      </c>
    </row>
    <row r="5272" ht="15" customHeight="1" s="104">
      <c r="H5272" s="198" t="n">
        <v>0</v>
      </c>
    </row>
    <row r="5273" ht="15" customHeight="1" s="104">
      <c r="H5273" s="198" t="n">
        <v>0</v>
      </c>
    </row>
    <row r="5274" ht="15" customHeight="1" s="104">
      <c r="H5274" s="198" t="n">
        <v>0</v>
      </c>
    </row>
    <row r="5275" ht="15" customHeight="1" s="104">
      <c r="H5275" s="198" t="n">
        <v>0</v>
      </c>
    </row>
    <row r="5276" ht="15" customHeight="1" s="104">
      <c r="H5276" s="198" t="n">
        <v>0</v>
      </c>
    </row>
    <row r="5277" ht="15" customHeight="1" s="104">
      <c r="H5277" s="198" t="n">
        <v>0</v>
      </c>
    </row>
    <row r="5278" ht="15" customHeight="1" s="104">
      <c r="H5278" s="198" t="n">
        <v>0</v>
      </c>
    </row>
    <row r="5279" ht="15" customHeight="1" s="104">
      <c r="H5279" s="198" t="n">
        <v>0</v>
      </c>
    </row>
    <row r="5280" ht="15" customHeight="1" s="104">
      <c r="H5280" s="198" t="n">
        <v>0</v>
      </c>
    </row>
    <row r="5281" ht="15" customHeight="1" s="104">
      <c r="H5281" s="198" t="n">
        <v>0</v>
      </c>
    </row>
    <row r="5282" ht="15" customHeight="1" s="104">
      <c r="H5282" s="198" t="n">
        <v>0</v>
      </c>
    </row>
    <row r="5283" ht="15" customHeight="1" s="104">
      <c r="H5283" s="198" t="n">
        <v>0</v>
      </c>
    </row>
    <row r="5284" ht="15" customHeight="1" s="104">
      <c r="H5284" s="198" t="n">
        <v>0</v>
      </c>
    </row>
    <row r="5285" ht="15" customHeight="1" s="104">
      <c r="H5285" s="198" t="n">
        <v>0</v>
      </c>
    </row>
    <row r="5286" ht="15" customHeight="1" s="104">
      <c r="H5286" s="198" t="n">
        <v>0</v>
      </c>
    </row>
    <row r="5287" ht="15" customHeight="1" s="104">
      <c r="H5287" s="198" t="n">
        <v>0</v>
      </c>
    </row>
    <row r="5288" ht="15" customHeight="1" s="104">
      <c r="H5288" s="198" t="n">
        <v>0</v>
      </c>
    </row>
    <row r="5289" ht="15" customHeight="1" s="104">
      <c r="H5289" s="198" t="n">
        <v>0</v>
      </c>
    </row>
    <row r="5290" ht="15" customHeight="1" s="104">
      <c r="H5290" s="198" t="n">
        <v>0</v>
      </c>
    </row>
    <row r="5291" ht="15" customHeight="1" s="104">
      <c r="H5291" s="198" t="n">
        <v>0</v>
      </c>
    </row>
    <row r="5292" ht="15" customHeight="1" s="104">
      <c r="H5292" s="198" t="n">
        <v>0</v>
      </c>
    </row>
    <row r="5293" ht="15" customHeight="1" s="104">
      <c r="H5293" s="198" t="n">
        <v>0</v>
      </c>
    </row>
    <row r="5294" ht="15" customHeight="1" s="104">
      <c r="H5294" s="198" t="n">
        <v>0</v>
      </c>
    </row>
    <row r="5295" ht="15" customHeight="1" s="104">
      <c r="H5295" s="198" t="n">
        <v>0</v>
      </c>
    </row>
    <row r="5296" ht="15" customHeight="1" s="104">
      <c r="H5296" s="198" t="n">
        <v>0</v>
      </c>
    </row>
    <row r="5297" ht="15" customHeight="1" s="104">
      <c r="H5297" s="198" t="n">
        <v>0</v>
      </c>
    </row>
    <row r="5298" ht="15" customHeight="1" s="104">
      <c r="H5298" s="198" t="n">
        <v>0</v>
      </c>
    </row>
    <row r="5299" ht="15" customHeight="1" s="104">
      <c r="H5299" s="198" t="n">
        <v>0</v>
      </c>
    </row>
    <row r="5300" ht="15" customHeight="1" s="104">
      <c r="H5300" s="198" t="n">
        <v>0</v>
      </c>
    </row>
    <row r="5301" ht="15" customHeight="1" s="104">
      <c r="H5301" s="198" t="n">
        <v>0</v>
      </c>
    </row>
    <row r="5302" ht="15" customHeight="1" s="104">
      <c r="H5302" s="198" t="n">
        <v>0</v>
      </c>
    </row>
    <row r="5303" ht="15" customHeight="1" s="104">
      <c r="H5303" s="198" t="n">
        <v>0</v>
      </c>
    </row>
    <row r="5304" ht="15" customHeight="1" s="104">
      <c r="H5304" s="198" t="n">
        <v>0</v>
      </c>
    </row>
    <row r="5305" ht="15" customHeight="1" s="104">
      <c r="H5305" s="198" t="n">
        <v>0</v>
      </c>
    </row>
    <row r="5306" ht="15" customHeight="1" s="104">
      <c r="H5306" s="198" t="n">
        <v>0</v>
      </c>
    </row>
    <row r="5307" ht="15" customHeight="1" s="104">
      <c r="H5307" s="198" t="n">
        <v>0</v>
      </c>
    </row>
    <row r="5308" ht="15" customHeight="1" s="104">
      <c r="H5308" s="198" t="n">
        <v>0</v>
      </c>
    </row>
    <row r="5309" ht="15" customHeight="1" s="104">
      <c r="H5309" s="198" t="n">
        <v>0</v>
      </c>
    </row>
    <row r="5310" ht="15" customHeight="1" s="104">
      <c r="H5310" s="198" t="n">
        <v>0</v>
      </c>
    </row>
    <row r="5311" ht="15" customHeight="1" s="104">
      <c r="H5311" s="198" t="n">
        <v>0</v>
      </c>
    </row>
    <row r="5312" ht="15" customHeight="1" s="104">
      <c r="H5312" s="198" t="n">
        <v>0</v>
      </c>
    </row>
    <row r="5313" ht="15" customHeight="1" s="104">
      <c r="H5313" s="198" t="n">
        <v>0</v>
      </c>
    </row>
    <row r="5314" ht="15" customHeight="1" s="104">
      <c r="H5314" s="198" t="n">
        <v>0</v>
      </c>
    </row>
    <row r="5315" ht="15" customHeight="1" s="104">
      <c r="H5315" s="198" t="n">
        <v>0</v>
      </c>
    </row>
    <row r="5316" ht="15" customHeight="1" s="104">
      <c r="H5316" s="198" t="n">
        <v>0</v>
      </c>
    </row>
    <row r="5317" ht="15" customHeight="1" s="104">
      <c r="H5317" s="198" t="n">
        <v>0</v>
      </c>
    </row>
    <row r="5318" ht="15" customHeight="1" s="104">
      <c r="H5318" s="198" t="n">
        <v>0</v>
      </c>
    </row>
    <row r="5319" ht="15" customHeight="1" s="104">
      <c r="H5319" s="198" t="n">
        <v>0</v>
      </c>
    </row>
    <row r="5320" ht="15" customHeight="1" s="104">
      <c r="H5320" s="198" t="n">
        <v>0</v>
      </c>
    </row>
    <row r="5321" ht="15" customHeight="1" s="104">
      <c r="H5321" s="198" t="n">
        <v>0</v>
      </c>
    </row>
    <row r="5322" ht="15" customHeight="1" s="104">
      <c r="H5322" s="198" t="n">
        <v>0</v>
      </c>
    </row>
    <row r="5323" ht="15" customHeight="1" s="104">
      <c r="H5323" s="198" t="n">
        <v>0</v>
      </c>
    </row>
    <row r="5324" ht="15" customHeight="1" s="104">
      <c r="H5324" s="198" t="n">
        <v>0</v>
      </c>
    </row>
    <row r="5325" ht="15" customHeight="1" s="104">
      <c r="H5325" s="198" t="n">
        <v>0</v>
      </c>
    </row>
    <row r="5326" ht="15" customHeight="1" s="104">
      <c r="H5326" s="198" t="n">
        <v>0</v>
      </c>
    </row>
    <row r="5327" ht="15" customHeight="1" s="104">
      <c r="H5327" s="198" t="n">
        <v>0</v>
      </c>
    </row>
    <row r="5328" ht="15" customHeight="1" s="104">
      <c r="H5328" s="198" t="n">
        <v>0</v>
      </c>
    </row>
    <row r="5329" ht="15" customHeight="1" s="104">
      <c r="H5329" s="198" t="n">
        <v>0</v>
      </c>
    </row>
    <row r="5330" ht="15" customHeight="1" s="104">
      <c r="H5330" s="198" t="n">
        <v>0</v>
      </c>
    </row>
    <row r="5331" ht="15" customHeight="1" s="104">
      <c r="H5331" s="198" t="n">
        <v>0</v>
      </c>
    </row>
    <row r="5332" ht="15" customHeight="1" s="104">
      <c r="H5332" s="198" t="n">
        <v>0</v>
      </c>
    </row>
    <row r="5333" ht="15" customHeight="1" s="104">
      <c r="H5333" s="198" t="n">
        <v>0</v>
      </c>
    </row>
    <row r="5334" ht="15" customHeight="1" s="104">
      <c r="H5334" s="198" t="n">
        <v>0</v>
      </c>
    </row>
    <row r="5335" ht="15" customHeight="1" s="104">
      <c r="H5335" s="198" t="n">
        <v>0</v>
      </c>
    </row>
    <row r="5336" ht="15" customHeight="1" s="104">
      <c r="H5336" s="198" t="n">
        <v>0</v>
      </c>
    </row>
    <row r="5337" ht="15" customHeight="1" s="104">
      <c r="H5337" s="198" t="n">
        <v>0</v>
      </c>
    </row>
    <row r="5338" ht="15" customHeight="1" s="104">
      <c r="H5338" s="198" t="n">
        <v>0</v>
      </c>
    </row>
    <row r="5339" ht="15" customHeight="1" s="104">
      <c r="H5339" s="198" t="n">
        <v>0</v>
      </c>
    </row>
    <row r="5340" ht="15" customHeight="1" s="104">
      <c r="H5340" s="198" t="n">
        <v>0</v>
      </c>
    </row>
    <row r="5341" ht="15" customHeight="1" s="104">
      <c r="H5341" s="198" t="n">
        <v>0</v>
      </c>
    </row>
    <row r="5342" ht="15" customHeight="1" s="104">
      <c r="H5342" s="198" t="n">
        <v>0</v>
      </c>
    </row>
    <row r="5343" ht="15" customHeight="1" s="104">
      <c r="H5343" s="198" t="n">
        <v>0</v>
      </c>
    </row>
    <row r="5344" ht="15" customHeight="1" s="104">
      <c r="H5344" s="198" t="n">
        <v>0</v>
      </c>
    </row>
    <row r="5345" ht="15" customHeight="1" s="104">
      <c r="H5345" s="198" t="n">
        <v>0</v>
      </c>
    </row>
    <row r="5346" ht="15" customHeight="1" s="104">
      <c r="H5346" s="198" t="n">
        <v>0</v>
      </c>
    </row>
    <row r="5347" ht="15" customHeight="1" s="104">
      <c r="H5347" s="198" t="n">
        <v>0</v>
      </c>
    </row>
    <row r="5348" ht="15" customHeight="1" s="104">
      <c r="H5348" s="198" t="n">
        <v>0</v>
      </c>
    </row>
    <row r="5349" ht="15" customHeight="1" s="104">
      <c r="H5349" s="198" t="n">
        <v>0</v>
      </c>
    </row>
    <row r="5350" ht="15" customHeight="1" s="104">
      <c r="H5350" s="198" t="n">
        <v>0</v>
      </c>
    </row>
    <row r="5351" ht="15" customHeight="1" s="104">
      <c r="H5351" s="198" t="n">
        <v>0</v>
      </c>
    </row>
    <row r="5352" ht="15" customHeight="1" s="104">
      <c r="H5352" s="198" t="n">
        <v>0</v>
      </c>
    </row>
    <row r="5353" ht="15" customHeight="1" s="104">
      <c r="H5353" s="198" t="n">
        <v>0</v>
      </c>
    </row>
    <row r="5354" ht="15" customHeight="1" s="104">
      <c r="H5354" s="198" t="n">
        <v>0</v>
      </c>
    </row>
    <row r="5355" ht="15" customHeight="1" s="104">
      <c r="H5355" s="198" t="n">
        <v>0</v>
      </c>
    </row>
    <row r="5356" ht="15" customHeight="1" s="104">
      <c r="H5356" s="198" t="n">
        <v>0</v>
      </c>
    </row>
    <row r="5357" ht="15" customHeight="1" s="104">
      <c r="H5357" s="198" t="n">
        <v>0</v>
      </c>
    </row>
    <row r="5358" ht="15" customHeight="1" s="104">
      <c r="H5358" s="198" t="n">
        <v>0</v>
      </c>
    </row>
    <row r="5359" ht="15" customHeight="1" s="104">
      <c r="H5359" s="198" t="n">
        <v>0</v>
      </c>
    </row>
    <row r="5360" ht="15" customHeight="1" s="104">
      <c r="H5360" s="198" t="n">
        <v>0</v>
      </c>
    </row>
    <row r="5361" ht="15" customHeight="1" s="104">
      <c r="H5361" s="198" t="n">
        <v>0</v>
      </c>
    </row>
    <row r="5362" ht="15" customHeight="1" s="104">
      <c r="H5362" s="198" t="n">
        <v>0</v>
      </c>
    </row>
    <row r="5363" ht="15" customHeight="1" s="104">
      <c r="H5363" s="198" t="n">
        <v>0</v>
      </c>
    </row>
    <row r="5364" ht="15" customHeight="1" s="104">
      <c r="H5364" s="198" t="n">
        <v>0</v>
      </c>
    </row>
    <row r="5365" ht="15" customHeight="1" s="104">
      <c r="H5365" s="198" t="n">
        <v>0</v>
      </c>
    </row>
    <row r="5366" ht="15" customHeight="1" s="104">
      <c r="H5366" s="198" t="n">
        <v>0</v>
      </c>
    </row>
    <row r="5367" ht="15" customHeight="1" s="104">
      <c r="H5367" s="198" t="n">
        <v>0</v>
      </c>
    </row>
    <row r="5368" ht="15" customHeight="1" s="104">
      <c r="H5368" s="198" t="n">
        <v>0</v>
      </c>
    </row>
    <row r="5369" ht="15" customHeight="1" s="104">
      <c r="H5369" s="198" t="n">
        <v>0</v>
      </c>
    </row>
    <row r="5370" ht="15" customHeight="1" s="104">
      <c r="H5370" s="198" t="n">
        <v>0</v>
      </c>
    </row>
    <row r="5371" ht="15" customHeight="1" s="104">
      <c r="H5371" s="198" t="n">
        <v>0</v>
      </c>
    </row>
    <row r="5372" ht="15" customHeight="1" s="104">
      <c r="H5372" s="198" t="n">
        <v>0</v>
      </c>
    </row>
    <row r="5373" ht="15" customHeight="1" s="104">
      <c r="H5373" s="198" t="n">
        <v>0</v>
      </c>
    </row>
    <row r="5374" ht="15" customHeight="1" s="104">
      <c r="H5374" s="198" t="n">
        <v>0</v>
      </c>
    </row>
    <row r="5375" ht="15" customHeight="1" s="104">
      <c r="H5375" s="198" t="n">
        <v>0</v>
      </c>
    </row>
    <row r="5376" ht="15" customHeight="1" s="104">
      <c r="H5376" s="198" t="n">
        <v>0</v>
      </c>
    </row>
    <row r="5377" ht="15" customHeight="1" s="104">
      <c r="H5377" s="198" t="n">
        <v>0</v>
      </c>
    </row>
    <row r="5378" ht="15" customHeight="1" s="104">
      <c r="H5378" s="198" t="n">
        <v>0</v>
      </c>
    </row>
    <row r="5379" ht="15" customHeight="1" s="104">
      <c r="H5379" s="198" t="n">
        <v>0</v>
      </c>
    </row>
    <row r="5380" ht="15" customHeight="1" s="104">
      <c r="H5380" s="198" t="n">
        <v>0</v>
      </c>
    </row>
    <row r="5381" ht="15" customHeight="1" s="104">
      <c r="H5381" s="198" t="n">
        <v>0</v>
      </c>
    </row>
    <row r="5382" ht="15" customHeight="1" s="104">
      <c r="H5382" s="198" t="n">
        <v>0</v>
      </c>
    </row>
    <row r="5383" ht="15" customHeight="1" s="104">
      <c r="H5383" s="198" t="n">
        <v>0</v>
      </c>
    </row>
    <row r="5384" ht="15" customHeight="1" s="104">
      <c r="H5384" s="198" t="n">
        <v>0</v>
      </c>
    </row>
    <row r="5385" ht="15" customHeight="1" s="104">
      <c r="H5385" s="198" t="n">
        <v>0</v>
      </c>
    </row>
    <row r="5386" ht="15" customHeight="1" s="104">
      <c r="H5386" s="198" t="n">
        <v>0</v>
      </c>
    </row>
    <row r="5387" ht="15" customHeight="1" s="104">
      <c r="H5387" s="198" t="n">
        <v>0</v>
      </c>
    </row>
    <row r="5388" ht="15" customHeight="1" s="104">
      <c r="H5388" s="198" t="n">
        <v>0</v>
      </c>
    </row>
    <row r="5389" ht="15" customHeight="1" s="104">
      <c r="H5389" s="198" t="n">
        <v>0</v>
      </c>
    </row>
    <row r="5390" ht="15" customHeight="1" s="104">
      <c r="H5390" s="198" t="n">
        <v>0</v>
      </c>
    </row>
    <row r="5391" ht="15" customHeight="1" s="104">
      <c r="H5391" s="198" t="n">
        <v>0</v>
      </c>
    </row>
    <row r="5392" ht="15" customHeight="1" s="104">
      <c r="H5392" s="198" t="n">
        <v>0</v>
      </c>
    </row>
    <row r="5393" ht="15" customHeight="1" s="104">
      <c r="H5393" s="198" t="n">
        <v>0</v>
      </c>
    </row>
    <row r="5394" ht="15" customHeight="1" s="104">
      <c r="H5394" s="198" t="n">
        <v>0</v>
      </c>
    </row>
    <row r="5395" ht="15" customHeight="1" s="104">
      <c r="H5395" s="198" t="n">
        <v>0</v>
      </c>
    </row>
    <row r="5396" ht="15" customHeight="1" s="104">
      <c r="H5396" s="198" t="n">
        <v>0</v>
      </c>
    </row>
    <row r="5397" ht="15" customHeight="1" s="104">
      <c r="H5397" s="198" t="n">
        <v>0</v>
      </c>
    </row>
    <row r="5398" ht="15" customHeight="1" s="104">
      <c r="H5398" s="198" t="n">
        <v>0</v>
      </c>
    </row>
    <row r="5399" ht="15" customHeight="1" s="104">
      <c r="H5399" s="198" t="n">
        <v>0</v>
      </c>
    </row>
    <row r="5400" ht="15" customHeight="1" s="104">
      <c r="H5400" s="198" t="n">
        <v>0</v>
      </c>
    </row>
    <row r="5401" ht="15" customHeight="1" s="104">
      <c r="H5401" s="198" t="n">
        <v>0</v>
      </c>
    </row>
    <row r="5402" ht="15" customHeight="1" s="104">
      <c r="H5402" s="198" t="n">
        <v>0</v>
      </c>
    </row>
    <row r="5403" ht="15" customHeight="1" s="104">
      <c r="H5403" s="198" t="n">
        <v>0</v>
      </c>
    </row>
    <row r="5404" ht="15" customHeight="1" s="104">
      <c r="H5404" s="198" t="n">
        <v>0</v>
      </c>
    </row>
    <row r="5405" ht="15" customHeight="1" s="104">
      <c r="H5405" s="198" t="n">
        <v>0</v>
      </c>
    </row>
    <row r="5406" ht="15" customHeight="1" s="104">
      <c r="H5406" s="198" t="n">
        <v>0</v>
      </c>
    </row>
    <row r="5407" ht="15" customHeight="1" s="104">
      <c r="H5407" s="198" t="n">
        <v>0</v>
      </c>
    </row>
    <row r="5408" ht="15" customHeight="1" s="104">
      <c r="H5408" s="198" t="n">
        <v>0</v>
      </c>
    </row>
    <row r="5409" ht="15" customHeight="1" s="104">
      <c r="H5409" s="198" t="n">
        <v>0</v>
      </c>
    </row>
    <row r="5410" ht="15" customHeight="1" s="104">
      <c r="H5410" s="198" t="n">
        <v>0</v>
      </c>
    </row>
    <row r="5411" ht="15" customHeight="1" s="104">
      <c r="H5411" s="198" t="n">
        <v>0</v>
      </c>
    </row>
    <row r="5412" ht="15" customHeight="1" s="104">
      <c r="H5412" s="198" t="n">
        <v>0</v>
      </c>
    </row>
    <row r="5413" ht="15" customHeight="1" s="104">
      <c r="H5413" s="198" t="n">
        <v>0</v>
      </c>
    </row>
    <row r="5414" ht="15" customHeight="1" s="104">
      <c r="H5414" s="198" t="n">
        <v>0</v>
      </c>
    </row>
    <row r="5415" ht="15" customHeight="1" s="104">
      <c r="H5415" s="198" t="n">
        <v>0</v>
      </c>
    </row>
    <row r="5416" ht="15" customHeight="1" s="104">
      <c r="H5416" s="198" t="n">
        <v>0</v>
      </c>
    </row>
    <row r="5417" ht="15" customHeight="1" s="104">
      <c r="H5417" s="198" t="n">
        <v>0</v>
      </c>
    </row>
    <row r="5418" ht="15" customHeight="1" s="104">
      <c r="H5418" s="198" t="n">
        <v>0</v>
      </c>
    </row>
    <row r="5419" ht="15" customHeight="1" s="104">
      <c r="H5419" s="198" t="n">
        <v>0</v>
      </c>
    </row>
    <row r="5420" ht="15" customHeight="1" s="104">
      <c r="H5420" s="198" t="n">
        <v>0</v>
      </c>
    </row>
    <row r="5421" ht="15" customHeight="1" s="104">
      <c r="H5421" s="198" t="n">
        <v>0</v>
      </c>
    </row>
    <row r="5422" ht="15" customHeight="1" s="104">
      <c r="H5422" s="198" t="n">
        <v>0</v>
      </c>
    </row>
    <row r="5423" ht="15" customHeight="1" s="104">
      <c r="H5423" s="198" t="n">
        <v>0</v>
      </c>
    </row>
    <row r="5424" ht="15" customHeight="1" s="104">
      <c r="H5424" s="198" t="n">
        <v>0</v>
      </c>
    </row>
    <row r="5425" ht="15" customHeight="1" s="104">
      <c r="H5425" s="198" t="n">
        <v>0</v>
      </c>
    </row>
    <row r="5426" ht="15" customHeight="1" s="104">
      <c r="H5426" s="198" t="n">
        <v>0</v>
      </c>
    </row>
    <row r="5427" ht="15" customHeight="1" s="104">
      <c r="H5427" s="198" t="n">
        <v>0</v>
      </c>
    </row>
    <row r="5428" ht="15" customHeight="1" s="104">
      <c r="H5428" s="198" t="n">
        <v>0</v>
      </c>
    </row>
    <row r="5429" ht="15" customHeight="1" s="104">
      <c r="H5429" s="198" t="n">
        <v>0</v>
      </c>
    </row>
    <row r="5430" ht="15" customHeight="1" s="104">
      <c r="H5430" s="198" t="n">
        <v>0</v>
      </c>
    </row>
    <row r="5431" ht="15" customHeight="1" s="104">
      <c r="H5431" s="198" t="n">
        <v>0</v>
      </c>
    </row>
    <row r="5432" ht="15" customHeight="1" s="104">
      <c r="H5432" s="198" t="n">
        <v>0</v>
      </c>
    </row>
    <row r="5433" ht="15" customHeight="1" s="104">
      <c r="H5433" s="198" t="n">
        <v>0</v>
      </c>
    </row>
    <row r="5434" ht="15" customHeight="1" s="104">
      <c r="H5434" s="198" t="n">
        <v>0</v>
      </c>
    </row>
    <row r="5435" ht="15" customHeight="1" s="104">
      <c r="H5435" s="198" t="n">
        <v>0</v>
      </c>
    </row>
    <row r="5436" ht="15" customHeight="1" s="104">
      <c r="H5436" s="198" t="n">
        <v>0</v>
      </c>
    </row>
    <row r="5437" ht="15" customHeight="1" s="104">
      <c r="H5437" s="198" t="n">
        <v>0</v>
      </c>
    </row>
    <row r="5438" ht="15" customHeight="1" s="104">
      <c r="H5438" s="198" t="n">
        <v>0</v>
      </c>
    </row>
    <row r="5439" ht="15" customHeight="1" s="104">
      <c r="H5439" s="198" t="n">
        <v>0</v>
      </c>
    </row>
    <row r="5440" ht="15" customHeight="1" s="104">
      <c r="H5440" s="198" t="n">
        <v>0</v>
      </c>
    </row>
    <row r="5441" ht="15" customHeight="1" s="104">
      <c r="H5441" s="198" t="n">
        <v>0</v>
      </c>
    </row>
    <row r="5442" ht="15" customHeight="1" s="104">
      <c r="H5442" s="198" t="n">
        <v>0</v>
      </c>
    </row>
    <row r="5443" ht="15" customHeight="1" s="104">
      <c r="H5443" s="198" t="n">
        <v>0</v>
      </c>
    </row>
    <row r="5444" ht="15" customHeight="1" s="104">
      <c r="H5444" s="198" t="n">
        <v>0</v>
      </c>
    </row>
    <row r="5445" ht="15" customHeight="1" s="104">
      <c r="H5445" s="198" t="n">
        <v>0</v>
      </c>
    </row>
    <row r="5446" ht="15" customHeight="1" s="104">
      <c r="H5446" s="198" t="n">
        <v>0</v>
      </c>
    </row>
    <row r="5447" ht="15" customHeight="1" s="104">
      <c r="H5447" s="198" t="n">
        <v>0</v>
      </c>
    </row>
    <row r="5448" ht="15" customHeight="1" s="104">
      <c r="H5448" s="198" t="n">
        <v>0</v>
      </c>
    </row>
    <row r="5449" ht="15" customHeight="1" s="104">
      <c r="H5449" s="198" t="n">
        <v>0</v>
      </c>
    </row>
    <row r="5450" ht="15" customHeight="1" s="104">
      <c r="H5450" s="198" t="n">
        <v>0</v>
      </c>
    </row>
    <row r="5451" ht="15" customHeight="1" s="104">
      <c r="H5451" s="198" t="n">
        <v>0</v>
      </c>
    </row>
    <row r="5452" ht="15" customHeight="1" s="104">
      <c r="H5452" s="198" t="n">
        <v>0</v>
      </c>
    </row>
    <row r="5453" ht="15" customHeight="1" s="104">
      <c r="H5453" s="198" t="n">
        <v>0</v>
      </c>
    </row>
    <row r="5454" ht="15" customHeight="1" s="104">
      <c r="H5454" s="198" t="n">
        <v>0</v>
      </c>
    </row>
    <row r="5455" ht="15" customHeight="1" s="104">
      <c r="H5455" s="198" t="n">
        <v>0</v>
      </c>
    </row>
    <row r="5456" ht="15" customHeight="1" s="104">
      <c r="H5456" s="198" t="n">
        <v>0</v>
      </c>
    </row>
    <row r="5457" ht="15" customHeight="1" s="104">
      <c r="H5457" s="198" t="n">
        <v>0</v>
      </c>
    </row>
    <row r="5458" ht="15" customHeight="1" s="104">
      <c r="H5458" s="198" t="n">
        <v>0</v>
      </c>
    </row>
    <row r="5459" ht="15" customHeight="1" s="104">
      <c r="H5459" s="198" t="n">
        <v>0</v>
      </c>
    </row>
    <row r="5460" ht="15" customHeight="1" s="104">
      <c r="H5460" s="198" t="n">
        <v>0</v>
      </c>
    </row>
    <row r="5461" ht="15" customHeight="1" s="104">
      <c r="H5461" s="198" t="n">
        <v>0</v>
      </c>
    </row>
    <row r="5462" ht="15" customHeight="1" s="104">
      <c r="H5462" s="198" t="n">
        <v>0</v>
      </c>
    </row>
    <row r="5463" ht="15" customHeight="1" s="104">
      <c r="H5463" s="198" t="n">
        <v>0</v>
      </c>
    </row>
    <row r="5464" ht="15" customHeight="1" s="104">
      <c r="H5464" s="198" t="n">
        <v>0</v>
      </c>
    </row>
    <row r="5465" ht="15" customHeight="1" s="104">
      <c r="H5465" s="198" t="n">
        <v>0</v>
      </c>
    </row>
    <row r="5466" ht="15" customHeight="1" s="104">
      <c r="H5466" s="198" t="n">
        <v>0</v>
      </c>
    </row>
    <row r="5467" ht="15" customHeight="1" s="104">
      <c r="H5467" s="198" t="n">
        <v>0</v>
      </c>
    </row>
    <row r="5468" ht="15" customHeight="1" s="104">
      <c r="H5468" s="198" t="n">
        <v>0</v>
      </c>
    </row>
    <row r="5469" ht="15" customHeight="1" s="104">
      <c r="H5469" s="198" t="n">
        <v>0</v>
      </c>
    </row>
    <row r="5470" ht="15" customHeight="1" s="104">
      <c r="H5470" s="198" t="n">
        <v>0</v>
      </c>
    </row>
    <row r="5471" ht="15" customHeight="1" s="104">
      <c r="H5471" s="198" t="n">
        <v>0</v>
      </c>
    </row>
    <row r="5472" ht="15" customHeight="1" s="104">
      <c r="H5472" s="198" t="n">
        <v>0</v>
      </c>
    </row>
    <row r="5473" ht="15" customHeight="1" s="104">
      <c r="H5473" s="198" t="n">
        <v>0</v>
      </c>
    </row>
    <row r="5474" ht="15" customHeight="1" s="104">
      <c r="H5474" s="198" t="n">
        <v>0</v>
      </c>
    </row>
    <row r="5475" ht="15" customHeight="1" s="104">
      <c r="H5475" s="198" t="n">
        <v>0</v>
      </c>
    </row>
    <row r="5476" ht="15" customHeight="1" s="104">
      <c r="H5476" s="198" t="n">
        <v>0</v>
      </c>
    </row>
    <row r="5477" ht="15" customHeight="1" s="104">
      <c r="H5477" s="198" t="n">
        <v>0</v>
      </c>
    </row>
    <row r="5478" ht="15" customHeight="1" s="104">
      <c r="H5478" s="198" t="n">
        <v>0</v>
      </c>
    </row>
    <row r="5479" ht="15" customHeight="1" s="104">
      <c r="H5479" s="198" t="n">
        <v>0</v>
      </c>
    </row>
    <row r="5480" ht="15" customHeight="1" s="104">
      <c r="H5480" s="198" t="n">
        <v>0</v>
      </c>
    </row>
    <row r="5481" ht="15" customHeight="1" s="104">
      <c r="H5481" s="198" t="n">
        <v>0</v>
      </c>
    </row>
    <row r="5482" ht="15" customHeight="1" s="104">
      <c r="H5482" s="198" t="n">
        <v>0</v>
      </c>
    </row>
    <row r="5483" ht="15" customHeight="1" s="104">
      <c r="H5483" s="198" t="n">
        <v>0</v>
      </c>
    </row>
    <row r="5484" ht="15" customHeight="1" s="104">
      <c r="H5484" s="198" t="n">
        <v>0</v>
      </c>
    </row>
    <row r="5485" ht="15" customHeight="1" s="104">
      <c r="H5485" s="198" t="n">
        <v>0</v>
      </c>
    </row>
    <row r="5486" ht="15" customHeight="1" s="104">
      <c r="H5486" s="198" t="n">
        <v>0</v>
      </c>
    </row>
    <row r="5487" ht="15" customHeight="1" s="104">
      <c r="H5487" s="198" t="n">
        <v>0</v>
      </c>
    </row>
    <row r="5488" ht="15" customHeight="1" s="104">
      <c r="H5488" s="198" t="n">
        <v>0</v>
      </c>
    </row>
    <row r="5489" ht="15" customHeight="1" s="104">
      <c r="H5489" s="198" t="n">
        <v>0</v>
      </c>
    </row>
    <row r="5490" ht="15" customHeight="1" s="104">
      <c r="H5490" s="198" t="n">
        <v>0</v>
      </c>
    </row>
    <row r="5491" ht="15" customHeight="1" s="104">
      <c r="H5491" s="198" t="n">
        <v>0</v>
      </c>
    </row>
    <row r="5492" ht="15" customHeight="1" s="104">
      <c r="H5492" s="198" t="n">
        <v>0</v>
      </c>
    </row>
    <row r="5493" ht="15" customHeight="1" s="104">
      <c r="H5493" s="198" t="n">
        <v>0</v>
      </c>
    </row>
    <row r="5494" ht="15" customHeight="1" s="104">
      <c r="H5494" s="198" t="n">
        <v>0</v>
      </c>
    </row>
    <row r="5495" ht="15" customHeight="1" s="104">
      <c r="H5495" s="198" t="n">
        <v>0</v>
      </c>
    </row>
    <row r="5496" ht="15" customHeight="1" s="104">
      <c r="H5496" s="198" t="n">
        <v>0</v>
      </c>
    </row>
    <row r="5497" ht="15" customHeight="1" s="104">
      <c r="H5497" s="198" t="n">
        <v>0</v>
      </c>
    </row>
    <row r="5498" ht="15" customHeight="1" s="104">
      <c r="H5498" s="198" t="n">
        <v>0</v>
      </c>
    </row>
    <row r="5499" ht="15" customHeight="1" s="104">
      <c r="H5499" s="198" t="n">
        <v>0</v>
      </c>
    </row>
    <row r="5500" ht="15" customHeight="1" s="104">
      <c r="H5500" s="198" t="n">
        <v>0</v>
      </c>
    </row>
    <row r="5501" ht="15" customHeight="1" s="104">
      <c r="H5501" s="198" t="n">
        <v>0</v>
      </c>
    </row>
    <row r="5502" ht="15" customHeight="1" s="104">
      <c r="H5502" s="198" t="n">
        <v>0</v>
      </c>
    </row>
    <row r="5503" ht="15" customHeight="1" s="104">
      <c r="H5503" s="198" t="n">
        <v>0</v>
      </c>
    </row>
    <row r="5504" ht="15" customHeight="1" s="104">
      <c r="H5504" s="198" t="n">
        <v>0</v>
      </c>
    </row>
    <row r="5505" ht="15" customHeight="1" s="104">
      <c r="H5505" s="198" t="n">
        <v>0</v>
      </c>
    </row>
    <row r="5506" ht="15" customHeight="1" s="104">
      <c r="H5506" s="198" t="n">
        <v>0</v>
      </c>
    </row>
    <row r="5507" ht="15" customHeight="1" s="104">
      <c r="H5507" s="198" t="n">
        <v>0</v>
      </c>
    </row>
    <row r="5508" ht="15" customHeight="1" s="104">
      <c r="H5508" s="198" t="n">
        <v>0</v>
      </c>
    </row>
    <row r="5509" ht="15" customHeight="1" s="104">
      <c r="H5509" s="198" t="n">
        <v>0</v>
      </c>
    </row>
    <row r="5510" ht="15" customHeight="1" s="104">
      <c r="H5510" s="198" t="n">
        <v>0</v>
      </c>
    </row>
    <row r="5511" ht="15" customHeight="1" s="104">
      <c r="H5511" s="198" t="n">
        <v>0</v>
      </c>
    </row>
    <row r="5512" ht="15" customHeight="1" s="104">
      <c r="H5512" s="198" t="n">
        <v>0</v>
      </c>
    </row>
    <row r="5513" ht="15" customHeight="1" s="104">
      <c r="H5513" s="198" t="n">
        <v>0</v>
      </c>
    </row>
    <row r="5514" ht="15" customHeight="1" s="104">
      <c r="H5514" s="198" t="n">
        <v>0</v>
      </c>
    </row>
    <row r="5515" ht="15" customHeight="1" s="104">
      <c r="H5515" s="198" t="n">
        <v>0</v>
      </c>
    </row>
    <row r="5516" ht="15" customHeight="1" s="104">
      <c r="H5516" s="198" t="n">
        <v>0</v>
      </c>
    </row>
    <row r="5517" ht="15" customHeight="1" s="104">
      <c r="H5517" s="198" t="n">
        <v>0</v>
      </c>
    </row>
    <row r="5518" ht="15" customHeight="1" s="104">
      <c r="H5518" s="198" t="n">
        <v>0</v>
      </c>
    </row>
    <row r="5519" ht="15" customHeight="1" s="104">
      <c r="H5519" s="198" t="n">
        <v>0</v>
      </c>
    </row>
    <row r="5520" ht="15" customHeight="1" s="104">
      <c r="H5520" s="198" t="n">
        <v>0</v>
      </c>
    </row>
    <row r="5521" ht="15" customHeight="1" s="104">
      <c r="H5521" s="198" t="n">
        <v>0</v>
      </c>
    </row>
    <row r="5522" ht="15" customHeight="1" s="104">
      <c r="H5522" s="198" t="n">
        <v>0</v>
      </c>
    </row>
    <row r="5523" ht="15" customHeight="1" s="104">
      <c r="H5523" s="198" t="n">
        <v>0</v>
      </c>
    </row>
    <row r="5524" ht="15" customHeight="1" s="104">
      <c r="H5524" s="198" t="n">
        <v>0</v>
      </c>
    </row>
    <row r="5525" ht="15" customHeight="1" s="104">
      <c r="H5525" s="198" t="n">
        <v>0</v>
      </c>
    </row>
    <row r="5526" ht="15" customHeight="1" s="104">
      <c r="H5526" s="198" t="n">
        <v>0</v>
      </c>
    </row>
    <row r="5527" ht="15" customHeight="1" s="104">
      <c r="H5527" s="198" t="n">
        <v>0</v>
      </c>
    </row>
    <row r="5528" ht="15" customHeight="1" s="104">
      <c r="H5528" s="198" t="n">
        <v>0</v>
      </c>
    </row>
    <row r="5529" ht="15" customHeight="1" s="104">
      <c r="H5529" s="198" t="n">
        <v>0</v>
      </c>
    </row>
    <row r="5530" ht="15" customHeight="1" s="104">
      <c r="H5530" s="198" t="n">
        <v>0</v>
      </c>
    </row>
    <row r="5531" ht="15" customHeight="1" s="104">
      <c r="H5531" s="198" t="n">
        <v>0</v>
      </c>
    </row>
    <row r="5532" ht="15" customHeight="1" s="104">
      <c r="H5532" s="198" t="n">
        <v>0</v>
      </c>
    </row>
    <row r="5533" ht="15" customHeight="1" s="104">
      <c r="H5533" s="198" t="n">
        <v>0</v>
      </c>
    </row>
    <row r="5534" ht="15" customHeight="1" s="104">
      <c r="H5534" s="198" t="n">
        <v>0</v>
      </c>
    </row>
    <row r="5535" ht="15" customHeight="1" s="104">
      <c r="H5535" s="198" t="n">
        <v>0</v>
      </c>
    </row>
    <row r="5536" ht="15" customHeight="1" s="104">
      <c r="H5536" s="198" t="n">
        <v>0</v>
      </c>
    </row>
    <row r="5537" ht="15" customHeight="1" s="104">
      <c r="H5537" s="198" t="n">
        <v>0</v>
      </c>
    </row>
    <row r="5538" ht="15" customHeight="1" s="104">
      <c r="H5538" s="198" t="n">
        <v>0</v>
      </c>
    </row>
    <row r="5539" ht="15" customHeight="1" s="104">
      <c r="H5539" s="198" t="n">
        <v>0</v>
      </c>
    </row>
    <row r="5540" ht="15" customHeight="1" s="104">
      <c r="H5540" s="198" t="n">
        <v>0</v>
      </c>
    </row>
    <row r="5541" ht="15" customHeight="1" s="104">
      <c r="H5541" s="198" t="n">
        <v>0</v>
      </c>
    </row>
    <row r="5542" ht="15" customHeight="1" s="104">
      <c r="H5542" s="198" t="n">
        <v>0</v>
      </c>
    </row>
    <row r="5543" ht="15" customHeight="1" s="104">
      <c r="H5543" s="198" t="n">
        <v>0</v>
      </c>
    </row>
    <row r="5544" ht="15" customHeight="1" s="104">
      <c r="H5544" s="198" t="n">
        <v>0</v>
      </c>
    </row>
    <row r="5545" ht="15" customHeight="1" s="104">
      <c r="H5545" s="198" t="n">
        <v>0</v>
      </c>
    </row>
    <row r="5546" ht="15" customHeight="1" s="104">
      <c r="H5546" s="198" t="n">
        <v>0</v>
      </c>
    </row>
    <row r="5547" ht="15" customHeight="1" s="104">
      <c r="H5547" s="198" t="n">
        <v>0</v>
      </c>
    </row>
    <row r="5548" ht="15" customHeight="1" s="104">
      <c r="H5548" s="198" t="n">
        <v>0</v>
      </c>
    </row>
    <row r="5549" ht="15" customHeight="1" s="104">
      <c r="H5549" s="198" t="n">
        <v>0</v>
      </c>
    </row>
    <row r="5550" ht="15" customHeight="1" s="104">
      <c r="H5550" s="198" t="n">
        <v>0</v>
      </c>
    </row>
    <row r="5551" ht="15" customHeight="1" s="104">
      <c r="H5551" s="198" t="n">
        <v>0</v>
      </c>
    </row>
    <row r="5552" ht="15" customHeight="1" s="104">
      <c r="H5552" s="198" t="n">
        <v>0</v>
      </c>
    </row>
    <row r="5553" ht="15" customHeight="1" s="104">
      <c r="H5553" s="198" t="n">
        <v>0</v>
      </c>
    </row>
    <row r="5554" ht="15" customHeight="1" s="104">
      <c r="H5554" s="198" t="n">
        <v>0</v>
      </c>
    </row>
    <row r="5555" ht="15" customHeight="1" s="104">
      <c r="H5555" s="198" t="n">
        <v>0</v>
      </c>
    </row>
    <row r="5556" ht="15" customHeight="1" s="104">
      <c r="H5556" s="198" t="n">
        <v>0</v>
      </c>
    </row>
    <row r="5557" ht="15" customHeight="1" s="104">
      <c r="H5557" s="198" t="n">
        <v>0</v>
      </c>
    </row>
    <row r="5558" ht="15" customHeight="1" s="104">
      <c r="H5558" s="198" t="n">
        <v>0</v>
      </c>
    </row>
    <row r="5559" ht="15" customHeight="1" s="104">
      <c r="H5559" s="198" t="n">
        <v>0</v>
      </c>
    </row>
    <row r="5560" ht="15" customHeight="1" s="104">
      <c r="H5560" s="198" t="n">
        <v>0</v>
      </c>
    </row>
    <row r="5561" ht="15" customHeight="1" s="104">
      <c r="H5561" s="198" t="n">
        <v>0</v>
      </c>
    </row>
    <row r="5562" ht="15" customHeight="1" s="104">
      <c r="H5562" s="198" t="n">
        <v>0</v>
      </c>
    </row>
    <row r="5563" ht="15" customHeight="1" s="104">
      <c r="H5563" s="198" t="n">
        <v>0</v>
      </c>
    </row>
    <row r="5564" ht="15" customHeight="1" s="104">
      <c r="H5564" s="198" t="n">
        <v>0</v>
      </c>
    </row>
    <row r="5565" ht="15" customHeight="1" s="104">
      <c r="H5565" s="198" t="n">
        <v>0</v>
      </c>
    </row>
    <row r="5566" ht="15" customHeight="1" s="104">
      <c r="H5566" s="198" t="n">
        <v>0</v>
      </c>
    </row>
    <row r="5567" ht="15" customHeight="1" s="104">
      <c r="H5567" s="198" t="n">
        <v>0</v>
      </c>
    </row>
    <row r="5568" ht="15" customHeight="1" s="104">
      <c r="H5568" s="198" t="n">
        <v>0</v>
      </c>
    </row>
    <row r="5569" ht="15" customHeight="1" s="104">
      <c r="H5569" s="198" t="n">
        <v>0</v>
      </c>
    </row>
    <row r="5570" ht="15" customHeight="1" s="104">
      <c r="H5570" s="198" t="n">
        <v>0</v>
      </c>
    </row>
    <row r="5571" ht="15" customHeight="1" s="104">
      <c r="H5571" s="198" t="n">
        <v>0</v>
      </c>
    </row>
    <row r="5572" ht="15" customHeight="1" s="104">
      <c r="H5572" s="198" t="n">
        <v>0</v>
      </c>
    </row>
    <row r="5573" ht="15" customHeight="1" s="104">
      <c r="H5573" s="198" t="n">
        <v>0</v>
      </c>
    </row>
    <row r="5574" ht="15" customHeight="1" s="104">
      <c r="H5574" s="198" t="n">
        <v>0</v>
      </c>
    </row>
    <row r="5575" ht="15" customHeight="1" s="104">
      <c r="H5575" s="198" t="n">
        <v>0</v>
      </c>
    </row>
    <row r="5576" ht="15" customHeight="1" s="104">
      <c r="H5576" s="198" t="n">
        <v>0</v>
      </c>
    </row>
    <row r="5577" ht="15" customHeight="1" s="104">
      <c r="H5577" s="198" t="n">
        <v>0</v>
      </c>
    </row>
    <row r="5578" ht="15" customHeight="1" s="104">
      <c r="H5578" s="198" t="n">
        <v>0</v>
      </c>
    </row>
    <row r="5579" ht="15" customHeight="1" s="104">
      <c r="H5579" s="198" t="n">
        <v>0</v>
      </c>
    </row>
    <row r="5580" ht="15" customHeight="1" s="104">
      <c r="H5580" s="198" t="n">
        <v>0</v>
      </c>
    </row>
    <row r="5581" ht="15" customHeight="1" s="104">
      <c r="H5581" s="198" t="n">
        <v>0</v>
      </c>
    </row>
    <row r="5582" ht="15" customHeight="1" s="104">
      <c r="H5582" s="198" t="n">
        <v>0</v>
      </c>
    </row>
    <row r="5583" ht="15" customHeight="1" s="104">
      <c r="H5583" s="198" t="n">
        <v>0</v>
      </c>
    </row>
    <row r="5584" ht="15" customHeight="1" s="104">
      <c r="H5584" s="198" t="n">
        <v>0</v>
      </c>
    </row>
    <row r="5585" ht="15" customHeight="1" s="104">
      <c r="H5585" s="198" t="n">
        <v>0</v>
      </c>
    </row>
    <row r="5586" ht="15" customHeight="1" s="104">
      <c r="H5586" s="198" t="n">
        <v>0</v>
      </c>
    </row>
    <row r="5587" ht="15" customHeight="1" s="104">
      <c r="H5587" s="198" t="n">
        <v>0</v>
      </c>
    </row>
    <row r="5588" ht="15" customHeight="1" s="104">
      <c r="H5588" s="198" t="n">
        <v>0</v>
      </c>
    </row>
    <row r="5589" ht="15" customHeight="1" s="104">
      <c r="H5589" s="198" t="n">
        <v>0</v>
      </c>
    </row>
    <row r="5590" ht="15" customHeight="1" s="104">
      <c r="H5590" s="198" t="n">
        <v>0</v>
      </c>
    </row>
    <row r="5591" ht="15" customHeight="1" s="104">
      <c r="H5591" s="198" t="n">
        <v>0</v>
      </c>
    </row>
    <row r="5592" ht="15" customHeight="1" s="104">
      <c r="H5592" s="198" t="n">
        <v>0</v>
      </c>
    </row>
    <row r="5593" ht="15" customHeight="1" s="104">
      <c r="H5593" s="198" t="n">
        <v>0</v>
      </c>
    </row>
    <row r="5594" ht="15" customHeight="1" s="104">
      <c r="H5594" s="198" t="n">
        <v>0</v>
      </c>
    </row>
    <row r="5595" ht="15" customHeight="1" s="104">
      <c r="H5595" s="198" t="n">
        <v>0</v>
      </c>
    </row>
    <row r="5596" ht="15" customHeight="1" s="104">
      <c r="H5596" s="198" t="n">
        <v>0</v>
      </c>
    </row>
    <row r="5597" ht="15" customHeight="1" s="104">
      <c r="H5597" s="198" t="n">
        <v>0</v>
      </c>
    </row>
    <row r="5598" ht="15" customHeight="1" s="104">
      <c r="H5598" s="198" t="n">
        <v>0</v>
      </c>
    </row>
    <row r="5599" ht="15" customHeight="1" s="104">
      <c r="H5599" s="198" t="n">
        <v>0</v>
      </c>
    </row>
    <row r="5600" ht="15" customHeight="1" s="104">
      <c r="H5600" s="198" t="n">
        <v>0</v>
      </c>
    </row>
    <row r="5601" ht="15" customHeight="1" s="104">
      <c r="H5601" s="198" t="n">
        <v>0</v>
      </c>
    </row>
    <row r="5602" ht="15" customHeight="1" s="104">
      <c r="H5602" s="198" t="n">
        <v>0</v>
      </c>
    </row>
    <row r="5603" ht="15" customHeight="1" s="104">
      <c r="H5603" s="198" t="n">
        <v>0</v>
      </c>
    </row>
    <row r="5604" ht="15" customHeight="1" s="104">
      <c r="H5604" s="198" t="n">
        <v>0</v>
      </c>
    </row>
    <row r="5605" ht="15" customHeight="1" s="104">
      <c r="H5605" s="198" t="n">
        <v>0</v>
      </c>
    </row>
    <row r="5606" ht="15" customHeight="1" s="104">
      <c r="H5606" s="198" t="n">
        <v>0</v>
      </c>
    </row>
    <row r="5607" ht="15" customHeight="1" s="104">
      <c r="H5607" s="198" t="n">
        <v>0</v>
      </c>
    </row>
    <row r="5608" ht="15" customHeight="1" s="104">
      <c r="H5608" s="198" t="n">
        <v>0</v>
      </c>
    </row>
    <row r="5609" ht="15" customHeight="1" s="104">
      <c r="H5609" s="198" t="n">
        <v>0</v>
      </c>
    </row>
    <row r="5610" ht="15" customHeight="1" s="104">
      <c r="H5610" s="198" t="n">
        <v>0</v>
      </c>
    </row>
    <row r="5611" ht="15" customHeight="1" s="104">
      <c r="H5611" s="198" t="n">
        <v>0</v>
      </c>
    </row>
    <row r="5612" ht="15" customHeight="1" s="104">
      <c r="H5612" s="198" t="n">
        <v>0</v>
      </c>
    </row>
    <row r="5613" ht="15" customHeight="1" s="104">
      <c r="H5613" s="198" t="n">
        <v>0</v>
      </c>
    </row>
    <row r="5614" ht="15" customHeight="1" s="104">
      <c r="H5614" s="198" t="n">
        <v>0</v>
      </c>
    </row>
    <row r="5615" ht="15" customHeight="1" s="104">
      <c r="H5615" s="198" t="n">
        <v>0</v>
      </c>
    </row>
    <row r="5616" ht="15" customHeight="1" s="104">
      <c r="H5616" s="198" t="n">
        <v>0</v>
      </c>
    </row>
    <row r="5617" ht="15" customHeight="1" s="104">
      <c r="H5617" s="198" t="n">
        <v>0</v>
      </c>
    </row>
    <row r="5618" ht="15" customHeight="1" s="104">
      <c r="H5618" s="198" t="n">
        <v>0</v>
      </c>
    </row>
    <row r="5619" ht="15" customHeight="1" s="104">
      <c r="H5619" s="198" t="n">
        <v>0</v>
      </c>
    </row>
    <row r="5620" ht="15" customHeight="1" s="104">
      <c r="H5620" s="198" t="n">
        <v>0</v>
      </c>
    </row>
    <row r="5621" ht="15" customHeight="1" s="104">
      <c r="H5621" s="198" t="n">
        <v>0</v>
      </c>
    </row>
    <row r="5622" ht="15" customHeight="1" s="104">
      <c r="H5622" s="198" t="n">
        <v>0</v>
      </c>
    </row>
    <row r="5623" ht="15" customHeight="1" s="104">
      <c r="H5623" s="198" t="n">
        <v>0</v>
      </c>
    </row>
    <row r="5624" ht="15" customHeight="1" s="104">
      <c r="H5624" s="198" t="n">
        <v>0</v>
      </c>
    </row>
    <row r="5625" ht="15" customHeight="1" s="104">
      <c r="H5625" s="198" t="n">
        <v>0</v>
      </c>
    </row>
    <row r="5626" ht="15" customHeight="1" s="104">
      <c r="H5626" s="198" t="n">
        <v>0</v>
      </c>
    </row>
    <row r="5627" ht="15" customHeight="1" s="104">
      <c r="H5627" s="198" t="n">
        <v>0</v>
      </c>
    </row>
    <row r="5628" ht="15" customHeight="1" s="104">
      <c r="H5628" s="198" t="n">
        <v>0</v>
      </c>
    </row>
    <row r="5629" ht="15" customHeight="1" s="104">
      <c r="H5629" s="198" t="n">
        <v>0</v>
      </c>
    </row>
    <row r="5630" ht="15" customHeight="1" s="104">
      <c r="H5630" s="198" t="n">
        <v>0</v>
      </c>
    </row>
    <row r="5631" ht="15" customHeight="1" s="104">
      <c r="H5631" s="198" t="n">
        <v>0</v>
      </c>
    </row>
    <row r="5632" ht="15" customHeight="1" s="104">
      <c r="H5632" s="198" t="n">
        <v>0</v>
      </c>
    </row>
    <row r="5633" ht="15" customHeight="1" s="104">
      <c r="H5633" s="198" t="n">
        <v>0</v>
      </c>
    </row>
    <row r="5634" ht="15" customHeight="1" s="104">
      <c r="H5634" s="198" t="n">
        <v>0</v>
      </c>
    </row>
    <row r="5635" ht="15" customHeight="1" s="104">
      <c r="H5635" s="198" t="n">
        <v>0</v>
      </c>
    </row>
    <row r="5636" ht="15" customHeight="1" s="104">
      <c r="H5636" s="198" t="n">
        <v>0</v>
      </c>
    </row>
    <row r="5637" ht="15" customHeight="1" s="104">
      <c r="H5637" s="198" t="n">
        <v>0</v>
      </c>
    </row>
    <row r="5638" ht="15" customHeight="1" s="104">
      <c r="H5638" s="198" t="n">
        <v>0</v>
      </c>
    </row>
    <row r="5639" ht="15" customHeight="1" s="104">
      <c r="H5639" s="198" t="n">
        <v>0</v>
      </c>
    </row>
    <row r="5640" ht="15" customHeight="1" s="104">
      <c r="H5640" s="198" t="n">
        <v>0</v>
      </c>
    </row>
    <row r="5641" ht="15" customHeight="1" s="104">
      <c r="H5641" s="198" t="n">
        <v>0</v>
      </c>
    </row>
    <row r="5642" ht="15" customHeight="1" s="104">
      <c r="H5642" s="198" t="n">
        <v>0</v>
      </c>
    </row>
    <row r="5643" ht="15" customHeight="1" s="104">
      <c r="H5643" s="198" t="n">
        <v>0</v>
      </c>
    </row>
    <row r="5644" ht="15" customHeight="1" s="104">
      <c r="H5644" s="198" t="n">
        <v>0</v>
      </c>
    </row>
    <row r="5645" ht="15" customHeight="1" s="104">
      <c r="H5645" s="198" t="n">
        <v>0</v>
      </c>
    </row>
    <row r="5646" ht="15" customHeight="1" s="104">
      <c r="H5646" s="198" t="n">
        <v>0</v>
      </c>
    </row>
    <row r="5647" ht="15" customHeight="1" s="104">
      <c r="H5647" s="198" t="n">
        <v>0</v>
      </c>
    </row>
    <row r="5648" ht="15" customHeight="1" s="104">
      <c r="H5648" s="198" t="n">
        <v>0</v>
      </c>
    </row>
    <row r="5649" ht="15" customHeight="1" s="104">
      <c r="H5649" s="198" t="n">
        <v>0</v>
      </c>
    </row>
    <row r="5650" ht="15" customHeight="1" s="104">
      <c r="H5650" s="198" t="n">
        <v>0</v>
      </c>
    </row>
    <row r="5651" ht="15" customHeight="1" s="104">
      <c r="H5651" s="198" t="n">
        <v>0</v>
      </c>
    </row>
    <row r="5652" ht="15" customHeight="1" s="104">
      <c r="H5652" s="198" t="n">
        <v>0</v>
      </c>
    </row>
    <row r="5653" ht="15" customHeight="1" s="104">
      <c r="H5653" s="198" t="n">
        <v>0</v>
      </c>
    </row>
    <row r="5654" ht="15" customHeight="1" s="104">
      <c r="H5654" s="198" t="n">
        <v>0</v>
      </c>
    </row>
    <row r="5655" ht="15" customHeight="1" s="104">
      <c r="H5655" s="198" t="n">
        <v>0</v>
      </c>
    </row>
    <row r="5656" ht="15" customHeight="1" s="104">
      <c r="H5656" s="198" t="n">
        <v>0</v>
      </c>
    </row>
    <row r="5657" ht="15" customHeight="1" s="104">
      <c r="H5657" s="198" t="n">
        <v>0</v>
      </c>
    </row>
    <row r="5658" ht="15" customHeight="1" s="104">
      <c r="H5658" s="198" t="n">
        <v>0</v>
      </c>
    </row>
    <row r="5659" ht="15" customHeight="1" s="104">
      <c r="H5659" s="198" t="n">
        <v>0</v>
      </c>
    </row>
    <row r="5660" ht="15" customHeight="1" s="104">
      <c r="H5660" s="198" t="n">
        <v>0</v>
      </c>
    </row>
    <row r="5661" ht="15" customHeight="1" s="104">
      <c r="H5661" s="198" t="n">
        <v>0</v>
      </c>
    </row>
    <row r="5662" ht="15" customHeight="1" s="104">
      <c r="H5662" s="198" t="n">
        <v>0</v>
      </c>
    </row>
    <row r="5663" ht="15" customHeight="1" s="104">
      <c r="H5663" s="198" t="n">
        <v>0</v>
      </c>
    </row>
    <row r="5664" ht="15" customHeight="1" s="104">
      <c r="H5664" s="198" t="n">
        <v>0</v>
      </c>
    </row>
    <row r="5665" ht="15" customHeight="1" s="104">
      <c r="H5665" s="198" t="n">
        <v>0</v>
      </c>
    </row>
    <row r="5666" ht="15" customHeight="1" s="104">
      <c r="H5666" s="198" t="n">
        <v>0</v>
      </c>
    </row>
    <row r="5667" ht="15" customHeight="1" s="104">
      <c r="H5667" s="198" t="n">
        <v>0</v>
      </c>
    </row>
    <row r="5668" ht="15" customHeight="1" s="104">
      <c r="H5668" s="198" t="n">
        <v>0</v>
      </c>
    </row>
    <row r="5669" ht="15" customHeight="1" s="104">
      <c r="H5669" s="198" t="n">
        <v>0</v>
      </c>
    </row>
    <row r="5670" ht="15" customHeight="1" s="104">
      <c r="H5670" s="198" t="n">
        <v>0</v>
      </c>
    </row>
    <row r="5671" ht="15" customHeight="1" s="104">
      <c r="H5671" s="198" t="n">
        <v>0</v>
      </c>
    </row>
    <row r="5672" ht="15" customHeight="1" s="104">
      <c r="H5672" s="198" t="n">
        <v>0</v>
      </c>
    </row>
    <row r="5673" ht="15" customHeight="1" s="104">
      <c r="H5673" s="198" t="n">
        <v>0</v>
      </c>
    </row>
    <row r="5674" ht="15" customHeight="1" s="104">
      <c r="H5674" s="198" t="n">
        <v>0</v>
      </c>
    </row>
    <row r="5675" ht="15" customHeight="1" s="104">
      <c r="H5675" s="198" t="n">
        <v>0</v>
      </c>
    </row>
    <row r="5676" ht="15" customHeight="1" s="104">
      <c r="H5676" s="198" t="n">
        <v>0</v>
      </c>
    </row>
    <row r="5677" ht="15" customHeight="1" s="104">
      <c r="H5677" s="198" t="n">
        <v>0</v>
      </c>
    </row>
    <row r="5678" ht="15" customHeight="1" s="104">
      <c r="H5678" s="198" t="n">
        <v>0</v>
      </c>
    </row>
    <row r="5679" ht="15" customHeight="1" s="104">
      <c r="H5679" s="198" t="n">
        <v>0</v>
      </c>
    </row>
    <row r="5680" ht="15" customHeight="1" s="104">
      <c r="H5680" s="198" t="n">
        <v>0</v>
      </c>
    </row>
    <row r="5681" ht="15" customHeight="1" s="104">
      <c r="H5681" s="198" t="n">
        <v>0</v>
      </c>
    </row>
    <row r="5682" ht="15" customHeight="1" s="104">
      <c r="H5682" s="198" t="n">
        <v>0</v>
      </c>
    </row>
    <row r="5683" ht="15" customHeight="1" s="104">
      <c r="H5683" s="198" t="n">
        <v>0</v>
      </c>
    </row>
    <row r="5684" ht="15" customHeight="1" s="104">
      <c r="H5684" s="198" t="n">
        <v>0</v>
      </c>
    </row>
    <row r="5685" ht="15" customHeight="1" s="104">
      <c r="H5685" s="198" t="n">
        <v>0</v>
      </c>
    </row>
    <row r="5686" ht="15" customHeight="1" s="104">
      <c r="H5686" s="198" t="n">
        <v>0</v>
      </c>
    </row>
    <row r="5687" ht="15" customHeight="1" s="104">
      <c r="H5687" s="198" t="n">
        <v>0</v>
      </c>
    </row>
    <row r="5688" ht="15" customHeight="1" s="104">
      <c r="H5688" s="198" t="n">
        <v>0</v>
      </c>
    </row>
    <row r="5689" ht="15" customHeight="1" s="104">
      <c r="H5689" s="198" t="n">
        <v>0</v>
      </c>
    </row>
    <row r="5690" ht="15" customHeight="1" s="104">
      <c r="H5690" s="198" t="n">
        <v>0</v>
      </c>
    </row>
    <row r="5691" ht="15" customHeight="1" s="104">
      <c r="H5691" s="198" t="n">
        <v>0</v>
      </c>
    </row>
    <row r="5692" ht="15" customHeight="1" s="104">
      <c r="H5692" s="198" t="n">
        <v>0</v>
      </c>
    </row>
    <row r="5693" ht="15" customHeight="1" s="104">
      <c r="H5693" s="198" t="n">
        <v>0</v>
      </c>
    </row>
    <row r="5694" ht="15" customHeight="1" s="104">
      <c r="H5694" s="198" t="n">
        <v>0</v>
      </c>
    </row>
    <row r="5695" ht="15" customHeight="1" s="104">
      <c r="H5695" s="198" t="n">
        <v>0</v>
      </c>
    </row>
    <row r="5696" ht="15" customHeight="1" s="104">
      <c r="H5696" s="198" t="n">
        <v>0</v>
      </c>
    </row>
    <row r="5697" ht="15" customHeight="1" s="104">
      <c r="H5697" s="198" t="n">
        <v>0</v>
      </c>
    </row>
    <row r="5698" ht="15" customHeight="1" s="104">
      <c r="H5698" s="198" t="n">
        <v>0</v>
      </c>
    </row>
    <row r="5699" ht="15" customHeight="1" s="104">
      <c r="H5699" s="198" t="n">
        <v>0</v>
      </c>
    </row>
    <row r="5700" ht="15" customHeight="1" s="104">
      <c r="H5700" s="198" t="n">
        <v>0</v>
      </c>
    </row>
    <row r="5701" ht="15" customHeight="1" s="104">
      <c r="H5701" s="198" t="n">
        <v>0</v>
      </c>
    </row>
    <row r="5702" ht="15" customHeight="1" s="104">
      <c r="H5702" s="198" t="n">
        <v>0</v>
      </c>
    </row>
    <row r="5703" ht="15" customHeight="1" s="104">
      <c r="H5703" s="198" t="n">
        <v>0</v>
      </c>
    </row>
    <row r="5704" ht="15" customHeight="1" s="104">
      <c r="H5704" s="198" t="n">
        <v>0</v>
      </c>
    </row>
    <row r="5705" ht="15" customHeight="1" s="104">
      <c r="H5705" s="198" t="n">
        <v>0</v>
      </c>
    </row>
    <row r="5706" ht="15" customHeight="1" s="104">
      <c r="H5706" s="198" t="n">
        <v>0</v>
      </c>
    </row>
    <row r="5707" ht="15" customHeight="1" s="104">
      <c r="H5707" s="198" t="n">
        <v>0</v>
      </c>
    </row>
    <row r="5708" ht="15" customHeight="1" s="104">
      <c r="H5708" s="198" t="n">
        <v>0</v>
      </c>
    </row>
    <row r="5709" ht="15" customHeight="1" s="104">
      <c r="H5709" s="198" t="n">
        <v>0</v>
      </c>
    </row>
    <row r="5710" ht="15" customHeight="1" s="104">
      <c r="H5710" s="198" t="n">
        <v>0</v>
      </c>
    </row>
    <row r="5711" ht="15" customHeight="1" s="104">
      <c r="H5711" s="198" t="n">
        <v>0</v>
      </c>
    </row>
    <row r="5712" ht="15" customHeight="1" s="104">
      <c r="H5712" s="198" t="n">
        <v>0</v>
      </c>
    </row>
    <row r="5713" ht="15" customHeight="1" s="104">
      <c r="H5713" s="198" t="n">
        <v>0</v>
      </c>
    </row>
    <row r="5714" ht="15" customHeight="1" s="104">
      <c r="H5714" s="198" t="n">
        <v>0</v>
      </c>
    </row>
    <row r="5715" ht="15" customHeight="1" s="104">
      <c r="H5715" s="198" t="n">
        <v>0</v>
      </c>
    </row>
    <row r="5716" ht="15" customHeight="1" s="104">
      <c r="H5716" s="198" t="n">
        <v>0</v>
      </c>
    </row>
    <row r="5717" ht="15" customHeight="1" s="104">
      <c r="H5717" s="198" t="n">
        <v>0</v>
      </c>
    </row>
    <row r="5718" ht="15" customHeight="1" s="104">
      <c r="H5718" s="198" t="n">
        <v>0</v>
      </c>
    </row>
    <row r="5719" ht="15" customHeight="1" s="104">
      <c r="H5719" s="198" t="n">
        <v>0</v>
      </c>
    </row>
    <row r="5720" ht="15" customHeight="1" s="104">
      <c r="H5720" s="198" t="n">
        <v>0</v>
      </c>
    </row>
    <row r="5721" ht="15" customHeight="1" s="104">
      <c r="H5721" s="198" t="n">
        <v>0</v>
      </c>
    </row>
    <row r="5722" ht="15" customHeight="1" s="104">
      <c r="H5722" s="198" t="n">
        <v>0</v>
      </c>
    </row>
    <row r="5723" ht="15" customHeight="1" s="104">
      <c r="H5723" s="198" t="n">
        <v>0</v>
      </c>
    </row>
    <row r="5724" ht="15" customHeight="1" s="104">
      <c r="H5724" s="198" t="n">
        <v>0</v>
      </c>
    </row>
    <row r="5725" ht="15" customHeight="1" s="104">
      <c r="H5725" s="198" t="n">
        <v>0</v>
      </c>
    </row>
    <row r="5726" ht="15" customHeight="1" s="104">
      <c r="H5726" s="198" t="n">
        <v>0</v>
      </c>
    </row>
    <row r="5727" ht="15" customHeight="1" s="104">
      <c r="H5727" s="198" t="n">
        <v>0</v>
      </c>
    </row>
    <row r="5728" ht="15" customHeight="1" s="104">
      <c r="H5728" s="198" t="n">
        <v>0</v>
      </c>
    </row>
    <row r="5729" ht="15" customHeight="1" s="104">
      <c r="H5729" s="198" t="n">
        <v>0</v>
      </c>
    </row>
    <row r="5730" ht="15" customHeight="1" s="104">
      <c r="H5730" s="198" t="n">
        <v>0</v>
      </c>
    </row>
    <row r="5731" ht="15" customHeight="1" s="104">
      <c r="H5731" s="198" t="n">
        <v>0</v>
      </c>
    </row>
    <row r="5732" ht="15" customHeight="1" s="104">
      <c r="H5732" s="198" t="n">
        <v>0</v>
      </c>
    </row>
    <row r="5733" ht="15" customHeight="1" s="104">
      <c r="H5733" s="198" t="n">
        <v>0</v>
      </c>
    </row>
    <row r="5734" ht="15" customHeight="1" s="104">
      <c r="H5734" s="198" t="n">
        <v>0</v>
      </c>
    </row>
    <row r="5735" ht="15" customHeight="1" s="104">
      <c r="H5735" s="198" t="n">
        <v>0</v>
      </c>
    </row>
    <row r="5736" ht="15" customHeight="1" s="104">
      <c r="H5736" s="198" t="n">
        <v>0</v>
      </c>
    </row>
    <row r="5737" ht="15" customHeight="1" s="104">
      <c r="H5737" s="198" t="n">
        <v>0</v>
      </c>
    </row>
    <row r="5738" ht="15" customHeight="1" s="104">
      <c r="H5738" s="198" t="n">
        <v>0</v>
      </c>
    </row>
    <row r="5739" ht="15" customHeight="1" s="104">
      <c r="H5739" s="198" t="n">
        <v>0</v>
      </c>
    </row>
    <row r="5740" ht="15" customHeight="1" s="104">
      <c r="H5740" s="198" t="n">
        <v>0</v>
      </c>
    </row>
    <row r="5741" ht="15" customHeight="1" s="104">
      <c r="H5741" s="198" t="n">
        <v>0</v>
      </c>
    </row>
    <row r="5742" ht="15" customHeight="1" s="104">
      <c r="H5742" s="198" t="n">
        <v>0</v>
      </c>
    </row>
    <row r="5743" ht="15" customHeight="1" s="104">
      <c r="H5743" s="198" t="n">
        <v>0</v>
      </c>
    </row>
    <row r="5744" ht="15" customHeight="1" s="104">
      <c r="H5744" s="198" t="n">
        <v>0</v>
      </c>
    </row>
    <row r="5745" ht="15" customHeight="1" s="104">
      <c r="H5745" s="198" t="n">
        <v>0</v>
      </c>
    </row>
    <row r="5746" ht="15" customHeight="1" s="104">
      <c r="H5746" s="198" t="n">
        <v>0</v>
      </c>
    </row>
    <row r="5747" ht="15" customHeight="1" s="104">
      <c r="H5747" s="198" t="n">
        <v>0</v>
      </c>
    </row>
    <row r="5748" ht="15" customHeight="1" s="104">
      <c r="H5748" s="198" t="n">
        <v>0</v>
      </c>
    </row>
    <row r="5749" ht="15" customHeight="1" s="104">
      <c r="H5749" s="198" t="n">
        <v>0</v>
      </c>
    </row>
    <row r="5750" ht="15" customHeight="1" s="104">
      <c r="H5750" s="198" t="n">
        <v>0</v>
      </c>
    </row>
    <row r="5751" ht="15" customHeight="1" s="104">
      <c r="H5751" s="198" t="n">
        <v>0</v>
      </c>
    </row>
    <row r="5752" ht="15" customHeight="1" s="104">
      <c r="H5752" s="198" t="n">
        <v>0</v>
      </c>
    </row>
    <row r="5753" ht="15" customHeight="1" s="104">
      <c r="H5753" s="198" t="n">
        <v>0</v>
      </c>
    </row>
    <row r="5754" ht="15" customHeight="1" s="104">
      <c r="H5754" s="198" t="n">
        <v>0</v>
      </c>
    </row>
    <row r="5755" ht="15" customHeight="1" s="104">
      <c r="H5755" s="198" t="n">
        <v>0</v>
      </c>
    </row>
    <row r="5756" ht="15" customHeight="1" s="104">
      <c r="H5756" s="198" t="n">
        <v>0</v>
      </c>
    </row>
    <row r="5757" ht="15" customHeight="1" s="104">
      <c r="H5757" s="198" t="n">
        <v>0</v>
      </c>
    </row>
    <row r="5758" ht="15" customHeight="1" s="104">
      <c r="H5758" s="198" t="n">
        <v>0</v>
      </c>
    </row>
    <row r="5759" ht="15" customHeight="1" s="104">
      <c r="H5759" s="198" t="n">
        <v>0</v>
      </c>
    </row>
    <row r="5760" ht="15" customHeight="1" s="104">
      <c r="H5760" s="198" t="n">
        <v>0</v>
      </c>
    </row>
    <row r="5761" ht="15" customHeight="1" s="104">
      <c r="H5761" s="198" t="n">
        <v>0</v>
      </c>
    </row>
    <row r="5762" ht="15" customHeight="1" s="104">
      <c r="H5762" s="198" t="n">
        <v>0</v>
      </c>
    </row>
    <row r="5763" ht="15" customHeight="1" s="104">
      <c r="H5763" s="198" t="n">
        <v>0</v>
      </c>
    </row>
    <row r="5764" ht="15" customHeight="1" s="104">
      <c r="H5764" s="198" t="n">
        <v>0</v>
      </c>
    </row>
    <row r="5765" ht="15" customHeight="1" s="104">
      <c r="H5765" s="198" t="n">
        <v>0</v>
      </c>
    </row>
    <row r="5766" ht="15" customHeight="1" s="104">
      <c r="H5766" s="198" t="n">
        <v>0</v>
      </c>
    </row>
    <row r="5767" ht="15" customHeight="1" s="104">
      <c r="H5767" s="198" t="n">
        <v>0</v>
      </c>
    </row>
    <row r="5768" ht="15" customHeight="1" s="104">
      <c r="H5768" s="198" t="n">
        <v>0</v>
      </c>
    </row>
    <row r="5769" ht="15" customHeight="1" s="104">
      <c r="H5769" s="198" t="n">
        <v>0</v>
      </c>
    </row>
    <row r="5770" ht="15" customHeight="1" s="104">
      <c r="H5770" s="198" t="n">
        <v>0</v>
      </c>
    </row>
    <row r="5771" ht="15" customHeight="1" s="104">
      <c r="H5771" s="198" t="n">
        <v>0</v>
      </c>
    </row>
    <row r="5772" ht="15" customHeight="1" s="104">
      <c r="H5772" s="198" t="n">
        <v>0</v>
      </c>
    </row>
    <row r="5773" ht="15" customHeight="1" s="104">
      <c r="H5773" s="198" t="n">
        <v>0</v>
      </c>
    </row>
    <row r="5774" ht="15" customHeight="1" s="104">
      <c r="H5774" s="198" t="n">
        <v>0</v>
      </c>
    </row>
    <row r="5775" ht="15" customHeight="1" s="104">
      <c r="H5775" s="198" t="n">
        <v>0</v>
      </c>
    </row>
    <row r="5776" ht="15" customHeight="1" s="104">
      <c r="H5776" s="198" t="n">
        <v>0</v>
      </c>
    </row>
    <row r="5777" ht="15" customHeight="1" s="104">
      <c r="H5777" s="198" t="n">
        <v>0</v>
      </c>
    </row>
    <row r="5778" ht="15" customHeight="1" s="104">
      <c r="H5778" s="198" t="n">
        <v>0</v>
      </c>
    </row>
    <row r="5779" ht="15" customHeight="1" s="104">
      <c r="H5779" s="198" t="n">
        <v>0</v>
      </c>
    </row>
    <row r="5780" ht="15" customHeight="1" s="104">
      <c r="H5780" s="198" t="n">
        <v>0</v>
      </c>
    </row>
    <row r="5781" ht="15" customHeight="1" s="104">
      <c r="H5781" s="198" t="n">
        <v>0</v>
      </c>
    </row>
    <row r="5782" ht="15" customHeight="1" s="104">
      <c r="H5782" s="198" t="n">
        <v>0</v>
      </c>
    </row>
    <row r="5783" ht="15" customHeight="1" s="104">
      <c r="H5783" s="198" t="n">
        <v>0</v>
      </c>
    </row>
    <row r="5784" ht="15" customHeight="1" s="104">
      <c r="H5784" s="198" t="n">
        <v>0</v>
      </c>
    </row>
    <row r="5785" ht="15" customHeight="1" s="104">
      <c r="H5785" s="198" t="n">
        <v>0</v>
      </c>
    </row>
    <row r="5786" ht="15" customHeight="1" s="104">
      <c r="H5786" s="198" t="n">
        <v>0</v>
      </c>
    </row>
    <row r="5787" ht="15" customHeight="1" s="104">
      <c r="H5787" s="198" t="n">
        <v>0</v>
      </c>
    </row>
    <row r="5788" ht="15" customHeight="1" s="104">
      <c r="H5788" s="198" t="n">
        <v>0</v>
      </c>
    </row>
    <row r="5789" ht="15" customHeight="1" s="104">
      <c r="H5789" s="198" t="n">
        <v>0</v>
      </c>
    </row>
    <row r="5790" ht="15" customHeight="1" s="104">
      <c r="H5790" s="198" t="n">
        <v>0</v>
      </c>
    </row>
    <row r="5791" ht="15" customHeight="1" s="104">
      <c r="H5791" s="198" t="n">
        <v>0</v>
      </c>
    </row>
    <row r="5792" ht="15" customHeight="1" s="104">
      <c r="H5792" s="198" t="n">
        <v>0</v>
      </c>
    </row>
    <row r="5793" ht="15" customHeight="1" s="104">
      <c r="H5793" s="198" t="n">
        <v>0</v>
      </c>
    </row>
    <row r="5794" ht="15" customHeight="1" s="104">
      <c r="H5794" s="198" t="n">
        <v>0</v>
      </c>
    </row>
    <row r="5795" ht="15" customHeight="1" s="104">
      <c r="H5795" s="198" t="n">
        <v>0</v>
      </c>
    </row>
    <row r="5796" ht="15" customHeight="1" s="104">
      <c r="H5796" s="198" t="n">
        <v>0</v>
      </c>
    </row>
    <row r="5797" ht="15" customHeight="1" s="104">
      <c r="H5797" s="198" t="n">
        <v>0</v>
      </c>
    </row>
    <row r="5798" ht="15" customHeight="1" s="104">
      <c r="H5798" s="198" t="n">
        <v>0</v>
      </c>
    </row>
    <row r="5799" ht="15" customHeight="1" s="104">
      <c r="H5799" s="198" t="n">
        <v>0</v>
      </c>
    </row>
    <row r="5800" ht="15" customHeight="1" s="104">
      <c r="H5800" s="198" t="n">
        <v>0</v>
      </c>
    </row>
    <row r="5801" ht="15" customHeight="1" s="104">
      <c r="H5801" s="198" t="n">
        <v>0</v>
      </c>
    </row>
    <row r="5802" ht="15" customHeight="1" s="104">
      <c r="H5802" s="198" t="n">
        <v>0</v>
      </c>
    </row>
    <row r="5803" ht="15" customHeight="1" s="104">
      <c r="H5803" s="198" t="n">
        <v>0</v>
      </c>
    </row>
    <row r="5804" ht="15" customHeight="1" s="104">
      <c r="H5804" s="198" t="n">
        <v>0</v>
      </c>
    </row>
    <row r="5805" ht="15" customHeight="1" s="104">
      <c r="H5805" s="198" t="n">
        <v>0</v>
      </c>
    </row>
    <row r="5806" ht="15" customHeight="1" s="104">
      <c r="H5806" s="198" t="n">
        <v>0</v>
      </c>
    </row>
    <row r="5807" ht="15" customHeight="1" s="104">
      <c r="H5807" s="198" t="n">
        <v>0</v>
      </c>
    </row>
    <row r="5808" ht="15" customHeight="1" s="104">
      <c r="H5808" s="198" t="n">
        <v>0</v>
      </c>
    </row>
    <row r="5809" ht="15" customHeight="1" s="104">
      <c r="H5809" s="198" t="n">
        <v>0</v>
      </c>
    </row>
    <row r="5810" ht="15" customHeight="1" s="104">
      <c r="H5810" s="198" t="n">
        <v>0</v>
      </c>
    </row>
    <row r="5811" ht="15" customHeight="1" s="104">
      <c r="H5811" s="198" t="n">
        <v>0</v>
      </c>
    </row>
    <row r="5812" ht="15" customHeight="1" s="104">
      <c r="H5812" s="198" t="n">
        <v>0</v>
      </c>
    </row>
    <row r="5813" ht="15" customHeight="1" s="104">
      <c r="H5813" s="198" t="n">
        <v>0</v>
      </c>
    </row>
    <row r="5814" ht="15" customHeight="1" s="104">
      <c r="H5814" s="198" t="n">
        <v>0</v>
      </c>
    </row>
    <row r="5815" ht="15" customHeight="1" s="104">
      <c r="H5815" s="198" t="n">
        <v>0</v>
      </c>
    </row>
    <row r="5816" ht="15" customHeight="1" s="104">
      <c r="H5816" s="198" t="n">
        <v>0</v>
      </c>
    </row>
    <row r="5817" ht="15" customHeight="1" s="104">
      <c r="H5817" s="198" t="n">
        <v>0</v>
      </c>
    </row>
    <row r="5818" ht="15" customHeight="1" s="104">
      <c r="H5818" s="198" t="n">
        <v>0</v>
      </c>
    </row>
    <row r="5819" ht="15" customHeight="1" s="104">
      <c r="H5819" s="198" t="n">
        <v>0</v>
      </c>
    </row>
    <row r="5820" ht="15" customHeight="1" s="104">
      <c r="H5820" s="198" t="n">
        <v>0</v>
      </c>
    </row>
    <row r="5821" ht="15" customHeight="1" s="104">
      <c r="H5821" s="198" t="n">
        <v>0</v>
      </c>
    </row>
    <row r="5822" ht="15" customHeight="1" s="104">
      <c r="H5822" s="198" t="n">
        <v>0</v>
      </c>
    </row>
    <row r="5823" ht="15" customHeight="1" s="104">
      <c r="H5823" s="198" t="n">
        <v>0</v>
      </c>
    </row>
    <row r="5824" ht="15" customHeight="1" s="104">
      <c r="H5824" s="198" t="n">
        <v>0</v>
      </c>
    </row>
    <row r="5825" ht="15" customHeight="1" s="104">
      <c r="H5825" s="198" t="n">
        <v>0</v>
      </c>
    </row>
    <row r="5826" ht="15" customHeight="1" s="104">
      <c r="H5826" s="198" t="n">
        <v>0</v>
      </c>
    </row>
    <row r="5827" ht="15" customHeight="1" s="104">
      <c r="H5827" s="198" t="n">
        <v>0</v>
      </c>
    </row>
    <row r="5828" ht="15" customHeight="1" s="104">
      <c r="H5828" s="198" t="n">
        <v>0</v>
      </c>
    </row>
    <row r="5829" ht="15" customHeight="1" s="104">
      <c r="H5829" s="198" t="n">
        <v>0</v>
      </c>
    </row>
    <row r="5830" ht="15" customHeight="1" s="104">
      <c r="H5830" s="198" t="n">
        <v>0</v>
      </c>
    </row>
    <row r="5831" ht="15" customHeight="1" s="104">
      <c r="H5831" s="198" t="n">
        <v>0</v>
      </c>
    </row>
    <row r="5832" ht="15" customHeight="1" s="104">
      <c r="H5832" s="198" t="n">
        <v>0</v>
      </c>
    </row>
    <row r="5833" ht="15" customHeight="1" s="104">
      <c r="H5833" s="198" t="n">
        <v>0</v>
      </c>
    </row>
    <row r="5834" ht="15" customHeight="1" s="104">
      <c r="H5834" s="198" t="n">
        <v>0</v>
      </c>
    </row>
    <row r="5835" ht="15" customHeight="1" s="104">
      <c r="H5835" s="198" t="n">
        <v>0</v>
      </c>
    </row>
    <row r="5836" ht="15" customHeight="1" s="104">
      <c r="H5836" s="198" t="n">
        <v>0</v>
      </c>
    </row>
    <row r="5837" ht="15" customHeight="1" s="104">
      <c r="H5837" s="198" t="n">
        <v>0</v>
      </c>
    </row>
    <row r="5838" ht="15" customHeight="1" s="104">
      <c r="H5838" s="198" t="n">
        <v>0</v>
      </c>
    </row>
    <row r="5839" ht="15" customHeight="1" s="104">
      <c r="H5839" s="198" t="n">
        <v>0</v>
      </c>
    </row>
    <row r="5840" ht="15" customHeight="1" s="104">
      <c r="H5840" s="198" t="n">
        <v>0</v>
      </c>
    </row>
    <row r="5841" ht="15" customHeight="1" s="104">
      <c r="H5841" s="198" t="n">
        <v>0</v>
      </c>
    </row>
    <row r="5842" ht="15" customHeight="1" s="104">
      <c r="H5842" s="198" t="n">
        <v>0</v>
      </c>
    </row>
    <row r="5843" ht="15" customHeight="1" s="104">
      <c r="H5843" s="198" t="n">
        <v>0</v>
      </c>
    </row>
    <row r="5844" ht="15" customHeight="1" s="104">
      <c r="H5844" s="198" t="n">
        <v>0</v>
      </c>
    </row>
    <row r="5845" ht="15" customHeight="1" s="104">
      <c r="H5845" s="198" t="n">
        <v>0</v>
      </c>
    </row>
    <row r="5846" ht="15" customHeight="1" s="104">
      <c r="H5846" s="198" t="n">
        <v>0</v>
      </c>
    </row>
    <row r="5847" ht="15" customHeight="1" s="104">
      <c r="H5847" s="198" t="n">
        <v>0</v>
      </c>
    </row>
    <row r="5848" ht="15" customHeight="1" s="104">
      <c r="H5848" s="198" t="n">
        <v>0</v>
      </c>
    </row>
    <row r="5849" ht="15" customHeight="1" s="104">
      <c r="H5849" s="198" t="n">
        <v>0</v>
      </c>
    </row>
    <row r="5850" ht="15" customHeight="1" s="104">
      <c r="H5850" s="198" t="n">
        <v>0</v>
      </c>
    </row>
    <row r="5851" ht="15" customHeight="1" s="104">
      <c r="H5851" s="198" t="n">
        <v>0</v>
      </c>
    </row>
    <row r="5852" ht="15" customHeight="1" s="104">
      <c r="H5852" s="198" t="n">
        <v>0</v>
      </c>
    </row>
    <row r="5853" ht="15" customHeight="1" s="104">
      <c r="H5853" s="198" t="n">
        <v>0</v>
      </c>
    </row>
    <row r="5854" ht="15" customHeight="1" s="104">
      <c r="H5854" s="198" t="n">
        <v>0</v>
      </c>
    </row>
    <row r="5855" ht="15" customHeight="1" s="104">
      <c r="H5855" s="198" t="n">
        <v>0</v>
      </c>
    </row>
    <row r="5856" ht="15" customHeight="1" s="104">
      <c r="H5856" s="198" t="n">
        <v>0</v>
      </c>
    </row>
    <row r="5857" ht="15" customHeight="1" s="104">
      <c r="H5857" s="198" t="n">
        <v>0</v>
      </c>
    </row>
    <row r="5858" ht="15" customHeight="1" s="104">
      <c r="H5858" s="198" t="n">
        <v>0</v>
      </c>
    </row>
    <row r="5859" ht="15" customHeight="1" s="104">
      <c r="H5859" s="198" t="n">
        <v>0</v>
      </c>
    </row>
    <row r="5860" ht="15" customHeight="1" s="104">
      <c r="H5860" s="198" t="n">
        <v>0</v>
      </c>
    </row>
    <row r="5861" ht="15" customHeight="1" s="104">
      <c r="H5861" s="198" t="n">
        <v>0</v>
      </c>
    </row>
    <row r="5862" ht="15" customHeight="1" s="104">
      <c r="H5862" s="198" t="n">
        <v>0</v>
      </c>
    </row>
    <row r="5863" ht="15" customHeight="1" s="104">
      <c r="H5863" s="198" t="n">
        <v>0</v>
      </c>
    </row>
    <row r="5864" ht="15" customHeight="1" s="104">
      <c r="H5864" s="198" t="n">
        <v>0</v>
      </c>
    </row>
    <row r="5865" ht="15" customHeight="1" s="104">
      <c r="H5865" s="198" t="n">
        <v>0</v>
      </c>
    </row>
    <row r="5866" ht="15" customHeight="1" s="104">
      <c r="H5866" s="198" t="n">
        <v>0</v>
      </c>
    </row>
    <row r="5867" ht="15" customHeight="1" s="104">
      <c r="H5867" s="198" t="n">
        <v>0</v>
      </c>
    </row>
    <row r="5868" ht="15" customHeight="1" s="104">
      <c r="H5868" s="198" t="n">
        <v>0</v>
      </c>
    </row>
    <row r="5869" ht="15" customHeight="1" s="104">
      <c r="H5869" s="198" t="n">
        <v>0</v>
      </c>
    </row>
    <row r="5870" ht="15" customHeight="1" s="104">
      <c r="H5870" s="198" t="n">
        <v>0</v>
      </c>
    </row>
    <row r="5871" ht="15" customHeight="1" s="104">
      <c r="H5871" s="198" t="n">
        <v>0</v>
      </c>
    </row>
    <row r="5872" ht="15" customHeight="1" s="104">
      <c r="H5872" s="198" t="n">
        <v>0</v>
      </c>
    </row>
    <row r="5873" ht="15" customHeight="1" s="104">
      <c r="H5873" s="198" t="n">
        <v>0</v>
      </c>
    </row>
    <row r="5874" ht="15" customHeight="1" s="104">
      <c r="H5874" s="198" t="n">
        <v>0</v>
      </c>
    </row>
    <row r="5875" ht="15" customHeight="1" s="104">
      <c r="H5875" s="198" t="n">
        <v>0</v>
      </c>
    </row>
    <row r="5876" ht="15" customHeight="1" s="104">
      <c r="H5876" s="198" t="n">
        <v>0</v>
      </c>
    </row>
    <row r="5877" ht="15" customHeight="1" s="104">
      <c r="H5877" s="198" t="n">
        <v>0</v>
      </c>
    </row>
    <row r="5878" ht="15" customHeight="1" s="104">
      <c r="H5878" s="198" t="n">
        <v>0</v>
      </c>
    </row>
    <row r="5879" ht="15" customHeight="1" s="104">
      <c r="H5879" s="198" t="n">
        <v>0</v>
      </c>
    </row>
    <row r="5880" ht="15" customHeight="1" s="104">
      <c r="H5880" s="198" t="n">
        <v>0</v>
      </c>
    </row>
    <row r="5881" ht="15" customHeight="1" s="104">
      <c r="H5881" s="198" t="n">
        <v>0</v>
      </c>
    </row>
    <row r="5882" ht="15" customHeight="1" s="104">
      <c r="H5882" s="198" t="n">
        <v>0</v>
      </c>
    </row>
    <row r="5883" ht="15" customHeight="1" s="104">
      <c r="H5883" s="198" t="n">
        <v>0</v>
      </c>
    </row>
    <row r="5884" ht="15" customHeight="1" s="104">
      <c r="H5884" s="198" t="n">
        <v>0</v>
      </c>
    </row>
    <row r="5885" ht="15" customHeight="1" s="104">
      <c r="H5885" s="198" t="n">
        <v>0</v>
      </c>
    </row>
    <row r="5886" ht="15" customHeight="1" s="104">
      <c r="H5886" s="198" t="n">
        <v>0</v>
      </c>
    </row>
    <row r="5887" ht="15" customHeight="1" s="104">
      <c r="H5887" s="198" t="n">
        <v>0</v>
      </c>
    </row>
    <row r="5888" ht="15" customHeight="1" s="104">
      <c r="H5888" s="198" t="n">
        <v>0</v>
      </c>
    </row>
    <row r="5889" ht="15" customHeight="1" s="104">
      <c r="H5889" s="198" t="n">
        <v>0</v>
      </c>
    </row>
    <row r="5890" ht="15" customHeight="1" s="104">
      <c r="H5890" s="198" t="n">
        <v>0</v>
      </c>
    </row>
    <row r="5891" ht="15" customHeight="1" s="104">
      <c r="H5891" s="198" t="n">
        <v>0</v>
      </c>
    </row>
    <row r="5892" ht="15" customHeight="1" s="104">
      <c r="H5892" s="198" t="n">
        <v>0</v>
      </c>
    </row>
    <row r="5893" ht="15" customHeight="1" s="104">
      <c r="H5893" s="198" t="n">
        <v>0</v>
      </c>
    </row>
    <row r="5894" ht="15" customHeight="1" s="104">
      <c r="H5894" s="198" t="n">
        <v>0</v>
      </c>
    </row>
    <row r="5895" ht="15" customHeight="1" s="104">
      <c r="H5895" s="198" t="n">
        <v>0</v>
      </c>
    </row>
    <row r="5896" ht="15" customHeight="1" s="104">
      <c r="H5896" s="198" t="n">
        <v>0</v>
      </c>
    </row>
    <row r="5897" ht="15" customHeight="1" s="104">
      <c r="H5897" s="198" t="n">
        <v>0</v>
      </c>
    </row>
    <row r="5898" ht="15" customHeight="1" s="104">
      <c r="H5898" s="198" t="n">
        <v>0</v>
      </c>
    </row>
    <row r="5899" ht="15" customHeight="1" s="104">
      <c r="H5899" s="198" t="n">
        <v>0</v>
      </c>
    </row>
    <row r="5900" ht="15" customHeight="1" s="104">
      <c r="H5900" s="198" t="n">
        <v>0</v>
      </c>
    </row>
    <row r="5901" ht="15" customHeight="1" s="104">
      <c r="H5901" s="198" t="n">
        <v>0</v>
      </c>
    </row>
    <row r="5902" ht="15" customHeight="1" s="104">
      <c r="H5902" s="198" t="n">
        <v>0</v>
      </c>
    </row>
    <row r="5903" ht="15" customHeight="1" s="104">
      <c r="H5903" s="198" t="n">
        <v>0</v>
      </c>
    </row>
    <row r="5904" ht="15" customHeight="1" s="104">
      <c r="H5904" s="198" t="n">
        <v>0</v>
      </c>
    </row>
    <row r="5905" ht="15" customHeight="1" s="104">
      <c r="H5905" s="198" t="n">
        <v>0</v>
      </c>
    </row>
    <row r="5906" ht="15" customHeight="1" s="104">
      <c r="H5906" s="198" t="n">
        <v>0</v>
      </c>
    </row>
    <row r="5907" ht="15" customHeight="1" s="104">
      <c r="H5907" s="198" t="n">
        <v>0</v>
      </c>
    </row>
    <row r="5908" ht="15" customHeight="1" s="104">
      <c r="H5908" s="198" t="n">
        <v>0</v>
      </c>
    </row>
    <row r="5909" ht="15" customHeight="1" s="104">
      <c r="H5909" s="198" t="n">
        <v>0</v>
      </c>
    </row>
    <row r="5910" ht="15" customHeight="1" s="104">
      <c r="H5910" s="198" t="n">
        <v>0</v>
      </c>
    </row>
    <row r="5911" ht="15" customHeight="1" s="104">
      <c r="H5911" s="198" t="n">
        <v>0</v>
      </c>
    </row>
    <row r="5912" ht="15" customHeight="1" s="104">
      <c r="H5912" s="198" t="n">
        <v>0</v>
      </c>
    </row>
    <row r="5913" ht="15" customHeight="1" s="104">
      <c r="H5913" s="198" t="n">
        <v>0</v>
      </c>
    </row>
    <row r="5914" ht="15" customHeight="1" s="104">
      <c r="H5914" s="198" t="n">
        <v>0</v>
      </c>
    </row>
    <row r="5915" ht="15" customHeight="1" s="104">
      <c r="H5915" s="198" t="n">
        <v>0</v>
      </c>
    </row>
    <row r="5916" ht="15" customHeight="1" s="104">
      <c r="H5916" s="198" t="n">
        <v>0</v>
      </c>
    </row>
    <row r="5917" ht="15" customHeight="1" s="104">
      <c r="H5917" s="198" t="n">
        <v>0</v>
      </c>
    </row>
    <row r="5918" ht="15" customHeight="1" s="104">
      <c r="H5918" s="198" t="n">
        <v>0</v>
      </c>
    </row>
    <row r="5919" ht="15" customHeight="1" s="104">
      <c r="H5919" s="198" t="n">
        <v>0</v>
      </c>
    </row>
    <row r="5920" ht="15" customHeight="1" s="104">
      <c r="H5920" s="198" t="n">
        <v>0</v>
      </c>
    </row>
    <row r="5921" ht="15" customHeight="1" s="104">
      <c r="H5921" s="198" t="n">
        <v>0</v>
      </c>
    </row>
    <row r="5922" ht="15" customHeight="1" s="104">
      <c r="H5922" s="198" t="n">
        <v>0</v>
      </c>
    </row>
    <row r="5923" ht="15" customHeight="1" s="104">
      <c r="H5923" s="198" t="n">
        <v>0</v>
      </c>
    </row>
    <row r="5924" ht="15" customHeight="1" s="104">
      <c r="H5924" s="198" t="n">
        <v>0</v>
      </c>
    </row>
    <row r="5925" ht="15" customHeight="1" s="104">
      <c r="H5925" s="198" t="n">
        <v>0</v>
      </c>
    </row>
    <row r="5926" ht="15" customHeight="1" s="104">
      <c r="H5926" s="198" t="n">
        <v>0</v>
      </c>
    </row>
    <row r="5927" ht="15" customHeight="1" s="104">
      <c r="H5927" s="198" t="n">
        <v>0</v>
      </c>
    </row>
    <row r="5928" ht="15" customHeight="1" s="104">
      <c r="H5928" s="198" t="n">
        <v>0</v>
      </c>
    </row>
    <row r="5929" ht="15" customHeight="1" s="104">
      <c r="H5929" s="198" t="n">
        <v>0</v>
      </c>
    </row>
    <row r="5930" ht="15" customHeight="1" s="104">
      <c r="H5930" s="198" t="n">
        <v>0</v>
      </c>
    </row>
    <row r="5931" ht="15" customHeight="1" s="104">
      <c r="H5931" s="198" t="n">
        <v>0</v>
      </c>
    </row>
    <row r="5932" ht="15" customHeight="1" s="104">
      <c r="H5932" s="198" t="n">
        <v>0</v>
      </c>
    </row>
    <row r="5933" ht="15" customHeight="1" s="104">
      <c r="H5933" s="198" t="n">
        <v>0</v>
      </c>
    </row>
    <row r="5934" ht="15" customHeight="1" s="104">
      <c r="H5934" s="198" t="n">
        <v>0</v>
      </c>
    </row>
    <row r="5935" ht="15" customHeight="1" s="104">
      <c r="H5935" s="198" t="n">
        <v>0</v>
      </c>
    </row>
    <row r="5936" ht="15" customHeight="1" s="104">
      <c r="H5936" s="198" t="n">
        <v>0</v>
      </c>
    </row>
    <row r="5937" ht="15" customHeight="1" s="104">
      <c r="H5937" s="198" t="n">
        <v>0</v>
      </c>
    </row>
    <row r="5938" ht="15" customHeight="1" s="104">
      <c r="H5938" s="198" t="n">
        <v>0</v>
      </c>
    </row>
    <row r="5939" ht="15" customHeight="1" s="104">
      <c r="H5939" s="198" t="n">
        <v>0</v>
      </c>
    </row>
    <row r="5940" ht="15" customHeight="1" s="104">
      <c r="H5940" s="198" t="n">
        <v>0</v>
      </c>
    </row>
    <row r="5941" ht="15" customHeight="1" s="104">
      <c r="H5941" s="198" t="n">
        <v>0</v>
      </c>
    </row>
    <row r="5942" ht="15" customHeight="1" s="104">
      <c r="H5942" s="198" t="n">
        <v>0</v>
      </c>
    </row>
    <row r="5943" ht="15" customHeight="1" s="104">
      <c r="H5943" s="198" t="n">
        <v>0</v>
      </c>
    </row>
    <row r="5944" ht="15" customHeight="1" s="104">
      <c r="H5944" s="198" t="n">
        <v>0</v>
      </c>
    </row>
    <row r="5945" ht="15" customHeight="1" s="104">
      <c r="H5945" s="198" t="n">
        <v>0</v>
      </c>
    </row>
    <row r="5946" ht="15" customHeight="1" s="104">
      <c r="H5946" s="198" t="n">
        <v>0</v>
      </c>
    </row>
    <row r="5947" ht="15" customHeight="1" s="104">
      <c r="H5947" s="198" t="n">
        <v>0</v>
      </c>
    </row>
    <row r="5948" ht="15" customHeight="1" s="104">
      <c r="H5948" s="198" t="n">
        <v>0</v>
      </c>
    </row>
    <row r="5949" ht="15" customHeight="1" s="104">
      <c r="H5949" s="198" t="n">
        <v>0</v>
      </c>
    </row>
    <row r="5950" ht="15" customHeight="1" s="104">
      <c r="H5950" s="198" t="n">
        <v>0</v>
      </c>
    </row>
    <row r="5951" ht="15" customHeight="1" s="104">
      <c r="H5951" s="198" t="n">
        <v>0</v>
      </c>
    </row>
    <row r="5952" ht="15" customHeight="1" s="104">
      <c r="H5952" s="198" t="n">
        <v>0</v>
      </c>
    </row>
    <row r="5953" ht="15" customHeight="1" s="104">
      <c r="H5953" s="198" t="n">
        <v>0</v>
      </c>
    </row>
    <row r="5954" ht="15" customHeight="1" s="104">
      <c r="H5954" s="198" t="n">
        <v>0</v>
      </c>
    </row>
    <row r="5955" ht="15" customHeight="1" s="104">
      <c r="H5955" s="198" t="n">
        <v>0</v>
      </c>
    </row>
    <row r="5956" ht="15" customHeight="1" s="104">
      <c r="H5956" s="198" t="n">
        <v>0</v>
      </c>
    </row>
    <row r="5957" ht="15" customHeight="1" s="104">
      <c r="H5957" s="198" t="n">
        <v>0</v>
      </c>
    </row>
    <row r="5958" ht="15" customHeight="1" s="104">
      <c r="H5958" s="198" t="n">
        <v>0</v>
      </c>
    </row>
    <row r="5959" ht="15" customHeight="1" s="104">
      <c r="H5959" s="198" t="n">
        <v>0</v>
      </c>
    </row>
    <row r="5960" ht="15" customHeight="1" s="104">
      <c r="H5960" s="198" t="n">
        <v>0</v>
      </c>
    </row>
    <row r="5961" ht="15" customHeight="1" s="104">
      <c r="H5961" s="198" t="n">
        <v>0</v>
      </c>
    </row>
    <row r="5962" ht="15" customHeight="1" s="104">
      <c r="H5962" s="198" t="n">
        <v>0</v>
      </c>
    </row>
    <row r="5963" ht="15" customHeight="1" s="104">
      <c r="H5963" s="198" t="n">
        <v>0</v>
      </c>
    </row>
    <row r="5964" ht="15" customHeight="1" s="104">
      <c r="H5964" s="198" t="n">
        <v>0</v>
      </c>
    </row>
    <row r="5965" ht="15" customHeight="1" s="104">
      <c r="H5965" s="198" t="n">
        <v>0</v>
      </c>
    </row>
    <row r="5966" ht="15" customHeight="1" s="104">
      <c r="H5966" s="198" t="n">
        <v>0</v>
      </c>
    </row>
    <row r="5967" ht="15" customHeight="1" s="104">
      <c r="H5967" s="198" t="n">
        <v>0</v>
      </c>
    </row>
    <row r="5968" ht="15" customHeight="1" s="104">
      <c r="H5968" s="198" t="n">
        <v>0</v>
      </c>
    </row>
    <row r="5969" ht="15" customHeight="1" s="104">
      <c r="H5969" s="198" t="n">
        <v>0</v>
      </c>
    </row>
    <row r="5970" ht="15" customHeight="1" s="104">
      <c r="H5970" s="198" t="n">
        <v>0</v>
      </c>
    </row>
    <row r="5971" ht="15" customHeight="1" s="104">
      <c r="H5971" s="198" t="n">
        <v>0</v>
      </c>
    </row>
    <row r="5972" ht="15" customHeight="1" s="104">
      <c r="H5972" s="198" t="n">
        <v>0</v>
      </c>
    </row>
    <row r="5973" ht="15" customHeight="1" s="104">
      <c r="H5973" s="198" t="n">
        <v>0</v>
      </c>
    </row>
    <row r="5974" ht="15" customHeight="1" s="104">
      <c r="H5974" s="198" t="n">
        <v>0</v>
      </c>
    </row>
    <row r="5975" ht="15" customHeight="1" s="104">
      <c r="H5975" s="198" t="n">
        <v>0</v>
      </c>
    </row>
    <row r="5976" ht="15" customHeight="1" s="104">
      <c r="H5976" s="198" t="n">
        <v>0</v>
      </c>
    </row>
    <row r="5977" ht="15" customHeight="1" s="104">
      <c r="H5977" s="198" t="n">
        <v>0</v>
      </c>
    </row>
    <row r="5978" ht="15" customHeight="1" s="104">
      <c r="H5978" s="198" t="n">
        <v>0</v>
      </c>
    </row>
    <row r="5979" ht="15" customHeight="1" s="104">
      <c r="H5979" s="198" t="n">
        <v>0</v>
      </c>
    </row>
    <row r="5980" ht="15" customHeight="1" s="104">
      <c r="H5980" s="198" t="n">
        <v>0</v>
      </c>
    </row>
    <row r="5981" ht="15" customHeight="1" s="104">
      <c r="H5981" s="198" t="n">
        <v>0</v>
      </c>
    </row>
    <row r="5982" ht="15" customHeight="1" s="104">
      <c r="H5982" s="198" t="n">
        <v>0</v>
      </c>
    </row>
    <row r="5983" ht="15" customHeight="1" s="104">
      <c r="H5983" s="198" t="n">
        <v>0</v>
      </c>
    </row>
    <row r="5984" ht="15" customHeight="1" s="104">
      <c r="H5984" s="198" t="n">
        <v>0</v>
      </c>
    </row>
    <row r="5985" ht="15" customHeight="1" s="104">
      <c r="H5985" s="198" t="n">
        <v>0</v>
      </c>
    </row>
    <row r="5986" ht="15" customHeight="1" s="104">
      <c r="H5986" s="198" t="n">
        <v>0</v>
      </c>
    </row>
    <row r="5987" ht="15" customHeight="1" s="104">
      <c r="H5987" s="198" t="n">
        <v>0</v>
      </c>
    </row>
    <row r="5988" ht="15" customHeight="1" s="104">
      <c r="H5988" s="198" t="n">
        <v>0</v>
      </c>
    </row>
    <row r="5989" ht="15" customHeight="1" s="104">
      <c r="H5989" s="198" t="n">
        <v>0</v>
      </c>
    </row>
    <row r="5990" ht="15" customHeight="1" s="104">
      <c r="H5990" s="198" t="n">
        <v>0</v>
      </c>
    </row>
    <row r="5991" ht="15" customHeight="1" s="104">
      <c r="H5991" s="198" t="n">
        <v>0</v>
      </c>
    </row>
    <row r="5992" ht="15" customHeight="1" s="104">
      <c r="H5992" s="198" t="n">
        <v>0</v>
      </c>
    </row>
    <row r="5993" ht="15" customHeight="1" s="104">
      <c r="H5993" s="198" t="n">
        <v>0</v>
      </c>
    </row>
    <row r="5994" ht="15" customHeight="1" s="104">
      <c r="H5994" s="198" t="n">
        <v>0</v>
      </c>
    </row>
    <row r="5995" ht="15" customHeight="1" s="104">
      <c r="H5995" s="198" t="n">
        <v>0</v>
      </c>
    </row>
    <row r="5996" ht="15" customHeight="1" s="104">
      <c r="H5996" s="198" t="n">
        <v>0</v>
      </c>
    </row>
    <row r="5997" ht="15" customHeight="1" s="104">
      <c r="H5997" s="198" t="n">
        <v>0</v>
      </c>
    </row>
    <row r="5998" ht="15" customHeight="1" s="104">
      <c r="H5998" s="198" t="n">
        <v>0</v>
      </c>
    </row>
    <row r="5999" ht="15" customHeight="1" s="104">
      <c r="H5999" s="198" t="n">
        <v>0</v>
      </c>
    </row>
    <row r="6000" ht="15" customHeight="1" s="104">
      <c r="H6000" s="198" t="n">
        <v>0</v>
      </c>
    </row>
    <row r="6001" ht="15" customHeight="1" s="104">
      <c r="H6001" s="198" t="n">
        <v>0</v>
      </c>
    </row>
    <row r="6002" ht="15" customHeight="1" s="104">
      <c r="H6002" s="198" t="n">
        <v>0</v>
      </c>
    </row>
    <row r="6003" ht="15" customHeight="1" s="104">
      <c r="H6003" s="198" t="n">
        <v>0</v>
      </c>
    </row>
    <row r="6004" ht="15" customHeight="1" s="104">
      <c r="H6004" s="198" t="n">
        <v>0</v>
      </c>
    </row>
    <row r="6005" ht="15" customHeight="1" s="104">
      <c r="H6005" s="198" t="n">
        <v>0</v>
      </c>
    </row>
    <row r="6006" ht="15" customHeight="1" s="104">
      <c r="H6006" s="198" t="n">
        <v>0</v>
      </c>
    </row>
    <row r="6007" ht="15" customHeight="1" s="104">
      <c r="H6007" s="198" t="n">
        <v>0</v>
      </c>
    </row>
    <row r="6008" ht="15" customHeight="1" s="104">
      <c r="H6008" s="198" t="n">
        <v>0</v>
      </c>
    </row>
    <row r="6009" ht="15" customHeight="1" s="104">
      <c r="H6009" s="198" t="n">
        <v>0</v>
      </c>
    </row>
    <row r="6010" ht="15" customHeight="1" s="104">
      <c r="H6010" s="198" t="n">
        <v>0</v>
      </c>
    </row>
    <row r="6011" ht="15" customHeight="1" s="104">
      <c r="H6011" s="198" t="n">
        <v>0</v>
      </c>
    </row>
    <row r="6012" ht="15" customHeight="1" s="104">
      <c r="H6012" s="198" t="n">
        <v>0</v>
      </c>
    </row>
    <row r="6013" ht="15" customHeight="1" s="104">
      <c r="H6013" s="198" t="n">
        <v>0</v>
      </c>
    </row>
    <row r="6014" ht="15" customHeight="1" s="104">
      <c r="H6014" s="198" t="n">
        <v>0</v>
      </c>
    </row>
    <row r="6015" ht="15" customHeight="1" s="104">
      <c r="H6015" s="198" t="n">
        <v>0</v>
      </c>
    </row>
    <row r="6016" ht="15" customHeight="1" s="104">
      <c r="H6016" s="198" t="n">
        <v>0</v>
      </c>
    </row>
    <row r="6017" ht="15" customHeight="1" s="104">
      <c r="H6017" s="198" t="n">
        <v>0</v>
      </c>
    </row>
    <row r="6018" ht="15" customHeight="1" s="104">
      <c r="H6018" s="198" t="n">
        <v>0</v>
      </c>
    </row>
    <row r="6019" ht="15" customHeight="1" s="104">
      <c r="H6019" s="198" t="n">
        <v>0</v>
      </c>
    </row>
    <row r="6020" ht="15" customHeight="1" s="104">
      <c r="H6020" s="198" t="n">
        <v>0</v>
      </c>
    </row>
    <row r="6021" ht="15" customHeight="1" s="104">
      <c r="H6021" s="198" t="n">
        <v>0</v>
      </c>
    </row>
    <row r="6022" ht="15" customHeight="1" s="104">
      <c r="H6022" s="198" t="n">
        <v>0</v>
      </c>
    </row>
    <row r="6023" ht="15" customHeight="1" s="104">
      <c r="H6023" s="198" t="n">
        <v>0</v>
      </c>
    </row>
    <row r="6024" ht="15" customHeight="1" s="104">
      <c r="H6024" s="198" t="n">
        <v>0</v>
      </c>
    </row>
    <row r="6025" ht="15" customHeight="1" s="104">
      <c r="H6025" s="198" t="n">
        <v>0</v>
      </c>
    </row>
    <row r="6026" ht="15" customHeight="1" s="104">
      <c r="H6026" s="198" t="n">
        <v>0</v>
      </c>
    </row>
    <row r="6027" ht="15" customHeight="1" s="104">
      <c r="H6027" s="198" t="n">
        <v>0</v>
      </c>
    </row>
    <row r="6028" ht="15" customHeight="1" s="104">
      <c r="H6028" s="198" t="n">
        <v>0</v>
      </c>
    </row>
    <row r="6029" ht="15" customHeight="1" s="104">
      <c r="H6029" s="198" t="n">
        <v>0</v>
      </c>
    </row>
    <row r="6030" ht="15" customHeight="1" s="104">
      <c r="H6030" s="198" t="n">
        <v>0</v>
      </c>
    </row>
    <row r="6031" ht="15" customHeight="1" s="104">
      <c r="H6031" s="198" t="n">
        <v>0</v>
      </c>
    </row>
    <row r="6032" ht="15" customHeight="1" s="104">
      <c r="H6032" s="198" t="n">
        <v>0</v>
      </c>
    </row>
    <row r="6033" ht="15" customHeight="1" s="104">
      <c r="H6033" s="198" t="n">
        <v>0</v>
      </c>
    </row>
    <row r="6034" ht="15" customHeight="1" s="104">
      <c r="H6034" s="198" t="n">
        <v>0</v>
      </c>
    </row>
    <row r="6035" ht="15" customHeight="1" s="104">
      <c r="H6035" s="198" t="n">
        <v>0</v>
      </c>
    </row>
    <row r="6036" ht="15" customHeight="1" s="104">
      <c r="H6036" s="198" t="n">
        <v>0</v>
      </c>
    </row>
    <row r="6037" ht="15" customHeight="1" s="104">
      <c r="H6037" s="198" t="n">
        <v>0</v>
      </c>
    </row>
    <row r="6038" ht="15" customHeight="1" s="104">
      <c r="H6038" s="198" t="n">
        <v>0</v>
      </c>
    </row>
    <row r="6039" ht="15" customHeight="1" s="104">
      <c r="H6039" s="198" t="n">
        <v>0</v>
      </c>
    </row>
    <row r="6040" ht="15" customHeight="1" s="104">
      <c r="H6040" s="198" t="n">
        <v>0</v>
      </c>
    </row>
    <row r="6041" ht="15" customHeight="1" s="104">
      <c r="H6041" s="198" t="n">
        <v>0</v>
      </c>
    </row>
    <row r="6042" ht="15" customHeight="1" s="104">
      <c r="H6042" s="198" t="n">
        <v>0</v>
      </c>
    </row>
    <row r="6043" ht="15" customHeight="1" s="104">
      <c r="H6043" s="198" t="n">
        <v>0</v>
      </c>
    </row>
    <row r="6044" ht="15" customHeight="1" s="104">
      <c r="H6044" s="198" t="n">
        <v>0</v>
      </c>
    </row>
    <row r="6045" ht="15" customHeight="1" s="104">
      <c r="H6045" s="198" t="n">
        <v>0</v>
      </c>
    </row>
    <row r="6046" ht="15" customHeight="1" s="104">
      <c r="H6046" s="198" t="n">
        <v>0</v>
      </c>
    </row>
    <row r="6047" ht="15" customHeight="1" s="104">
      <c r="H6047" s="198" t="n">
        <v>0</v>
      </c>
    </row>
    <row r="6048" ht="15" customHeight="1" s="104">
      <c r="H6048" s="198" t="n">
        <v>0</v>
      </c>
    </row>
    <row r="6049" ht="15" customHeight="1" s="104">
      <c r="H6049" s="198" t="n">
        <v>0</v>
      </c>
    </row>
    <row r="6050" ht="15" customHeight="1" s="104">
      <c r="H6050" s="198" t="n">
        <v>0</v>
      </c>
    </row>
    <row r="6051" ht="15" customHeight="1" s="104">
      <c r="H6051" s="198" t="n">
        <v>0</v>
      </c>
    </row>
    <row r="6052" ht="15" customHeight="1" s="104">
      <c r="H6052" s="198" t="n">
        <v>0</v>
      </c>
    </row>
    <row r="6053" ht="15" customHeight="1" s="104">
      <c r="H6053" s="198" t="n">
        <v>0</v>
      </c>
    </row>
    <row r="6054" ht="15" customHeight="1" s="104">
      <c r="H6054" s="198" t="n">
        <v>0</v>
      </c>
    </row>
    <row r="6055" ht="15" customHeight="1" s="104">
      <c r="H6055" s="198" t="n">
        <v>0</v>
      </c>
    </row>
    <row r="6056" ht="15" customHeight="1" s="104">
      <c r="H6056" s="198" t="n">
        <v>0</v>
      </c>
    </row>
    <row r="6057" ht="15" customHeight="1" s="104">
      <c r="H6057" s="198" t="n">
        <v>0</v>
      </c>
    </row>
    <row r="6058" ht="15" customHeight="1" s="104">
      <c r="H6058" s="198" t="n">
        <v>0</v>
      </c>
    </row>
    <row r="6059" ht="15" customHeight="1" s="104">
      <c r="H6059" s="198" t="n">
        <v>0</v>
      </c>
    </row>
    <row r="6060" ht="15" customHeight="1" s="104">
      <c r="H6060" s="198" t="n">
        <v>0</v>
      </c>
    </row>
    <row r="6061" ht="15" customHeight="1" s="104">
      <c r="H6061" s="198" t="n">
        <v>0</v>
      </c>
    </row>
    <row r="6062" ht="15" customHeight="1" s="104">
      <c r="H6062" s="198" t="n">
        <v>0</v>
      </c>
    </row>
    <row r="6063" ht="15" customHeight="1" s="104">
      <c r="H6063" s="198" t="n">
        <v>0</v>
      </c>
    </row>
    <row r="6064" ht="15" customHeight="1" s="104">
      <c r="H6064" s="198" t="n">
        <v>0</v>
      </c>
    </row>
    <row r="6065" ht="15" customHeight="1" s="104">
      <c r="H6065" s="198" t="n">
        <v>0</v>
      </c>
    </row>
    <row r="6066" ht="15" customHeight="1" s="104">
      <c r="H6066" s="198" t="n">
        <v>0</v>
      </c>
    </row>
    <row r="6067" ht="15" customHeight="1" s="104">
      <c r="H6067" s="198" t="n">
        <v>0</v>
      </c>
    </row>
    <row r="6068" ht="15" customHeight="1" s="104">
      <c r="H6068" s="198" t="n">
        <v>0</v>
      </c>
    </row>
    <row r="6069" ht="15" customHeight="1" s="104">
      <c r="H6069" s="198" t="n">
        <v>0</v>
      </c>
    </row>
    <row r="6070" ht="15" customHeight="1" s="104">
      <c r="H6070" s="198" t="n">
        <v>0</v>
      </c>
    </row>
    <row r="6071" ht="15" customHeight="1" s="104">
      <c r="H6071" s="198" t="n">
        <v>0</v>
      </c>
    </row>
    <row r="6072" ht="15" customHeight="1" s="104">
      <c r="H6072" s="198" t="n">
        <v>0</v>
      </c>
    </row>
    <row r="6073" ht="15" customHeight="1" s="104">
      <c r="H6073" s="198" t="n">
        <v>0</v>
      </c>
    </row>
    <row r="6074" ht="15" customHeight="1" s="104">
      <c r="H6074" s="198" t="n">
        <v>0</v>
      </c>
    </row>
    <row r="6075" ht="15" customHeight="1" s="104">
      <c r="H6075" s="198" t="n">
        <v>0</v>
      </c>
    </row>
    <row r="6076" ht="15" customHeight="1" s="104">
      <c r="H6076" s="198" t="n">
        <v>0</v>
      </c>
    </row>
    <row r="6077" ht="15" customHeight="1" s="104">
      <c r="H6077" s="198" t="n">
        <v>0</v>
      </c>
    </row>
    <row r="6078" ht="15" customHeight="1" s="104">
      <c r="H6078" s="198" t="n">
        <v>0</v>
      </c>
    </row>
    <row r="6079" ht="15" customHeight="1" s="104">
      <c r="H6079" s="198" t="n">
        <v>0</v>
      </c>
    </row>
    <row r="6080" ht="15" customHeight="1" s="104">
      <c r="H6080" s="198" t="n">
        <v>0</v>
      </c>
    </row>
    <row r="6081" ht="15" customHeight="1" s="104">
      <c r="H6081" s="198" t="n">
        <v>0</v>
      </c>
    </row>
    <row r="6082" ht="15" customHeight="1" s="104">
      <c r="H6082" s="198" t="n">
        <v>0</v>
      </c>
    </row>
    <row r="6083" ht="15" customHeight="1" s="104">
      <c r="H6083" s="198" t="n">
        <v>0</v>
      </c>
    </row>
    <row r="6084" ht="15" customHeight="1" s="104">
      <c r="H6084" s="198" t="n">
        <v>0</v>
      </c>
    </row>
    <row r="6085" ht="15" customHeight="1" s="104">
      <c r="H6085" s="198" t="n">
        <v>0</v>
      </c>
    </row>
    <row r="6086" ht="15" customHeight="1" s="104">
      <c r="H6086" s="198" t="n">
        <v>0</v>
      </c>
    </row>
    <row r="6087" ht="15" customHeight="1" s="104">
      <c r="H6087" s="198" t="n">
        <v>0</v>
      </c>
    </row>
    <row r="6088" ht="15" customHeight="1" s="104">
      <c r="H6088" s="198" t="n">
        <v>0</v>
      </c>
    </row>
    <row r="6089" ht="15" customHeight="1" s="104">
      <c r="H6089" s="198" t="n">
        <v>0</v>
      </c>
    </row>
    <row r="6090" ht="15" customHeight="1" s="104">
      <c r="H6090" s="198" t="n">
        <v>0</v>
      </c>
    </row>
    <row r="6091" ht="15" customHeight="1" s="104">
      <c r="H6091" s="198" t="n">
        <v>0</v>
      </c>
    </row>
    <row r="6092" ht="15" customHeight="1" s="104">
      <c r="H6092" s="198" t="n">
        <v>0</v>
      </c>
    </row>
    <row r="6093" ht="15" customHeight="1" s="104">
      <c r="H6093" s="198" t="n">
        <v>0</v>
      </c>
    </row>
    <row r="6094" ht="15" customHeight="1" s="104">
      <c r="H6094" s="198" t="n">
        <v>0</v>
      </c>
    </row>
    <row r="6095" ht="15" customHeight="1" s="104">
      <c r="H6095" s="198" t="n">
        <v>0</v>
      </c>
    </row>
    <row r="6096" ht="15" customHeight="1" s="104">
      <c r="H6096" s="198" t="n">
        <v>0</v>
      </c>
    </row>
    <row r="6097" ht="15" customHeight="1" s="104">
      <c r="H6097" s="198" t="n">
        <v>0</v>
      </c>
    </row>
    <row r="6098" ht="15" customHeight="1" s="104">
      <c r="H6098" s="198" t="n">
        <v>0</v>
      </c>
    </row>
    <row r="6099" ht="15" customHeight="1" s="104">
      <c r="H6099" s="198" t="n">
        <v>0</v>
      </c>
    </row>
    <row r="6100" ht="15" customHeight="1" s="104">
      <c r="H6100" s="198" t="n">
        <v>0</v>
      </c>
    </row>
    <row r="6101" ht="15" customHeight="1" s="104">
      <c r="H6101" s="198" t="n">
        <v>0</v>
      </c>
    </row>
    <row r="6102" ht="15" customHeight="1" s="104">
      <c r="H6102" s="198" t="n">
        <v>0</v>
      </c>
    </row>
    <row r="6103" ht="15" customHeight="1" s="104">
      <c r="H6103" s="198" t="n">
        <v>0</v>
      </c>
    </row>
    <row r="6104" ht="15" customHeight="1" s="104">
      <c r="H6104" s="198" t="n">
        <v>0</v>
      </c>
    </row>
    <row r="6105" ht="15" customHeight="1" s="104">
      <c r="H6105" s="198" t="n">
        <v>0</v>
      </c>
    </row>
    <row r="6106" ht="15" customHeight="1" s="104">
      <c r="H6106" s="198" t="n">
        <v>0</v>
      </c>
    </row>
    <row r="6107" ht="15" customHeight="1" s="104">
      <c r="H6107" s="198" t="n">
        <v>0</v>
      </c>
    </row>
    <row r="6108" ht="15" customHeight="1" s="104">
      <c r="H6108" s="198" t="n">
        <v>0</v>
      </c>
    </row>
    <row r="6109" ht="15" customHeight="1" s="104">
      <c r="H6109" s="198" t="n">
        <v>0</v>
      </c>
    </row>
    <row r="6110" ht="15" customHeight="1" s="104">
      <c r="H6110" s="198" t="n">
        <v>0</v>
      </c>
    </row>
    <row r="6111" ht="15" customHeight="1" s="104">
      <c r="H6111" s="198" t="n">
        <v>0</v>
      </c>
    </row>
    <row r="6112" ht="15" customHeight="1" s="104">
      <c r="H6112" s="198" t="n">
        <v>0</v>
      </c>
    </row>
    <row r="6113" ht="15" customHeight="1" s="104">
      <c r="H6113" s="198" t="n">
        <v>0</v>
      </c>
    </row>
    <row r="6114" ht="15" customHeight="1" s="104">
      <c r="H6114" s="198" t="n">
        <v>0</v>
      </c>
    </row>
    <row r="6115" ht="15" customHeight="1" s="104">
      <c r="H6115" s="198" t="n">
        <v>0</v>
      </c>
    </row>
    <row r="6116" ht="15" customHeight="1" s="104">
      <c r="H6116" s="198" t="n">
        <v>0</v>
      </c>
    </row>
    <row r="6117" ht="15" customHeight="1" s="104">
      <c r="H6117" s="198" t="n">
        <v>0</v>
      </c>
    </row>
    <row r="6118" ht="15" customHeight="1" s="104">
      <c r="H6118" s="198" t="n">
        <v>0</v>
      </c>
    </row>
    <row r="6119" ht="15" customHeight="1" s="104">
      <c r="H6119" s="198" t="n">
        <v>0</v>
      </c>
    </row>
    <row r="6120" ht="15" customHeight="1" s="104">
      <c r="H6120" s="198" t="n">
        <v>0</v>
      </c>
    </row>
    <row r="6121" ht="15" customHeight="1" s="104">
      <c r="H6121" s="198" t="n">
        <v>0</v>
      </c>
    </row>
    <row r="6122" ht="15" customHeight="1" s="104">
      <c r="H6122" s="198" t="n">
        <v>0</v>
      </c>
    </row>
    <row r="6123" ht="15" customHeight="1" s="104">
      <c r="H6123" s="198" t="n">
        <v>0</v>
      </c>
    </row>
    <row r="6124" ht="15" customHeight="1" s="104">
      <c r="H6124" s="198" t="n">
        <v>0</v>
      </c>
    </row>
    <row r="6125" ht="15" customHeight="1" s="104">
      <c r="H6125" s="198" t="n">
        <v>0</v>
      </c>
    </row>
    <row r="6126" ht="15" customHeight="1" s="104">
      <c r="H6126" s="198" t="n">
        <v>0</v>
      </c>
    </row>
    <row r="6127" ht="15" customHeight="1" s="104">
      <c r="H6127" s="198" t="n">
        <v>0</v>
      </c>
    </row>
    <row r="6128" ht="15" customHeight="1" s="104">
      <c r="H6128" s="198" t="n">
        <v>0</v>
      </c>
    </row>
    <row r="6129" ht="15" customHeight="1" s="104">
      <c r="H6129" s="198" t="n">
        <v>0</v>
      </c>
    </row>
    <row r="6130" ht="15" customHeight="1" s="104">
      <c r="H6130" s="198" t="n">
        <v>0</v>
      </c>
    </row>
    <row r="6131" ht="15" customHeight="1" s="104">
      <c r="H6131" s="198" t="n">
        <v>0</v>
      </c>
    </row>
    <row r="6132" ht="15" customHeight="1" s="104">
      <c r="H6132" s="198" t="n">
        <v>0</v>
      </c>
    </row>
    <row r="6133" ht="15" customHeight="1" s="104">
      <c r="H6133" s="198" t="n">
        <v>0</v>
      </c>
    </row>
    <row r="6134" ht="15" customHeight="1" s="104">
      <c r="H6134" s="198" t="n">
        <v>0</v>
      </c>
    </row>
    <row r="6135" ht="15" customHeight="1" s="104">
      <c r="H6135" s="198" t="n">
        <v>0</v>
      </c>
    </row>
    <row r="6136" ht="15" customHeight="1" s="104">
      <c r="H6136" s="198" t="n">
        <v>0</v>
      </c>
    </row>
    <row r="6137" ht="15" customHeight="1" s="104">
      <c r="H6137" s="198" t="n">
        <v>0</v>
      </c>
    </row>
    <row r="6138" ht="15" customHeight="1" s="104">
      <c r="H6138" s="198" t="n">
        <v>0</v>
      </c>
    </row>
    <row r="6139" ht="15" customHeight="1" s="104">
      <c r="H6139" s="198" t="n">
        <v>0</v>
      </c>
    </row>
    <row r="6140" ht="15" customHeight="1" s="104">
      <c r="H6140" s="198" t="n">
        <v>0</v>
      </c>
    </row>
    <row r="6141" ht="15" customHeight="1" s="104">
      <c r="H6141" s="198" t="n">
        <v>0</v>
      </c>
    </row>
    <row r="6142" ht="15" customHeight="1" s="104">
      <c r="H6142" s="198" t="n">
        <v>0</v>
      </c>
    </row>
    <row r="6143" ht="15" customHeight="1" s="104">
      <c r="H6143" s="198" t="n">
        <v>0</v>
      </c>
    </row>
    <row r="6144" ht="15" customHeight="1" s="104">
      <c r="H6144" s="198" t="n">
        <v>0</v>
      </c>
    </row>
    <row r="6145" ht="15" customHeight="1" s="104">
      <c r="H6145" s="198" t="n">
        <v>0</v>
      </c>
    </row>
    <row r="6146" ht="15" customHeight="1" s="104">
      <c r="H6146" s="198" t="n">
        <v>0</v>
      </c>
    </row>
    <row r="6147" ht="15" customHeight="1" s="104">
      <c r="H6147" s="198" t="n">
        <v>0</v>
      </c>
    </row>
    <row r="6148" ht="15" customHeight="1" s="104">
      <c r="H6148" s="198" t="n">
        <v>0</v>
      </c>
    </row>
    <row r="6149" ht="15" customHeight="1" s="104">
      <c r="H6149" s="198" t="n">
        <v>0</v>
      </c>
    </row>
    <row r="6150" ht="15" customHeight="1" s="104">
      <c r="H6150" s="198" t="n">
        <v>0</v>
      </c>
    </row>
    <row r="6151" ht="15" customHeight="1" s="104">
      <c r="H6151" s="198" t="n">
        <v>0</v>
      </c>
    </row>
    <row r="6152" ht="15" customHeight="1" s="104">
      <c r="H6152" s="198" t="n">
        <v>0</v>
      </c>
    </row>
    <row r="6153" ht="15" customHeight="1" s="104">
      <c r="H6153" s="198" t="n">
        <v>0</v>
      </c>
    </row>
    <row r="6154" ht="15" customHeight="1" s="104">
      <c r="H6154" s="198" t="n">
        <v>0</v>
      </c>
    </row>
    <row r="6155" ht="15" customHeight="1" s="104">
      <c r="H6155" s="198" t="n">
        <v>0</v>
      </c>
    </row>
    <row r="6156" ht="15" customHeight="1" s="104">
      <c r="H6156" s="198" t="n">
        <v>0</v>
      </c>
    </row>
    <row r="6157" ht="15" customHeight="1" s="104">
      <c r="H6157" s="198" t="n">
        <v>0</v>
      </c>
    </row>
    <row r="6158" ht="15" customHeight="1" s="104">
      <c r="H6158" s="198" t="n">
        <v>0</v>
      </c>
    </row>
    <row r="6159" ht="15" customHeight="1" s="104">
      <c r="H6159" s="198" t="n">
        <v>0</v>
      </c>
    </row>
    <row r="6160" ht="15" customHeight="1" s="104">
      <c r="H6160" s="198" t="n">
        <v>0</v>
      </c>
    </row>
    <row r="6161" ht="15" customHeight="1" s="104">
      <c r="H6161" s="198" t="n">
        <v>0</v>
      </c>
    </row>
    <row r="6162" ht="15" customHeight="1" s="104">
      <c r="H6162" s="198" t="n">
        <v>0</v>
      </c>
    </row>
    <row r="6163" ht="15" customHeight="1" s="104">
      <c r="H6163" s="198" t="n">
        <v>0</v>
      </c>
    </row>
    <row r="6164" ht="15" customHeight="1" s="104">
      <c r="H6164" s="198" t="n">
        <v>0</v>
      </c>
    </row>
    <row r="6165" ht="15" customHeight="1" s="104">
      <c r="H6165" s="198" t="n">
        <v>0</v>
      </c>
    </row>
    <row r="6166" ht="15" customHeight="1" s="104">
      <c r="H6166" s="198" t="n">
        <v>0</v>
      </c>
    </row>
    <row r="6167" ht="15" customHeight="1" s="104">
      <c r="H6167" s="198" t="n">
        <v>0</v>
      </c>
    </row>
    <row r="6168" ht="15" customHeight="1" s="104">
      <c r="H6168" s="198" t="n">
        <v>0</v>
      </c>
    </row>
    <row r="6169" ht="15" customHeight="1" s="104">
      <c r="H6169" s="198" t="n">
        <v>0</v>
      </c>
    </row>
    <row r="6170" ht="15" customHeight="1" s="104">
      <c r="H6170" s="198" t="n">
        <v>0</v>
      </c>
    </row>
    <row r="6171" ht="15" customHeight="1" s="104">
      <c r="H6171" s="198" t="n">
        <v>0</v>
      </c>
    </row>
    <row r="6172" ht="15" customHeight="1" s="104">
      <c r="H6172" s="198" t="n">
        <v>0</v>
      </c>
    </row>
    <row r="6173" ht="15" customHeight="1" s="104">
      <c r="H6173" s="198" t="n">
        <v>0</v>
      </c>
    </row>
    <row r="6174" ht="15" customHeight="1" s="104">
      <c r="H6174" s="198" t="n">
        <v>0</v>
      </c>
    </row>
    <row r="6175" ht="15" customHeight="1" s="104">
      <c r="H6175" s="198" t="n">
        <v>0</v>
      </c>
    </row>
    <row r="6176" ht="15" customHeight="1" s="104">
      <c r="H6176" s="198" t="n">
        <v>0</v>
      </c>
    </row>
    <row r="6177" ht="15" customHeight="1" s="104">
      <c r="H6177" s="198" t="n">
        <v>0</v>
      </c>
    </row>
    <row r="6178" ht="15" customHeight="1" s="104">
      <c r="H6178" s="198" t="n">
        <v>0</v>
      </c>
    </row>
    <row r="6179" ht="15" customHeight="1" s="104">
      <c r="H6179" s="198" t="n">
        <v>0</v>
      </c>
    </row>
    <row r="6180" ht="15" customHeight="1" s="104">
      <c r="H6180" s="198" t="n">
        <v>0</v>
      </c>
    </row>
    <row r="6181" ht="15" customHeight="1" s="104">
      <c r="H6181" s="198" t="n">
        <v>0</v>
      </c>
    </row>
    <row r="6182" ht="15" customHeight="1" s="104">
      <c r="H6182" s="198" t="n">
        <v>0</v>
      </c>
    </row>
    <row r="6183" ht="15" customHeight="1" s="104">
      <c r="H6183" s="198" t="n">
        <v>0</v>
      </c>
    </row>
    <row r="6184" ht="15" customHeight="1" s="104">
      <c r="H6184" s="198" t="n">
        <v>0</v>
      </c>
    </row>
    <row r="6185" ht="15" customHeight="1" s="104">
      <c r="H6185" s="198" t="n">
        <v>0</v>
      </c>
    </row>
    <row r="6186" ht="15" customHeight="1" s="104">
      <c r="H6186" s="198" t="n">
        <v>0</v>
      </c>
    </row>
    <row r="6187" ht="15" customHeight="1" s="104">
      <c r="H6187" s="198" t="n">
        <v>0</v>
      </c>
    </row>
    <row r="6188" ht="15" customHeight="1" s="104">
      <c r="H6188" s="198" t="n">
        <v>0</v>
      </c>
    </row>
    <row r="6189" ht="15" customHeight="1" s="104">
      <c r="H6189" s="198" t="n">
        <v>0</v>
      </c>
    </row>
    <row r="6190" ht="15" customHeight="1" s="104">
      <c r="H6190" s="198" t="n">
        <v>0</v>
      </c>
    </row>
    <row r="6191" ht="15" customHeight="1" s="104">
      <c r="H6191" s="198" t="n">
        <v>0</v>
      </c>
    </row>
    <row r="6192" ht="15" customHeight="1" s="104">
      <c r="H6192" s="198" t="n">
        <v>0</v>
      </c>
    </row>
    <row r="6193" ht="15" customHeight="1" s="104">
      <c r="H6193" s="198" t="n">
        <v>0</v>
      </c>
    </row>
    <row r="6194" ht="15" customHeight="1" s="104">
      <c r="H6194" s="198" t="n">
        <v>0</v>
      </c>
    </row>
    <row r="6195" ht="15" customHeight="1" s="104">
      <c r="H6195" s="198" t="n">
        <v>0</v>
      </c>
    </row>
    <row r="6196" ht="15" customHeight="1" s="104">
      <c r="H6196" s="198" t="n">
        <v>0</v>
      </c>
    </row>
    <row r="6197" ht="15" customHeight="1" s="104">
      <c r="H6197" s="198" t="n">
        <v>0</v>
      </c>
    </row>
    <row r="6198" ht="15" customHeight="1" s="104">
      <c r="H6198" s="198" t="n">
        <v>0</v>
      </c>
    </row>
    <row r="6199" ht="15" customHeight="1" s="104">
      <c r="H6199" s="198" t="n">
        <v>0</v>
      </c>
    </row>
    <row r="6200" ht="15" customHeight="1" s="104">
      <c r="H6200" s="198" t="n">
        <v>0</v>
      </c>
    </row>
    <row r="6201" ht="15" customHeight="1" s="104">
      <c r="H6201" s="198" t="n">
        <v>0</v>
      </c>
    </row>
    <row r="6202" ht="15" customHeight="1" s="104">
      <c r="H6202" s="198" t="n">
        <v>0</v>
      </c>
    </row>
    <row r="6203" ht="15" customHeight="1" s="104">
      <c r="H6203" s="198" t="n">
        <v>0</v>
      </c>
    </row>
    <row r="6204" ht="15" customHeight="1" s="104">
      <c r="H6204" s="198" t="n">
        <v>0</v>
      </c>
    </row>
    <row r="6205" ht="15" customHeight="1" s="104">
      <c r="H6205" s="198" t="n">
        <v>0</v>
      </c>
    </row>
    <row r="6206" ht="15" customHeight="1" s="104">
      <c r="H6206" s="198" t="n">
        <v>0</v>
      </c>
    </row>
    <row r="6207" ht="15" customHeight="1" s="104">
      <c r="H6207" s="198" t="n">
        <v>0</v>
      </c>
    </row>
    <row r="6208" ht="15" customHeight="1" s="104">
      <c r="H6208" s="198" t="n">
        <v>0</v>
      </c>
    </row>
    <row r="6209" ht="15" customHeight="1" s="104">
      <c r="H6209" s="198" t="n">
        <v>0</v>
      </c>
    </row>
    <row r="6210" ht="15" customHeight="1" s="104">
      <c r="H6210" s="198" t="n">
        <v>0</v>
      </c>
    </row>
    <row r="6211" ht="15" customHeight="1" s="104">
      <c r="H6211" s="198" t="n">
        <v>0</v>
      </c>
    </row>
    <row r="6212" ht="15" customHeight="1" s="104">
      <c r="H6212" s="198" t="n">
        <v>0</v>
      </c>
    </row>
    <row r="6213" ht="15" customHeight="1" s="104">
      <c r="H6213" s="198" t="n">
        <v>0</v>
      </c>
    </row>
    <row r="6214" ht="15" customHeight="1" s="104">
      <c r="H6214" s="198" t="n">
        <v>0</v>
      </c>
    </row>
    <row r="6215" ht="15" customHeight="1" s="104">
      <c r="H6215" s="198" t="n">
        <v>0</v>
      </c>
    </row>
    <row r="6216" ht="15" customHeight="1" s="104">
      <c r="H6216" s="198" t="n">
        <v>0</v>
      </c>
    </row>
    <row r="6217" ht="15" customHeight="1" s="104">
      <c r="H6217" s="198" t="n">
        <v>0</v>
      </c>
    </row>
    <row r="6218" ht="15" customHeight="1" s="104">
      <c r="H6218" s="198" t="n">
        <v>0</v>
      </c>
    </row>
    <row r="6219" ht="15" customHeight="1" s="104">
      <c r="H6219" s="198" t="n">
        <v>0</v>
      </c>
    </row>
    <row r="6220" ht="15" customHeight="1" s="104">
      <c r="H6220" s="198" t="n">
        <v>0</v>
      </c>
    </row>
    <row r="6221" ht="15" customHeight="1" s="104">
      <c r="H6221" s="198" t="n">
        <v>0</v>
      </c>
    </row>
    <row r="6222" ht="15" customHeight="1" s="104">
      <c r="H6222" s="198" t="n">
        <v>0</v>
      </c>
    </row>
    <row r="6223" ht="15" customHeight="1" s="104">
      <c r="H6223" s="198" t="n">
        <v>0</v>
      </c>
    </row>
    <row r="6224" ht="15" customHeight="1" s="104">
      <c r="H6224" s="198" t="n">
        <v>0</v>
      </c>
    </row>
    <row r="6225" ht="15" customHeight="1" s="104">
      <c r="H6225" s="198" t="n">
        <v>0</v>
      </c>
    </row>
    <row r="6226" ht="15" customHeight="1" s="104">
      <c r="H6226" s="198" t="n">
        <v>0</v>
      </c>
    </row>
    <row r="6227" ht="15" customHeight="1" s="104">
      <c r="H6227" s="198" t="n">
        <v>0</v>
      </c>
    </row>
    <row r="6228" ht="15" customHeight="1" s="104">
      <c r="H6228" s="198" t="n">
        <v>0</v>
      </c>
    </row>
    <row r="6229" ht="15" customHeight="1" s="104">
      <c r="H6229" s="198" t="n">
        <v>0</v>
      </c>
    </row>
    <row r="6230" ht="15" customHeight="1" s="104">
      <c r="H6230" s="198" t="n">
        <v>0</v>
      </c>
    </row>
    <row r="6231" ht="15" customHeight="1" s="104">
      <c r="H6231" s="198" t="n">
        <v>0</v>
      </c>
    </row>
    <row r="6232" ht="15" customHeight="1" s="104">
      <c r="H6232" s="198" t="n">
        <v>0</v>
      </c>
    </row>
    <row r="6233" ht="15" customHeight="1" s="104">
      <c r="H6233" s="198" t="n">
        <v>0</v>
      </c>
    </row>
    <row r="6234" ht="15" customHeight="1" s="104">
      <c r="H6234" s="198" t="n">
        <v>0</v>
      </c>
    </row>
    <row r="6235" ht="15" customHeight="1" s="104">
      <c r="H6235" s="198" t="n">
        <v>0</v>
      </c>
    </row>
    <row r="6236" ht="15" customHeight="1" s="104">
      <c r="H6236" s="198" t="n">
        <v>0</v>
      </c>
    </row>
    <row r="6237" ht="15" customHeight="1" s="104">
      <c r="H6237" s="198" t="n">
        <v>0</v>
      </c>
    </row>
    <row r="6238" ht="15" customHeight="1" s="104">
      <c r="H6238" s="198" t="n">
        <v>0</v>
      </c>
    </row>
    <row r="6239" ht="15" customHeight="1" s="104">
      <c r="H6239" s="198" t="n">
        <v>0</v>
      </c>
    </row>
    <row r="6240" ht="15" customHeight="1" s="104">
      <c r="H6240" s="198" t="n">
        <v>0</v>
      </c>
    </row>
    <row r="6241" ht="15" customHeight="1" s="104">
      <c r="H6241" s="198" t="n">
        <v>0</v>
      </c>
    </row>
    <row r="6242" ht="15" customHeight="1" s="104">
      <c r="H6242" s="198" t="n">
        <v>0</v>
      </c>
    </row>
    <row r="6243" ht="15" customHeight="1" s="104">
      <c r="H6243" s="198" t="n">
        <v>0</v>
      </c>
    </row>
    <row r="6244" ht="15" customHeight="1" s="104">
      <c r="H6244" s="198" t="n">
        <v>0</v>
      </c>
    </row>
    <row r="6245" ht="15" customHeight="1" s="104">
      <c r="H6245" s="198" t="n">
        <v>0</v>
      </c>
    </row>
    <row r="6246" ht="15" customHeight="1" s="104">
      <c r="H6246" s="198" t="n">
        <v>0</v>
      </c>
    </row>
    <row r="6247" ht="15" customHeight="1" s="104">
      <c r="H6247" s="198" t="n">
        <v>0</v>
      </c>
    </row>
    <row r="6248" ht="15" customHeight="1" s="104">
      <c r="H6248" s="198" t="n">
        <v>0</v>
      </c>
    </row>
    <row r="6249" ht="15" customHeight="1" s="104">
      <c r="H6249" s="198" t="n">
        <v>0</v>
      </c>
    </row>
    <row r="6250" ht="15" customHeight="1" s="104">
      <c r="H6250" s="198" t="n">
        <v>0</v>
      </c>
    </row>
    <row r="6251" ht="15" customHeight="1" s="104">
      <c r="H6251" s="198" t="n">
        <v>0</v>
      </c>
    </row>
    <row r="6252" ht="15" customHeight="1" s="104">
      <c r="H6252" s="198" t="n">
        <v>0</v>
      </c>
    </row>
    <row r="6253" ht="15" customHeight="1" s="104">
      <c r="H6253" s="198" t="n">
        <v>0</v>
      </c>
    </row>
    <row r="6254" ht="15" customHeight="1" s="104">
      <c r="H6254" s="198" t="n">
        <v>0</v>
      </c>
    </row>
    <row r="6255" ht="15" customHeight="1" s="104">
      <c r="H6255" s="198" t="n">
        <v>0</v>
      </c>
    </row>
    <row r="6256" ht="15" customHeight="1" s="104">
      <c r="H6256" s="198" t="n">
        <v>0</v>
      </c>
    </row>
    <row r="6257" ht="15" customHeight="1" s="104">
      <c r="H6257" s="198" t="n">
        <v>0</v>
      </c>
    </row>
    <row r="6258" ht="15" customHeight="1" s="104">
      <c r="H6258" s="198" t="n">
        <v>0</v>
      </c>
    </row>
    <row r="6259" ht="15" customHeight="1" s="104">
      <c r="H6259" s="198" t="n">
        <v>0</v>
      </c>
    </row>
    <row r="6260" ht="15" customHeight="1" s="104">
      <c r="H6260" s="198" t="n">
        <v>0</v>
      </c>
    </row>
    <row r="6261" ht="15" customHeight="1" s="104">
      <c r="H6261" s="198" t="n">
        <v>0</v>
      </c>
    </row>
    <row r="6262" ht="15" customHeight="1" s="104">
      <c r="H6262" s="198" t="n">
        <v>0</v>
      </c>
    </row>
    <row r="6263" ht="15" customHeight="1" s="104">
      <c r="H6263" s="198" t="n">
        <v>0</v>
      </c>
    </row>
    <row r="6264" ht="15" customHeight="1" s="104">
      <c r="H6264" s="198" t="n">
        <v>0</v>
      </c>
    </row>
    <row r="6265" ht="15" customHeight="1" s="104">
      <c r="H6265" s="198" t="n">
        <v>0</v>
      </c>
    </row>
    <row r="6266" ht="15" customHeight="1" s="104">
      <c r="H6266" s="198" t="n">
        <v>0</v>
      </c>
    </row>
    <row r="6267" ht="15" customHeight="1" s="104">
      <c r="H6267" s="198" t="n">
        <v>0</v>
      </c>
    </row>
    <row r="6268" ht="15" customHeight="1" s="104">
      <c r="H6268" s="198" t="n">
        <v>0</v>
      </c>
    </row>
    <row r="6269" ht="15" customHeight="1" s="104">
      <c r="H6269" s="198" t="n">
        <v>0</v>
      </c>
    </row>
    <row r="6270" ht="15" customHeight="1" s="104">
      <c r="H6270" s="198" t="n">
        <v>0</v>
      </c>
    </row>
    <row r="6271" ht="15" customHeight="1" s="104">
      <c r="H6271" s="198" t="n">
        <v>0</v>
      </c>
    </row>
    <row r="6272" ht="15" customHeight="1" s="104">
      <c r="H6272" s="198" t="n">
        <v>0</v>
      </c>
    </row>
    <row r="6273" ht="15" customHeight="1" s="104">
      <c r="H6273" s="198" t="n">
        <v>0</v>
      </c>
    </row>
    <row r="6274" ht="15" customHeight="1" s="104">
      <c r="H6274" s="198" t="n">
        <v>0</v>
      </c>
    </row>
    <row r="6275" ht="15" customHeight="1" s="104">
      <c r="H6275" s="198" t="n">
        <v>0</v>
      </c>
    </row>
    <row r="6276" ht="15" customHeight="1" s="104">
      <c r="H6276" s="198" t="n">
        <v>0</v>
      </c>
    </row>
    <row r="6277" ht="15" customHeight="1" s="104">
      <c r="H6277" s="198" t="n">
        <v>0</v>
      </c>
    </row>
    <row r="6278" ht="15" customHeight="1" s="104">
      <c r="H6278" s="198" t="n">
        <v>0</v>
      </c>
    </row>
    <row r="6279" ht="15" customHeight="1" s="104">
      <c r="H6279" s="198" t="n">
        <v>0</v>
      </c>
    </row>
    <row r="6280" ht="15" customHeight="1" s="104">
      <c r="H6280" s="198" t="n">
        <v>0</v>
      </c>
    </row>
    <row r="6281" ht="15" customHeight="1" s="104">
      <c r="H6281" s="198" t="n">
        <v>0</v>
      </c>
    </row>
    <row r="6282" ht="15" customHeight="1" s="104">
      <c r="H6282" s="198" t="n">
        <v>0</v>
      </c>
    </row>
    <row r="6283" ht="15" customHeight="1" s="104">
      <c r="H6283" s="198" t="n">
        <v>0</v>
      </c>
    </row>
    <row r="6284" ht="15" customHeight="1" s="104">
      <c r="H6284" s="198" t="n">
        <v>0</v>
      </c>
    </row>
    <row r="6285" ht="15" customHeight="1" s="104">
      <c r="H6285" s="198" t="n">
        <v>0</v>
      </c>
    </row>
    <row r="6286" ht="15" customHeight="1" s="104">
      <c r="H6286" s="198" t="n">
        <v>0</v>
      </c>
    </row>
    <row r="6287" ht="15" customHeight="1" s="104">
      <c r="H6287" s="198" t="n">
        <v>0</v>
      </c>
    </row>
    <row r="6288" ht="15" customHeight="1" s="104">
      <c r="H6288" s="198" t="n">
        <v>0</v>
      </c>
    </row>
    <row r="6289" ht="15" customHeight="1" s="104">
      <c r="H6289" s="198" t="n">
        <v>0</v>
      </c>
    </row>
    <row r="6290" ht="15" customHeight="1" s="104">
      <c r="H6290" s="198" t="n">
        <v>0</v>
      </c>
    </row>
    <row r="6291" ht="15" customHeight="1" s="104">
      <c r="H6291" s="198" t="n">
        <v>0</v>
      </c>
    </row>
    <row r="6292" ht="15" customHeight="1" s="104">
      <c r="H6292" s="198" t="n">
        <v>0</v>
      </c>
    </row>
    <row r="6293" ht="15" customHeight="1" s="104">
      <c r="H6293" s="198" t="n">
        <v>0</v>
      </c>
    </row>
    <row r="6294" ht="15" customHeight="1" s="104">
      <c r="H6294" s="198" t="n">
        <v>0</v>
      </c>
    </row>
    <row r="6295" ht="15" customHeight="1" s="104">
      <c r="H6295" s="198" t="n">
        <v>0</v>
      </c>
    </row>
    <row r="6296" ht="15" customHeight="1" s="104">
      <c r="H6296" s="198" t="n">
        <v>0</v>
      </c>
    </row>
    <row r="6297" ht="15" customHeight="1" s="104">
      <c r="H6297" s="198" t="n">
        <v>0</v>
      </c>
    </row>
    <row r="6298" ht="15" customHeight="1" s="104">
      <c r="H6298" s="198" t="n">
        <v>0</v>
      </c>
    </row>
    <row r="6299" ht="15" customHeight="1" s="104">
      <c r="H6299" s="198" t="n">
        <v>0</v>
      </c>
    </row>
    <row r="6300" ht="15" customHeight="1" s="104">
      <c r="H6300" s="198" t="n">
        <v>0</v>
      </c>
    </row>
    <row r="6301" ht="15" customHeight="1" s="104">
      <c r="H6301" s="198" t="n">
        <v>0</v>
      </c>
    </row>
    <row r="6302" ht="15" customHeight="1" s="104">
      <c r="H6302" s="198" t="n">
        <v>0</v>
      </c>
    </row>
    <row r="6303" ht="15" customHeight="1" s="104">
      <c r="H6303" s="198" t="n">
        <v>0</v>
      </c>
    </row>
    <row r="6304" ht="15" customHeight="1" s="104">
      <c r="H6304" s="198" t="n">
        <v>0</v>
      </c>
    </row>
    <row r="6305" ht="15" customHeight="1" s="104">
      <c r="H6305" s="198" t="n">
        <v>0</v>
      </c>
    </row>
    <row r="6306" ht="15" customHeight="1" s="104">
      <c r="H6306" s="198" t="n">
        <v>0</v>
      </c>
    </row>
    <row r="6307" ht="15" customHeight="1" s="104">
      <c r="H6307" s="198" t="n">
        <v>0</v>
      </c>
    </row>
    <row r="6308" ht="15" customHeight="1" s="104">
      <c r="H6308" s="198" t="n">
        <v>0</v>
      </c>
    </row>
    <row r="6309" ht="15" customHeight="1" s="104">
      <c r="H6309" s="198" t="n">
        <v>0</v>
      </c>
    </row>
    <row r="6310" ht="15" customHeight="1" s="104">
      <c r="H6310" s="198" t="n">
        <v>0</v>
      </c>
    </row>
    <row r="6311" ht="15" customHeight="1" s="104">
      <c r="H6311" s="198" t="n">
        <v>0</v>
      </c>
    </row>
    <row r="6312" ht="15" customHeight="1" s="104">
      <c r="H6312" s="198" t="n">
        <v>0</v>
      </c>
    </row>
    <row r="6313" ht="15" customHeight="1" s="104">
      <c r="H6313" s="198" t="n">
        <v>0</v>
      </c>
    </row>
    <row r="6314" ht="15" customHeight="1" s="104">
      <c r="H6314" s="198" t="n">
        <v>0</v>
      </c>
    </row>
    <row r="6315" ht="15" customHeight="1" s="104">
      <c r="H6315" s="198" t="n">
        <v>0</v>
      </c>
    </row>
    <row r="6316" ht="15" customHeight="1" s="104">
      <c r="H6316" s="198" t="n">
        <v>0</v>
      </c>
    </row>
    <row r="6317" ht="15" customHeight="1" s="104">
      <c r="H6317" s="198" t="n">
        <v>0</v>
      </c>
    </row>
    <row r="6318" ht="15" customHeight="1" s="104">
      <c r="H6318" s="198" t="n">
        <v>0</v>
      </c>
    </row>
    <row r="6319" ht="15" customHeight="1" s="104">
      <c r="H6319" s="198" t="n">
        <v>0</v>
      </c>
    </row>
    <row r="6320" ht="15" customHeight="1" s="104">
      <c r="H6320" s="198" t="n">
        <v>0</v>
      </c>
    </row>
    <row r="6321" ht="15" customHeight="1" s="104">
      <c r="H6321" s="198" t="n">
        <v>0</v>
      </c>
    </row>
    <row r="6322" ht="15" customHeight="1" s="104">
      <c r="H6322" s="198" t="n">
        <v>0</v>
      </c>
    </row>
    <row r="6323" ht="15" customHeight="1" s="104">
      <c r="H6323" s="198" t="n">
        <v>0</v>
      </c>
    </row>
    <row r="6324" ht="15" customHeight="1" s="104">
      <c r="H6324" s="198" t="n">
        <v>0</v>
      </c>
    </row>
    <row r="6325" ht="15" customHeight="1" s="104">
      <c r="H6325" s="198" t="n">
        <v>0</v>
      </c>
    </row>
    <row r="6326" ht="15" customHeight="1" s="104">
      <c r="H6326" s="198" t="n">
        <v>0</v>
      </c>
    </row>
    <row r="6327" ht="15" customHeight="1" s="104">
      <c r="H6327" s="198" t="n">
        <v>0</v>
      </c>
    </row>
    <row r="6328" ht="15" customHeight="1" s="104">
      <c r="H6328" s="198" t="n">
        <v>0</v>
      </c>
    </row>
    <row r="6329" ht="15" customHeight="1" s="104">
      <c r="H6329" s="198" t="n">
        <v>0</v>
      </c>
    </row>
    <row r="6330" ht="15" customHeight="1" s="104">
      <c r="H6330" s="198" t="n">
        <v>0</v>
      </c>
    </row>
    <row r="6331" ht="15" customHeight="1" s="104">
      <c r="H6331" s="198" t="n">
        <v>0</v>
      </c>
    </row>
    <row r="6332" ht="15" customHeight="1" s="104">
      <c r="H6332" s="198" t="n">
        <v>0</v>
      </c>
    </row>
    <row r="6333" ht="15" customHeight="1" s="104">
      <c r="H6333" s="198" t="n">
        <v>0</v>
      </c>
    </row>
    <row r="6334" ht="15" customHeight="1" s="104">
      <c r="H6334" s="198" t="n">
        <v>0</v>
      </c>
    </row>
    <row r="6335" ht="15" customHeight="1" s="104">
      <c r="H6335" s="198" t="n">
        <v>0</v>
      </c>
    </row>
    <row r="6336" ht="15" customHeight="1" s="104">
      <c r="H6336" s="198" t="n">
        <v>0</v>
      </c>
    </row>
    <row r="6337" ht="15" customHeight="1" s="104">
      <c r="H6337" s="198" t="n">
        <v>0</v>
      </c>
    </row>
    <row r="6338" ht="15" customHeight="1" s="104">
      <c r="H6338" s="198" t="n">
        <v>0</v>
      </c>
    </row>
    <row r="6339" ht="15" customHeight="1" s="104">
      <c r="H6339" s="198" t="n">
        <v>0</v>
      </c>
    </row>
    <row r="6340" ht="15" customHeight="1" s="104">
      <c r="H6340" s="198" t="n">
        <v>0</v>
      </c>
    </row>
    <row r="6341" ht="15" customHeight="1" s="104">
      <c r="H6341" s="198" t="n">
        <v>0</v>
      </c>
    </row>
    <row r="6342" ht="15" customHeight="1" s="104">
      <c r="H6342" s="198" t="n">
        <v>0</v>
      </c>
    </row>
    <row r="6343" ht="15" customHeight="1" s="104">
      <c r="H6343" s="198" t="n">
        <v>0</v>
      </c>
    </row>
    <row r="6344" ht="15" customHeight="1" s="104">
      <c r="H6344" s="198" t="n">
        <v>0</v>
      </c>
    </row>
    <row r="6345" ht="15" customHeight="1" s="104">
      <c r="H6345" s="198" t="n">
        <v>0</v>
      </c>
    </row>
    <row r="6346" ht="15" customHeight="1" s="104">
      <c r="H6346" s="198" t="n">
        <v>0</v>
      </c>
    </row>
    <row r="6347" ht="15" customHeight="1" s="104">
      <c r="H6347" s="198" t="n">
        <v>0</v>
      </c>
    </row>
    <row r="6348" ht="15" customHeight="1" s="104">
      <c r="H6348" s="198" t="n">
        <v>0</v>
      </c>
    </row>
    <row r="6349" ht="15" customHeight="1" s="104">
      <c r="H6349" s="198" t="n">
        <v>0</v>
      </c>
    </row>
    <row r="6350" ht="15" customHeight="1" s="104">
      <c r="H6350" s="198" t="n">
        <v>0</v>
      </c>
    </row>
    <row r="6351" ht="15" customHeight="1" s="104">
      <c r="H6351" s="198" t="n">
        <v>0</v>
      </c>
    </row>
    <row r="6352" ht="15" customHeight="1" s="104">
      <c r="H6352" s="198" t="n">
        <v>0</v>
      </c>
    </row>
    <row r="6353" ht="15" customHeight="1" s="104">
      <c r="H6353" s="198" t="n">
        <v>0</v>
      </c>
    </row>
    <row r="6354" ht="15" customHeight="1" s="104">
      <c r="H6354" s="198" t="n">
        <v>0</v>
      </c>
    </row>
    <row r="6355" ht="15" customHeight="1" s="104">
      <c r="H6355" s="198" t="n">
        <v>0</v>
      </c>
    </row>
    <row r="6356" ht="15" customHeight="1" s="104">
      <c r="H6356" s="198" t="n">
        <v>0</v>
      </c>
    </row>
    <row r="6357" ht="15" customHeight="1" s="104">
      <c r="H6357" s="198" t="n">
        <v>0</v>
      </c>
    </row>
    <row r="6358" ht="15" customHeight="1" s="104">
      <c r="H6358" s="198" t="n">
        <v>0</v>
      </c>
    </row>
    <row r="6359" ht="15" customHeight="1" s="104">
      <c r="H6359" s="198" t="n">
        <v>0</v>
      </c>
    </row>
    <row r="6360" ht="15" customHeight="1" s="104">
      <c r="H6360" s="198" t="n">
        <v>0</v>
      </c>
    </row>
    <row r="6361" ht="15" customHeight="1" s="104">
      <c r="H6361" s="198" t="n">
        <v>0</v>
      </c>
    </row>
    <row r="6362" ht="15" customHeight="1" s="104">
      <c r="H6362" s="198" t="n">
        <v>0</v>
      </c>
    </row>
    <row r="6363" ht="15" customHeight="1" s="104">
      <c r="H6363" s="198" t="n">
        <v>0</v>
      </c>
    </row>
    <row r="6364" ht="15" customHeight="1" s="104">
      <c r="H6364" s="198" t="n">
        <v>0</v>
      </c>
    </row>
    <row r="6365" ht="15" customHeight="1" s="104">
      <c r="H6365" s="198" t="n">
        <v>0</v>
      </c>
    </row>
    <row r="6366" ht="15" customHeight="1" s="104">
      <c r="H6366" s="198" t="n">
        <v>0</v>
      </c>
    </row>
    <row r="6367" ht="15" customHeight="1" s="104">
      <c r="H6367" s="198" t="n">
        <v>0</v>
      </c>
    </row>
    <row r="6368" ht="15" customHeight="1" s="104">
      <c r="H6368" s="198" t="n">
        <v>0</v>
      </c>
    </row>
    <row r="6369" ht="15" customHeight="1" s="104">
      <c r="H6369" s="198" t="n">
        <v>0</v>
      </c>
    </row>
    <row r="6370" ht="15" customHeight="1" s="104">
      <c r="H6370" s="198" t="n">
        <v>0</v>
      </c>
    </row>
    <row r="6371" ht="15" customHeight="1" s="104">
      <c r="H6371" s="198" t="n">
        <v>0</v>
      </c>
    </row>
    <row r="6372" ht="15" customHeight="1" s="104">
      <c r="H6372" s="198" t="n">
        <v>0</v>
      </c>
    </row>
    <row r="6373" ht="15" customHeight="1" s="104">
      <c r="H6373" s="198" t="n">
        <v>0</v>
      </c>
    </row>
    <row r="6374" ht="15" customHeight="1" s="104">
      <c r="H6374" s="198" t="n">
        <v>0</v>
      </c>
    </row>
    <row r="6375" ht="15" customHeight="1" s="104">
      <c r="H6375" s="198" t="n">
        <v>0</v>
      </c>
    </row>
    <row r="6376" ht="15" customHeight="1" s="104">
      <c r="H6376" s="198" t="n">
        <v>0</v>
      </c>
    </row>
    <row r="6377" ht="15" customHeight="1" s="104">
      <c r="H6377" s="198" t="n">
        <v>0</v>
      </c>
    </row>
    <row r="6378" ht="15" customHeight="1" s="104">
      <c r="H6378" s="198" t="n">
        <v>0</v>
      </c>
    </row>
    <row r="6379" ht="15" customHeight="1" s="104">
      <c r="H6379" s="198" t="n">
        <v>0</v>
      </c>
    </row>
    <row r="6380" ht="15" customHeight="1" s="104">
      <c r="H6380" s="198" t="n">
        <v>0</v>
      </c>
    </row>
    <row r="6381" ht="15" customHeight="1" s="104">
      <c r="H6381" s="198" t="n">
        <v>0</v>
      </c>
    </row>
    <row r="6382" ht="15" customHeight="1" s="104">
      <c r="H6382" s="198" t="n">
        <v>0</v>
      </c>
    </row>
    <row r="6383" ht="15" customHeight="1" s="104">
      <c r="H6383" s="198" t="n">
        <v>0</v>
      </c>
    </row>
    <row r="6384" ht="15" customHeight="1" s="104">
      <c r="H6384" s="198" t="n">
        <v>0</v>
      </c>
    </row>
    <row r="6385" ht="15" customHeight="1" s="104">
      <c r="H6385" s="198" t="n">
        <v>0</v>
      </c>
    </row>
    <row r="6386" ht="15" customHeight="1" s="104">
      <c r="H6386" s="198" t="n">
        <v>0</v>
      </c>
    </row>
    <row r="6387" ht="15" customHeight="1" s="104">
      <c r="H6387" s="198" t="n">
        <v>0</v>
      </c>
    </row>
    <row r="6388" ht="15" customHeight="1" s="104">
      <c r="H6388" s="198" t="n">
        <v>0</v>
      </c>
    </row>
    <row r="6389" ht="15" customHeight="1" s="104">
      <c r="H6389" s="198" t="n">
        <v>0</v>
      </c>
    </row>
    <row r="6390" ht="15" customHeight="1" s="104">
      <c r="H6390" s="198" t="n">
        <v>0</v>
      </c>
    </row>
    <row r="6391" ht="15" customHeight="1" s="104">
      <c r="H6391" s="198" t="n">
        <v>0</v>
      </c>
    </row>
    <row r="6392" ht="15" customHeight="1" s="104">
      <c r="H6392" s="198" t="n">
        <v>0</v>
      </c>
    </row>
    <row r="6393" ht="15" customHeight="1" s="104">
      <c r="H6393" s="198" t="n">
        <v>0</v>
      </c>
    </row>
    <row r="6394" ht="15" customHeight="1" s="104">
      <c r="H6394" s="198" t="n">
        <v>0</v>
      </c>
    </row>
    <row r="6395" ht="15" customHeight="1" s="104">
      <c r="H6395" s="198" t="n">
        <v>0</v>
      </c>
    </row>
    <row r="6396" ht="15" customHeight="1" s="104">
      <c r="H6396" s="198" t="n">
        <v>0</v>
      </c>
    </row>
    <row r="6397" ht="15" customHeight="1" s="104">
      <c r="H6397" s="198" t="n">
        <v>0</v>
      </c>
    </row>
    <row r="6398" ht="15" customHeight="1" s="104">
      <c r="H6398" s="198" t="n">
        <v>0</v>
      </c>
    </row>
    <row r="6399" ht="15" customHeight="1" s="104">
      <c r="H6399" s="198" t="n">
        <v>0</v>
      </c>
    </row>
    <row r="6400" ht="15" customHeight="1" s="104">
      <c r="H6400" s="198" t="n">
        <v>0</v>
      </c>
    </row>
    <row r="6401" ht="15" customHeight="1" s="104">
      <c r="H6401" s="198" t="n">
        <v>0</v>
      </c>
    </row>
    <row r="6402" ht="15" customHeight="1" s="104">
      <c r="H6402" s="198" t="n">
        <v>0</v>
      </c>
    </row>
    <row r="6403" ht="15" customHeight="1" s="104">
      <c r="H6403" s="198" t="n">
        <v>0</v>
      </c>
    </row>
    <row r="6404" ht="15" customHeight="1" s="104">
      <c r="H6404" s="198" t="n">
        <v>0</v>
      </c>
    </row>
    <row r="6405" ht="15" customHeight="1" s="104">
      <c r="H6405" s="198" t="n">
        <v>0</v>
      </c>
    </row>
    <row r="6406" ht="15" customHeight="1" s="104">
      <c r="H6406" s="198" t="n">
        <v>0</v>
      </c>
    </row>
    <row r="6407" ht="15" customHeight="1" s="104">
      <c r="H6407" s="198" t="n">
        <v>0</v>
      </c>
    </row>
    <row r="6408" ht="15" customHeight="1" s="104">
      <c r="H6408" s="198" t="n">
        <v>0</v>
      </c>
    </row>
    <row r="6409" ht="15" customHeight="1" s="104">
      <c r="H6409" s="198" t="n">
        <v>0</v>
      </c>
    </row>
    <row r="6410" ht="15" customHeight="1" s="104">
      <c r="H6410" s="198" t="n">
        <v>0</v>
      </c>
    </row>
    <row r="6411" ht="15" customHeight="1" s="104">
      <c r="H6411" s="198" t="n">
        <v>0</v>
      </c>
    </row>
    <row r="6412" ht="15" customHeight="1" s="104">
      <c r="H6412" s="198" t="n">
        <v>0</v>
      </c>
    </row>
    <row r="6413" ht="15" customHeight="1" s="104">
      <c r="H6413" s="198" t="n">
        <v>0</v>
      </c>
    </row>
    <row r="6414" ht="15" customHeight="1" s="104">
      <c r="H6414" s="198" t="n">
        <v>0</v>
      </c>
    </row>
    <row r="6415" ht="15" customHeight="1" s="104">
      <c r="H6415" s="198" t="n">
        <v>0</v>
      </c>
    </row>
    <row r="6416" ht="15" customHeight="1" s="104">
      <c r="H6416" s="198" t="n">
        <v>0</v>
      </c>
    </row>
    <row r="6417" ht="15" customHeight="1" s="104">
      <c r="H6417" s="198" t="n">
        <v>0</v>
      </c>
    </row>
    <row r="6418" ht="15" customHeight="1" s="104">
      <c r="H6418" s="198" t="n">
        <v>0</v>
      </c>
    </row>
    <row r="6419" ht="15" customHeight="1" s="104">
      <c r="H6419" s="198" t="n">
        <v>0</v>
      </c>
    </row>
    <row r="6420" ht="15" customHeight="1" s="104">
      <c r="H6420" s="198" t="n">
        <v>0</v>
      </c>
    </row>
    <row r="6421" ht="15" customHeight="1" s="104">
      <c r="H6421" s="198" t="n">
        <v>0</v>
      </c>
    </row>
    <row r="6422" ht="15" customHeight="1" s="104">
      <c r="H6422" s="198" t="n">
        <v>0</v>
      </c>
    </row>
    <row r="6423" ht="15" customHeight="1" s="104">
      <c r="H6423" s="198" t="n">
        <v>0</v>
      </c>
    </row>
    <row r="6424" ht="15" customHeight="1" s="104">
      <c r="H6424" s="198" t="n">
        <v>0</v>
      </c>
    </row>
    <row r="6425" ht="15" customHeight="1" s="104">
      <c r="H6425" s="198" t="n">
        <v>0</v>
      </c>
    </row>
    <row r="6426" ht="15" customHeight="1" s="104">
      <c r="H6426" s="198" t="n">
        <v>0</v>
      </c>
    </row>
    <row r="6427" ht="15" customHeight="1" s="104">
      <c r="H6427" s="198" t="n">
        <v>0</v>
      </c>
    </row>
    <row r="6428" ht="15" customHeight="1" s="104">
      <c r="H6428" s="198" t="n">
        <v>0</v>
      </c>
    </row>
    <row r="6429" ht="15" customHeight="1" s="104">
      <c r="H6429" s="198" t="n">
        <v>0</v>
      </c>
    </row>
    <row r="6430" ht="15" customHeight="1" s="104">
      <c r="H6430" s="198" t="n">
        <v>0</v>
      </c>
    </row>
    <row r="6431" ht="15" customHeight="1" s="104">
      <c r="H6431" s="198" t="n">
        <v>0</v>
      </c>
    </row>
    <row r="6432" ht="15" customHeight="1" s="104">
      <c r="H6432" s="198" t="n">
        <v>0</v>
      </c>
    </row>
    <row r="6433" ht="15" customHeight="1" s="104">
      <c r="H6433" s="198" t="n">
        <v>0</v>
      </c>
    </row>
    <row r="6434" ht="15" customHeight="1" s="104">
      <c r="H6434" s="198" t="n">
        <v>0</v>
      </c>
    </row>
    <row r="6435" ht="15" customHeight="1" s="104">
      <c r="H6435" s="198" t="n">
        <v>0</v>
      </c>
    </row>
    <row r="6436" ht="15" customHeight="1" s="104">
      <c r="H6436" s="198" t="n">
        <v>0</v>
      </c>
    </row>
    <row r="6437" ht="15" customHeight="1" s="104">
      <c r="H6437" s="198" t="n">
        <v>0</v>
      </c>
    </row>
    <row r="6438" ht="15" customHeight="1" s="104">
      <c r="H6438" s="198" t="n">
        <v>0</v>
      </c>
    </row>
    <row r="6439" ht="15" customHeight="1" s="104">
      <c r="H6439" s="198" t="n">
        <v>0</v>
      </c>
    </row>
    <row r="6440" ht="15" customHeight="1" s="104">
      <c r="H6440" s="198" t="n">
        <v>0</v>
      </c>
    </row>
    <row r="6441" ht="15" customHeight="1" s="104">
      <c r="H6441" s="198" t="n">
        <v>0</v>
      </c>
    </row>
    <row r="6442" ht="15" customHeight="1" s="104">
      <c r="H6442" s="198" t="n">
        <v>0</v>
      </c>
    </row>
    <row r="6443" ht="15" customHeight="1" s="104">
      <c r="H6443" s="198" t="n">
        <v>0</v>
      </c>
    </row>
    <row r="6444" ht="15" customHeight="1" s="104">
      <c r="H6444" s="198" t="n">
        <v>0</v>
      </c>
    </row>
    <row r="6445" ht="15" customHeight="1" s="104">
      <c r="H6445" s="198" t="n">
        <v>0</v>
      </c>
    </row>
    <row r="6446" ht="15" customHeight="1" s="104">
      <c r="H6446" s="198" t="n">
        <v>0</v>
      </c>
    </row>
    <row r="6447" ht="15" customHeight="1" s="104">
      <c r="H6447" s="198" t="n">
        <v>0</v>
      </c>
    </row>
    <row r="6448" ht="15" customHeight="1" s="104">
      <c r="H6448" s="198" t="n">
        <v>0</v>
      </c>
    </row>
    <row r="6449" ht="15" customHeight="1" s="104">
      <c r="H6449" s="198" t="n">
        <v>0</v>
      </c>
    </row>
    <row r="6450" ht="15" customHeight="1" s="104">
      <c r="H6450" s="198" t="n">
        <v>0</v>
      </c>
    </row>
    <row r="6451" ht="15" customHeight="1" s="104">
      <c r="H6451" s="198" t="n">
        <v>0</v>
      </c>
    </row>
    <row r="6452" ht="15" customHeight="1" s="104">
      <c r="H6452" s="198" t="n">
        <v>0</v>
      </c>
    </row>
    <row r="6453" ht="15" customHeight="1" s="104">
      <c r="H6453" s="198" t="n">
        <v>0</v>
      </c>
    </row>
    <row r="6454" ht="15" customHeight="1" s="104">
      <c r="H6454" s="198" t="n">
        <v>0</v>
      </c>
    </row>
    <row r="6455" ht="15" customHeight="1" s="104">
      <c r="H6455" s="198" t="n">
        <v>0</v>
      </c>
    </row>
    <row r="6456" ht="15" customHeight="1" s="104">
      <c r="H6456" s="198" t="n">
        <v>0</v>
      </c>
    </row>
    <row r="6457" ht="15" customHeight="1" s="104">
      <c r="H6457" s="198" t="n">
        <v>0</v>
      </c>
    </row>
    <row r="6458" ht="15" customHeight="1" s="104">
      <c r="H6458" s="198" t="n">
        <v>0</v>
      </c>
    </row>
    <row r="6459" ht="15" customHeight="1" s="104">
      <c r="H6459" s="198" t="n">
        <v>0</v>
      </c>
    </row>
    <row r="6460" ht="15" customHeight="1" s="104">
      <c r="H6460" s="198" t="n">
        <v>0</v>
      </c>
    </row>
    <row r="6461" ht="15" customHeight="1" s="104">
      <c r="H6461" s="198" t="n">
        <v>0</v>
      </c>
    </row>
    <row r="6462" ht="15" customHeight="1" s="104">
      <c r="H6462" s="198" t="n">
        <v>0</v>
      </c>
    </row>
    <row r="6463" ht="15" customHeight="1" s="104">
      <c r="H6463" s="198" t="n">
        <v>0</v>
      </c>
    </row>
    <row r="6464" ht="15" customHeight="1" s="104">
      <c r="H6464" s="198" t="n">
        <v>0</v>
      </c>
    </row>
    <row r="6465" ht="15" customHeight="1" s="104">
      <c r="H6465" s="198" t="n">
        <v>0</v>
      </c>
    </row>
    <row r="6466" ht="15" customHeight="1" s="104">
      <c r="H6466" s="198" t="n">
        <v>0</v>
      </c>
    </row>
    <row r="6467" ht="15" customHeight="1" s="104">
      <c r="H6467" s="198" t="n">
        <v>0</v>
      </c>
    </row>
    <row r="6468" ht="15" customHeight="1" s="104">
      <c r="H6468" s="198" t="n">
        <v>0</v>
      </c>
    </row>
    <row r="6469" ht="15" customHeight="1" s="104">
      <c r="H6469" s="198" t="n">
        <v>0</v>
      </c>
    </row>
    <row r="6470" ht="15" customHeight="1" s="104">
      <c r="H6470" s="198" t="n">
        <v>0</v>
      </c>
    </row>
    <row r="6471" ht="15" customHeight="1" s="104">
      <c r="H6471" s="198" t="n">
        <v>0</v>
      </c>
    </row>
    <row r="6472" ht="15" customHeight="1" s="104">
      <c r="H6472" s="198" t="n">
        <v>0</v>
      </c>
    </row>
    <row r="6473" ht="15" customHeight="1" s="104">
      <c r="H6473" s="198" t="n">
        <v>0</v>
      </c>
    </row>
    <row r="6474" ht="15" customHeight="1" s="104">
      <c r="H6474" s="198" t="n">
        <v>0</v>
      </c>
    </row>
    <row r="6475" ht="15" customHeight="1" s="104">
      <c r="H6475" s="198" t="n">
        <v>0</v>
      </c>
    </row>
    <row r="6476" ht="15" customHeight="1" s="104">
      <c r="H6476" s="198" t="n">
        <v>0</v>
      </c>
    </row>
    <row r="6477" ht="15" customHeight="1" s="104">
      <c r="H6477" s="198" t="n">
        <v>0</v>
      </c>
    </row>
    <row r="6478" ht="15" customHeight="1" s="104">
      <c r="H6478" s="198" t="n">
        <v>0</v>
      </c>
    </row>
    <row r="6479" ht="15" customHeight="1" s="104">
      <c r="H6479" s="198" t="n">
        <v>0</v>
      </c>
    </row>
    <row r="6480" ht="15" customHeight="1" s="104">
      <c r="H6480" s="198" t="n">
        <v>0</v>
      </c>
    </row>
    <row r="6481" ht="15" customHeight="1" s="104">
      <c r="H6481" s="198" t="n">
        <v>0</v>
      </c>
    </row>
    <row r="6482" ht="15" customHeight="1" s="104">
      <c r="H6482" s="198" t="n">
        <v>0</v>
      </c>
    </row>
    <row r="6483" ht="15" customHeight="1" s="104">
      <c r="H6483" s="198" t="n">
        <v>0</v>
      </c>
    </row>
    <row r="6484" ht="15" customHeight="1" s="104">
      <c r="H6484" s="198" t="n">
        <v>0</v>
      </c>
    </row>
    <row r="6485" ht="15" customHeight="1" s="104">
      <c r="H6485" s="198" t="n">
        <v>0</v>
      </c>
    </row>
    <row r="6486" ht="15" customHeight="1" s="104">
      <c r="H6486" s="198" t="n">
        <v>0</v>
      </c>
    </row>
    <row r="6487" ht="15" customHeight="1" s="104">
      <c r="H6487" s="198" t="n">
        <v>0</v>
      </c>
    </row>
    <row r="6488" ht="15" customHeight="1" s="104">
      <c r="H6488" s="198" t="n">
        <v>0</v>
      </c>
    </row>
    <row r="6489" ht="15" customHeight="1" s="104">
      <c r="H6489" s="198" t="n">
        <v>0</v>
      </c>
    </row>
    <row r="6490" ht="15" customHeight="1" s="104">
      <c r="H6490" s="198" t="n">
        <v>0</v>
      </c>
    </row>
    <row r="6491" ht="15" customHeight="1" s="104">
      <c r="H6491" s="198" t="n">
        <v>0</v>
      </c>
    </row>
    <row r="6492" ht="15" customHeight="1" s="104">
      <c r="H6492" s="198" t="n">
        <v>0</v>
      </c>
    </row>
    <row r="6493" ht="15" customHeight="1" s="104">
      <c r="H6493" s="198" t="n">
        <v>0</v>
      </c>
    </row>
    <row r="6494" ht="15" customHeight="1" s="104">
      <c r="H6494" s="198" t="n">
        <v>0</v>
      </c>
    </row>
    <row r="6495" ht="15" customHeight="1" s="104">
      <c r="H6495" s="198" t="n">
        <v>0</v>
      </c>
    </row>
    <row r="6496" ht="15" customHeight="1" s="104">
      <c r="H6496" s="198" t="n">
        <v>0</v>
      </c>
    </row>
    <row r="6497" ht="15" customHeight="1" s="104">
      <c r="H6497" s="198" t="n">
        <v>0</v>
      </c>
    </row>
    <row r="6498" ht="15" customHeight="1" s="104">
      <c r="H6498" s="198" t="n">
        <v>0</v>
      </c>
    </row>
    <row r="6499" ht="15" customHeight="1" s="104">
      <c r="H6499" s="198" t="n">
        <v>0</v>
      </c>
    </row>
    <row r="6500" ht="15" customHeight="1" s="104">
      <c r="H6500" s="198" t="n">
        <v>0</v>
      </c>
    </row>
    <row r="6501" ht="15" customHeight="1" s="104">
      <c r="H6501" s="198" t="n">
        <v>0</v>
      </c>
    </row>
    <row r="6502" ht="15" customHeight="1" s="104">
      <c r="H6502" s="198" t="n">
        <v>0</v>
      </c>
    </row>
    <row r="6503" ht="15" customHeight="1" s="104">
      <c r="H6503" s="198" t="n">
        <v>0</v>
      </c>
    </row>
    <row r="6504" ht="15" customHeight="1" s="104">
      <c r="H6504" s="198" t="n">
        <v>0</v>
      </c>
    </row>
    <row r="6505" ht="15" customHeight="1" s="104">
      <c r="H6505" s="198" t="n">
        <v>0</v>
      </c>
    </row>
    <row r="6506" ht="15" customHeight="1" s="104">
      <c r="H6506" s="198" t="n">
        <v>0</v>
      </c>
    </row>
    <row r="6507" ht="15" customHeight="1" s="104">
      <c r="H6507" s="198" t="n">
        <v>0</v>
      </c>
    </row>
    <row r="6508" ht="15" customHeight="1" s="104">
      <c r="H6508" s="198" t="n">
        <v>0</v>
      </c>
    </row>
    <row r="6509" ht="15" customHeight="1" s="104">
      <c r="H6509" s="198" t="n">
        <v>0</v>
      </c>
    </row>
    <row r="6510" ht="15" customHeight="1" s="104">
      <c r="H6510" s="198" t="n">
        <v>0</v>
      </c>
    </row>
    <row r="6511" ht="15" customHeight="1" s="104">
      <c r="H6511" s="198" t="n">
        <v>0</v>
      </c>
    </row>
    <row r="6512" ht="15" customHeight="1" s="104">
      <c r="H6512" s="198" t="n">
        <v>0</v>
      </c>
    </row>
    <row r="6513" ht="15" customHeight="1" s="104">
      <c r="H6513" s="198" t="n">
        <v>0</v>
      </c>
    </row>
    <row r="6514" ht="15" customHeight="1" s="104">
      <c r="H6514" s="198" t="n">
        <v>0</v>
      </c>
    </row>
    <row r="6515" ht="15" customHeight="1" s="104">
      <c r="H6515" s="198" t="n">
        <v>0</v>
      </c>
    </row>
    <row r="6516" ht="15" customHeight="1" s="104">
      <c r="H6516" s="198" t="n">
        <v>0</v>
      </c>
    </row>
    <row r="6517" ht="15" customHeight="1" s="104">
      <c r="H6517" s="198" t="n">
        <v>0</v>
      </c>
    </row>
    <row r="6518" ht="15" customHeight="1" s="104">
      <c r="H6518" s="198" t="n">
        <v>0</v>
      </c>
    </row>
    <row r="6519" ht="15" customHeight="1" s="104">
      <c r="H6519" s="198" t="n">
        <v>0</v>
      </c>
    </row>
    <row r="6520" ht="15" customHeight="1" s="104">
      <c r="H6520" s="198" t="n">
        <v>0</v>
      </c>
    </row>
    <row r="6521" ht="15" customHeight="1" s="104">
      <c r="H6521" s="198" t="n">
        <v>0</v>
      </c>
    </row>
    <row r="6522" ht="15" customHeight="1" s="104">
      <c r="H6522" s="198" t="n">
        <v>0</v>
      </c>
    </row>
    <row r="6523" ht="15" customHeight="1" s="104">
      <c r="H6523" s="198" t="n">
        <v>0</v>
      </c>
    </row>
    <row r="6524" ht="15" customHeight="1" s="104">
      <c r="H6524" s="198" t="n">
        <v>0</v>
      </c>
    </row>
    <row r="6525" ht="15" customHeight="1" s="104">
      <c r="H6525" s="198" t="n">
        <v>0</v>
      </c>
    </row>
    <row r="6526" ht="15" customHeight="1" s="104">
      <c r="H6526" s="198" t="n">
        <v>0</v>
      </c>
    </row>
    <row r="6527" ht="15" customHeight="1" s="104">
      <c r="H6527" s="198" t="n">
        <v>0</v>
      </c>
    </row>
    <row r="6528" ht="15" customHeight="1" s="104">
      <c r="H6528" s="198" t="n">
        <v>0</v>
      </c>
    </row>
    <row r="6529" ht="15" customHeight="1" s="104">
      <c r="H6529" s="198" t="n">
        <v>0</v>
      </c>
    </row>
    <row r="6530" ht="15" customHeight="1" s="104">
      <c r="H6530" s="198" t="n">
        <v>0</v>
      </c>
    </row>
    <row r="6531" ht="15" customHeight="1" s="104">
      <c r="H6531" s="198" t="n">
        <v>0</v>
      </c>
    </row>
    <row r="6532" ht="15" customHeight="1" s="104">
      <c r="H6532" s="198" t="n">
        <v>0</v>
      </c>
    </row>
    <row r="6533" ht="15" customHeight="1" s="104">
      <c r="H6533" s="198" t="n">
        <v>0</v>
      </c>
    </row>
    <row r="6534" ht="15" customHeight="1" s="104">
      <c r="H6534" s="198" t="n">
        <v>0</v>
      </c>
    </row>
    <row r="6535" ht="15" customHeight="1" s="104">
      <c r="H6535" s="198" t="n">
        <v>0</v>
      </c>
    </row>
    <row r="6536" ht="15" customHeight="1" s="104">
      <c r="H6536" s="198" t="n">
        <v>0</v>
      </c>
    </row>
    <row r="6537" ht="15" customHeight="1" s="104">
      <c r="H6537" s="198" t="n">
        <v>0</v>
      </c>
    </row>
    <row r="6538" ht="15" customHeight="1" s="104">
      <c r="H6538" s="198" t="n">
        <v>0</v>
      </c>
    </row>
    <row r="6539" ht="15" customHeight="1" s="104">
      <c r="H6539" s="198" t="n">
        <v>0</v>
      </c>
    </row>
    <row r="6540" ht="15" customHeight="1" s="104">
      <c r="H6540" s="198" t="n">
        <v>0</v>
      </c>
    </row>
    <row r="6541" ht="15" customHeight="1" s="104">
      <c r="H6541" s="198" t="n">
        <v>0</v>
      </c>
    </row>
    <row r="6542" ht="15" customHeight="1" s="104">
      <c r="H6542" s="198" t="n">
        <v>0</v>
      </c>
    </row>
    <row r="6543" ht="15" customHeight="1" s="104">
      <c r="H6543" s="198" t="n">
        <v>0</v>
      </c>
    </row>
    <row r="6544" ht="15" customHeight="1" s="104">
      <c r="H6544" s="198" t="n">
        <v>0</v>
      </c>
    </row>
    <row r="6545" ht="15" customHeight="1" s="104">
      <c r="H6545" s="198" t="n">
        <v>0</v>
      </c>
    </row>
    <row r="6546" ht="15" customHeight="1" s="104">
      <c r="H6546" s="198" t="n">
        <v>0</v>
      </c>
    </row>
    <row r="6547" ht="15" customHeight="1" s="104">
      <c r="H6547" s="198" t="n">
        <v>0</v>
      </c>
    </row>
    <row r="6548" ht="15" customHeight="1" s="104">
      <c r="H6548" s="198" t="n">
        <v>0</v>
      </c>
    </row>
    <row r="6549" ht="15" customHeight="1" s="104">
      <c r="H6549" s="198" t="n">
        <v>0</v>
      </c>
    </row>
    <row r="6550" ht="15" customHeight="1" s="104">
      <c r="H6550" s="198" t="n">
        <v>0</v>
      </c>
    </row>
    <row r="6551" ht="15" customHeight="1" s="104">
      <c r="H6551" s="198" t="n">
        <v>0</v>
      </c>
    </row>
    <row r="6552" ht="15" customHeight="1" s="104">
      <c r="H6552" s="198" t="n">
        <v>0</v>
      </c>
    </row>
    <row r="6553" ht="15" customHeight="1" s="104">
      <c r="H6553" s="198" t="n">
        <v>0</v>
      </c>
    </row>
    <row r="6554" ht="15" customHeight="1" s="104">
      <c r="H6554" s="198" t="n">
        <v>0</v>
      </c>
    </row>
    <row r="6555" ht="15" customHeight="1" s="104">
      <c r="H6555" s="198" t="n">
        <v>0</v>
      </c>
    </row>
    <row r="6556" ht="15" customHeight="1" s="104">
      <c r="H6556" s="198" t="n">
        <v>0</v>
      </c>
    </row>
    <row r="6557" ht="15" customHeight="1" s="104">
      <c r="H6557" s="198" t="n">
        <v>0</v>
      </c>
    </row>
    <row r="6558" ht="15" customHeight="1" s="104">
      <c r="H6558" s="198" t="n">
        <v>0</v>
      </c>
    </row>
    <row r="6559" ht="15" customHeight="1" s="104">
      <c r="H6559" s="198" t="n">
        <v>0</v>
      </c>
    </row>
    <row r="6560" ht="15" customHeight="1" s="104">
      <c r="H6560" s="198" t="n">
        <v>0</v>
      </c>
    </row>
    <row r="6561" ht="15" customHeight="1" s="104">
      <c r="H6561" s="198" t="n">
        <v>0</v>
      </c>
    </row>
    <row r="6562" ht="15" customHeight="1" s="104">
      <c r="H6562" s="198" t="n">
        <v>0</v>
      </c>
    </row>
    <row r="6563" ht="15" customHeight="1" s="104">
      <c r="H6563" s="198" t="n">
        <v>0</v>
      </c>
    </row>
    <row r="6564" ht="15" customHeight="1" s="104">
      <c r="H6564" s="198" t="n">
        <v>0</v>
      </c>
    </row>
    <row r="6565" ht="15" customHeight="1" s="104">
      <c r="H6565" s="198" t="n">
        <v>0</v>
      </c>
    </row>
    <row r="6566" ht="15" customHeight="1" s="104">
      <c r="H6566" s="198" t="n">
        <v>0</v>
      </c>
    </row>
    <row r="6567" ht="15" customHeight="1" s="104">
      <c r="H6567" s="198" t="n">
        <v>0</v>
      </c>
    </row>
    <row r="6568" ht="15" customHeight="1" s="104">
      <c r="H6568" s="198" t="n">
        <v>0</v>
      </c>
    </row>
    <row r="6569" ht="15" customHeight="1" s="104">
      <c r="H6569" s="198" t="n">
        <v>0</v>
      </c>
    </row>
    <row r="6570" ht="15" customHeight="1" s="104">
      <c r="H6570" s="198" t="n">
        <v>0</v>
      </c>
    </row>
    <row r="6571" ht="15" customHeight="1" s="104">
      <c r="H6571" s="198" t="n">
        <v>0</v>
      </c>
    </row>
    <row r="6572" ht="15" customHeight="1" s="104">
      <c r="H6572" s="198" t="n">
        <v>0</v>
      </c>
    </row>
    <row r="6573" ht="15" customHeight="1" s="104">
      <c r="H6573" s="198" t="n">
        <v>0</v>
      </c>
    </row>
    <row r="6574" ht="15" customHeight="1" s="104">
      <c r="H6574" s="198" t="n">
        <v>0</v>
      </c>
    </row>
    <row r="6575" ht="15" customHeight="1" s="104">
      <c r="H6575" s="198" t="n">
        <v>0</v>
      </c>
    </row>
    <row r="6576" ht="15" customHeight="1" s="104">
      <c r="H6576" s="198" t="n">
        <v>0</v>
      </c>
    </row>
    <row r="6577" ht="15" customHeight="1" s="104">
      <c r="H6577" s="198" t="n">
        <v>0</v>
      </c>
    </row>
    <row r="6578" ht="15" customHeight="1" s="104">
      <c r="H6578" s="198" t="n">
        <v>0</v>
      </c>
    </row>
    <row r="6579" ht="15" customHeight="1" s="104">
      <c r="H6579" s="198" t="n">
        <v>0</v>
      </c>
    </row>
    <row r="6580" ht="15" customHeight="1" s="104">
      <c r="H6580" s="198" t="n">
        <v>0</v>
      </c>
    </row>
    <row r="6581" ht="15" customHeight="1" s="104">
      <c r="H6581" s="198" t="n">
        <v>0</v>
      </c>
    </row>
    <row r="6582" ht="15" customHeight="1" s="104">
      <c r="H6582" s="198" t="n">
        <v>0</v>
      </c>
    </row>
    <row r="6583" ht="15" customHeight="1" s="104">
      <c r="H6583" s="198" t="n">
        <v>0</v>
      </c>
    </row>
    <row r="6584" ht="15" customHeight="1" s="104">
      <c r="H6584" s="198" t="n">
        <v>0</v>
      </c>
    </row>
    <row r="6585" ht="15" customHeight="1" s="104">
      <c r="H6585" s="198" t="n">
        <v>0</v>
      </c>
    </row>
    <row r="6586" ht="15" customHeight="1" s="104">
      <c r="H6586" s="198" t="n">
        <v>0</v>
      </c>
    </row>
    <row r="6587" ht="15" customHeight="1" s="104">
      <c r="H6587" s="198" t="n">
        <v>0</v>
      </c>
    </row>
    <row r="6588" ht="15" customHeight="1" s="104">
      <c r="H6588" s="198" t="n">
        <v>0</v>
      </c>
    </row>
    <row r="6589" ht="15" customHeight="1" s="104">
      <c r="H6589" s="198" t="n">
        <v>0</v>
      </c>
    </row>
    <row r="6590" ht="15" customHeight="1" s="104">
      <c r="H6590" s="198" t="n">
        <v>0</v>
      </c>
    </row>
    <row r="6591" ht="15" customHeight="1" s="104">
      <c r="H6591" s="198" t="n">
        <v>0</v>
      </c>
    </row>
    <row r="6592" ht="15" customHeight="1" s="104">
      <c r="H6592" s="198" t="n">
        <v>0</v>
      </c>
    </row>
    <row r="6593" ht="15" customHeight="1" s="104">
      <c r="H6593" s="198" t="n">
        <v>0</v>
      </c>
    </row>
    <row r="6594" ht="15" customHeight="1" s="104">
      <c r="H6594" s="198" t="n">
        <v>0</v>
      </c>
    </row>
    <row r="6595" ht="15" customHeight="1" s="104">
      <c r="H6595" s="198" t="n">
        <v>0</v>
      </c>
    </row>
    <row r="6596" ht="15" customHeight="1" s="104">
      <c r="H6596" s="198" t="n">
        <v>0</v>
      </c>
    </row>
    <row r="6597" ht="15" customHeight="1" s="104">
      <c r="H6597" s="198" t="n">
        <v>0</v>
      </c>
    </row>
    <row r="6598" ht="15" customHeight="1" s="104">
      <c r="H6598" s="198" t="n">
        <v>0</v>
      </c>
    </row>
    <row r="6599" ht="15" customHeight="1" s="104">
      <c r="H6599" s="198" t="n">
        <v>0</v>
      </c>
    </row>
    <row r="6600" ht="15" customHeight="1" s="104">
      <c r="H6600" s="198" t="n">
        <v>0</v>
      </c>
    </row>
    <row r="6601" ht="15" customHeight="1" s="104">
      <c r="H6601" s="198" t="n">
        <v>0</v>
      </c>
    </row>
    <row r="6602" ht="15" customHeight="1" s="104">
      <c r="H6602" s="198" t="n">
        <v>0</v>
      </c>
    </row>
    <row r="6603" ht="15" customHeight="1" s="104">
      <c r="H6603" s="198" t="n">
        <v>0</v>
      </c>
    </row>
    <row r="6604" ht="15" customHeight="1" s="104">
      <c r="H6604" s="198" t="n">
        <v>0</v>
      </c>
    </row>
    <row r="6605" ht="15" customHeight="1" s="104">
      <c r="H6605" s="198" t="n">
        <v>0</v>
      </c>
    </row>
    <row r="6606" ht="15" customHeight="1" s="104">
      <c r="H6606" s="198" t="n">
        <v>0</v>
      </c>
    </row>
    <row r="6607" ht="15" customHeight="1" s="104">
      <c r="H6607" s="198" t="n">
        <v>0</v>
      </c>
    </row>
    <row r="6608" ht="15" customHeight="1" s="104">
      <c r="H6608" s="198" t="n">
        <v>0</v>
      </c>
    </row>
    <row r="6609" ht="15" customHeight="1" s="104">
      <c r="H6609" s="198" t="n">
        <v>0</v>
      </c>
    </row>
    <row r="6610" ht="15" customHeight="1" s="104">
      <c r="H6610" s="198" t="n">
        <v>0</v>
      </c>
    </row>
    <row r="6611" ht="15" customHeight="1" s="104">
      <c r="H6611" s="198" t="n">
        <v>0</v>
      </c>
    </row>
    <row r="6612" ht="15" customHeight="1" s="104">
      <c r="H6612" s="198" t="n">
        <v>0</v>
      </c>
    </row>
    <row r="6613" ht="15" customHeight="1" s="104">
      <c r="H6613" s="198" t="n">
        <v>0</v>
      </c>
    </row>
    <row r="6614" ht="15" customHeight="1" s="104">
      <c r="H6614" s="198" t="n">
        <v>0</v>
      </c>
    </row>
    <row r="6615" ht="15" customHeight="1" s="104">
      <c r="H6615" s="198" t="n">
        <v>0</v>
      </c>
    </row>
    <row r="6616" ht="15" customHeight="1" s="104">
      <c r="H6616" s="198" t="n">
        <v>0</v>
      </c>
    </row>
    <row r="6617" ht="15" customHeight="1" s="104">
      <c r="H6617" s="198" t="n">
        <v>0</v>
      </c>
    </row>
    <row r="6618" ht="15" customHeight="1" s="104">
      <c r="H6618" s="198" t="n">
        <v>0</v>
      </c>
    </row>
    <row r="6619" ht="15" customHeight="1" s="104">
      <c r="H6619" s="198" t="n">
        <v>0</v>
      </c>
    </row>
    <row r="6620" ht="15" customHeight="1" s="104">
      <c r="H6620" s="198" t="n">
        <v>0</v>
      </c>
    </row>
    <row r="6621" ht="15" customHeight="1" s="104">
      <c r="H6621" s="198" t="n">
        <v>0</v>
      </c>
    </row>
    <row r="6622" ht="15" customHeight="1" s="104">
      <c r="H6622" s="198" t="n">
        <v>0</v>
      </c>
    </row>
    <row r="6623" ht="15" customHeight="1" s="104">
      <c r="H6623" s="198" t="n">
        <v>0</v>
      </c>
    </row>
    <row r="6624" ht="15" customHeight="1" s="104">
      <c r="H6624" s="198" t="n">
        <v>0</v>
      </c>
    </row>
    <row r="6625" ht="15" customHeight="1" s="104">
      <c r="H6625" s="198" t="n">
        <v>0</v>
      </c>
    </row>
    <row r="6626" ht="15" customHeight="1" s="104">
      <c r="H6626" s="198" t="n">
        <v>0</v>
      </c>
    </row>
    <row r="6627" ht="15" customHeight="1" s="104">
      <c r="H6627" s="198" t="n">
        <v>0</v>
      </c>
    </row>
    <row r="6628" ht="15" customHeight="1" s="104">
      <c r="H6628" s="198" t="n">
        <v>0</v>
      </c>
    </row>
    <row r="6629" ht="15" customHeight="1" s="104">
      <c r="H6629" s="198" t="n">
        <v>0</v>
      </c>
    </row>
    <row r="6630" ht="15" customHeight="1" s="104">
      <c r="H6630" s="198" t="n">
        <v>0</v>
      </c>
    </row>
    <row r="6631" ht="15" customHeight="1" s="104">
      <c r="H6631" s="198" t="n">
        <v>0</v>
      </c>
    </row>
    <row r="6632" ht="15" customHeight="1" s="104">
      <c r="H6632" s="198" t="n">
        <v>0</v>
      </c>
    </row>
    <row r="6633" ht="15" customHeight="1" s="104">
      <c r="H6633" s="198" t="n">
        <v>0</v>
      </c>
    </row>
    <row r="6634" ht="15" customHeight="1" s="104">
      <c r="H6634" s="198" t="n">
        <v>0</v>
      </c>
    </row>
    <row r="6635" ht="15" customHeight="1" s="104">
      <c r="H6635" s="198" t="n">
        <v>0</v>
      </c>
    </row>
    <row r="6636" ht="15" customHeight="1" s="104">
      <c r="H6636" s="198" t="n">
        <v>0</v>
      </c>
    </row>
    <row r="6637" ht="15" customHeight="1" s="104">
      <c r="H6637" s="198" t="n">
        <v>0</v>
      </c>
    </row>
    <row r="6638" ht="15" customHeight="1" s="104">
      <c r="H6638" s="198" t="n">
        <v>0</v>
      </c>
    </row>
    <row r="6639" ht="15" customHeight="1" s="104">
      <c r="H6639" s="198" t="n">
        <v>0</v>
      </c>
    </row>
    <row r="6640" ht="15" customHeight="1" s="104">
      <c r="H6640" s="198" t="n">
        <v>0</v>
      </c>
    </row>
    <row r="6641" ht="15" customHeight="1" s="104">
      <c r="H6641" s="198" t="n">
        <v>0</v>
      </c>
    </row>
    <row r="6642" ht="15" customHeight="1" s="104">
      <c r="H6642" s="198" t="n">
        <v>0</v>
      </c>
    </row>
    <row r="6643" ht="15" customHeight="1" s="104">
      <c r="H6643" s="198" t="n">
        <v>0</v>
      </c>
    </row>
    <row r="6644" ht="15" customHeight="1" s="104">
      <c r="H6644" s="198" t="n">
        <v>0</v>
      </c>
    </row>
    <row r="6645" ht="15" customHeight="1" s="104">
      <c r="H6645" s="198" t="n">
        <v>0</v>
      </c>
    </row>
    <row r="6646" ht="15" customHeight="1" s="104">
      <c r="H6646" s="198" t="n">
        <v>0</v>
      </c>
    </row>
    <row r="6647" ht="15" customHeight="1" s="104">
      <c r="H6647" s="198" t="n">
        <v>0</v>
      </c>
    </row>
    <row r="6648" ht="15" customHeight="1" s="104">
      <c r="H6648" s="198" t="n">
        <v>0</v>
      </c>
    </row>
    <row r="6649" ht="15" customHeight="1" s="104">
      <c r="H6649" s="198" t="n">
        <v>0</v>
      </c>
    </row>
    <row r="6650" ht="15" customHeight="1" s="104">
      <c r="H6650" s="198" t="n">
        <v>0</v>
      </c>
    </row>
    <row r="6651" ht="15" customHeight="1" s="104">
      <c r="H6651" s="198" t="n">
        <v>0</v>
      </c>
    </row>
    <row r="6652" ht="15" customHeight="1" s="104">
      <c r="H6652" s="198" t="n">
        <v>0</v>
      </c>
    </row>
    <row r="6653" ht="15" customHeight="1" s="104">
      <c r="H6653" s="198" t="n">
        <v>0</v>
      </c>
    </row>
    <row r="6654" ht="15" customHeight="1" s="104">
      <c r="H6654" s="198" t="n">
        <v>0</v>
      </c>
    </row>
    <row r="6655" ht="15" customHeight="1" s="104">
      <c r="H6655" s="198" t="n">
        <v>0</v>
      </c>
    </row>
    <row r="6656" ht="15" customHeight="1" s="104">
      <c r="H6656" s="198" t="n">
        <v>0</v>
      </c>
    </row>
    <row r="6657" ht="15" customHeight="1" s="104">
      <c r="H6657" s="198" t="n">
        <v>0</v>
      </c>
    </row>
    <row r="6658" ht="15" customHeight="1" s="104">
      <c r="H6658" s="198" t="n">
        <v>0</v>
      </c>
    </row>
    <row r="6659" ht="15" customHeight="1" s="104">
      <c r="H6659" s="198" t="n">
        <v>0</v>
      </c>
    </row>
    <row r="6660" ht="15" customHeight="1" s="104">
      <c r="H6660" s="198" t="n">
        <v>0</v>
      </c>
    </row>
    <row r="6661" ht="15" customHeight="1" s="104">
      <c r="H6661" s="198" t="n">
        <v>0</v>
      </c>
    </row>
    <row r="6662" ht="15" customHeight="1" s="104">
      <c r="H6662" s="198" t="n">
        <v>0</v>
      </c>
    </row>
    <row r="6663" ht="15" customHeight="1" s="104">
      <c r="H6663" s="198" t="n">
        <v>0</v>
      </c>
    </row>
    <row r="6664" ht="15" customHeight="1" s="104">
      <c r="H6664" s="198" t="n">
        <v>0</v>
      </c>
    </row>
    <row r="6665" ht="15" customHeight="1" s="104">
      <c r="H6665" s="198" t="n">
        <v>0</v>
      </c>
    </row>
    <row r="6666" ht="15" customHeight="1" s="104">
      <c r="H6666" s="198" t="n">
        <v>0</v>
      </c>
    </row>
    <row r="6667" ht="15" customHeight="1" s="104">
      <c r="H6667" s="198" t="n">
        <v>0</v>
      </c>
    </row>
    <row r="6668" ht="15" customHeight="1" s="104">
      <c r="H6668" s="198" t="n">
        <v>0</v>
      </c>
    </row>
    <row r="6669" ht="15" customHeight="1" s="104">
      <c r="H6669" s="198" t="n">
        <v>0</v>
      </c>
    </row>
    <row r="6670" ht="15" customHeight="1" s="104">
      <c r="H6670" s="198" t="n">
        <v>0</v>
      </c>
    </row>
    <row r="6671" ht="15" customHeight="1" s="104">
      <c r="H6671" s="198" t="n">
        <v>0</v>
      </c>
    </row>
    <row r="6672" ht="15" customHeight="1" s="104">
      <c r="H6672" s="198" t="n">
        <v>0</v>
      </c>
    </row>
    <row r="6673" ht="15" customHeight="1" s="104">
      <c r="H6673" s="198" t="n">
        <v>0</v>
      </c>
    </row>
    <row r="6674" ht="15" customHeight="1" s="104">
      <c r="H6674" s="198" t="n">
        <v>0</v>
      </c>
    </row>
    <row r="6675" ht="15" customHeight="1" s="104">
      <c r="H6675" s="198" t="n">
        <v>0</v>
      </c>
    </row>
    <row r="6676" ht="15" customHeight="1" s="104">
      <c r="H6676" s="198" t="n">
        <v>0</v>
      </c>
    </row>
    <row r="6677" ht="15" customHeight="1" s="104">
      <c r="H6677" s="198" t="n">
        <v>0</v>
      </c>
    </row>
    <row r="6678" ht="15" customHeight="1" s="104">
      <c r="H6678" s="198" t="n">
        <v>0</v>
      </c>
    </row>
    <row r="6679" ht="15" customHeight="1" s="104">
      <c r="H6679" s="198" t="n">
        <v>0</v>
      </c>
    </row>
    <row r="6680" ht="15" customHeight="1" s="104">
      <c r="H6680" s="198" t="n">
        <v>0</v>
      </c>
    </row>
    <row r="6681" ht="15" customHeight="1" s="104">
      <c r="H6681" s="198" t="n">
        <v>0</v>
      </c>
    </row>
    <row r="6682" ht="15" customHeight="1" s="104">
      <c r="H6682" s="198" t="n">
        <v>0</v>
      </c>
    </row>
    <row r="6683" ht="15" customHeight="1" s="104">
      <c r="H6683" s="198" t="n">
        <v>0</v>
      </c>
    </row>
    <row r="6684" ht="15" customHeight="1" s="104">
      <c r="H6684" s="198" t="n">
        <v>0</v>
      </c>
    </row>
    <row r="6685" ht="15" customHeight="1" s="104">
      <c r="H6685" s="198" t="n">
        <v>0</v>
      </c>
    </row>
    <row r="6686" ht="15" customHeight="1" s="104">
      <c r="H6686" s="198" t="n">
        <v>0</v>
      </c>
    </row>
    <row r="6687" ht="15" customHeight="1" s="104">
      <c r="H6687" s="198" t="n">
        <v>0</v>
      </c>
    </row>
    <row r="6688" ht="15" customHeight="1" s="104">
      <c r="H6688" s="198" t="n">
        <v>0</v>
      </c>
    </row>
    <row r="6689" ht="15" customHeight="1" s="104">
      <c r="H6689" s="198" t="n">
        <v>0</v>
      </c>
    </row>
    <row r="6690" ht="15" customHeight="1" s="104">
      <c r="H6690" s="198" t="n">
        <v>0</v>
      </c>
    </row>
    <row r="6691" ht="15" customHeight="1" s="104">
      <c r="H6691" s="198" t="n">
        <v>0</v>
      </c>
    </row>
    <row r="6692" ht="15" customHeight="1" s="104">
      <c r="H6692" s="198" t="n">
        <v>0</v>
      </c>
    </row>
    <row r="6693" ht="15" customHeight="1" s="104">
      <c r="H6693" s="198" t="n">
        <v>0</v>
      </c>
    </row>
    <row r="6694" ht="15" customHeight="1" s="104">
      <c r="H6694" s="198" t="n">
        <v>0</v>
      </c>
    </row>
    <row r="6695" ht="15" customHeight="1" s="104">
      <c r="H6695" s="198" t="n">
        <v>0</v>
      </c>
    </row>
    <row r="6696" ht="15" customHeight="1" s="104">
      <c r="H6696" s="198" t="n">
        <v>0</v>
      </c>
    </row>
    <row r="6697" ht="15" customHeight="1" s="104">
      <c r="H6697" s="198" t="n">
        <v>0</v>
      </c>
    </row>
    <row r="6698" ht="15" customHeight="1" s="104">
      <c r="H6698" s="198" t="n">
        <v>0</v>
      </c>
    </row>
    <row r="6699" ht="15" customHeight="1" s="104">
      <c r="H6699" s="198" t="n">
        <v>0</v>
      </c>
    </row>
    <row r="6700" ht="15" customHeight="1" s="104">
      <c r="H6700" s="198" t="n">
        <v>0</v>
      </c>
    </row>
    <row r="6701" ht="15" customHeight="1" s="104">
      <c r="H6701" s="198" t="n">
        <v>0</v>
      </c>
    </row>
    <row r="6702" ht="15" customHeight="1" s="104">
      <c r="H6702" s="198" t="n">
        <v>0</v>
      </c>
    </row>
    <row r="6703" ht="15" customHeight="1" s="104">
      <c r="H6703" s="198" t="n">
        <v>0</v>
      </c>
    </row>
    <row r="6704" ht="15" customHeight="1" s="104">
      <c r="H6704" s="198" t="n">
        <v>0</v>
      </c>
    </row>
    <row r="6705" ht="15" customHeight="1" s="104">
      <c r="H6705" s="198" t="n">
        <v>0</v>
      </c>
    </row>
    <row r="6706" ht="15" customHeight="1" s="104">
      <c r="H6706" s="198" t="n">
        <v>0</v>
      </c>
    </row>
    <row r="6707" ht="15" customHeight="1" s="104">
      <c r="H6707" s="198" t="n">
        <v>0</v>
      </c>
    </row>
    <row r="6708" ht="15" customHeight="1" s="104">
      <c r="H6708" s="198" t="n">
        <v>0</v>
      </c>
    </row>
    <row r="6709" ht="15" customHeight="1" s="104">
      <c r="H6709" s="198" t="n">
        <v>0</v>
      </c>
    </row>
    <row r="6710" ht="15" customHeight="1" s="104">
      <c r="H6710" s="198" t="n">
        <v>0</v>
      </c>
    </row>
    <row r="6711" ht="15" customHeight="1" s="104">
      <c r="H6711" s="198" t="n">
        <v>0</v>
      </c>
    </row>
    <row r="6712" ht="15" customHeight="1" s="104">
      <c r="H6712" s="198" t="n">
        <v>0</v>
      </c>
    </row>
    <row r="6713" ht="15" customHeight="1" s="104">
      <c r="H6713" s="198" t="n">
        <v>0</v>
      </c>
    </row>
    <row r="6714" ht="15" customHeight="1" s="104">
      <c r="H6714" s="198" t="n">
        <v>0</v>
      </c>
    </row>
    <row r="6715" ht="15" customHeight="1" s="104">
      <c r="H6715" s="198" t="n">
        <v>0</v>
      </c>
    </row>
    <row r="6716" ht="15" customHeight="1" s="104">
      <c r="H6716" s="198" t="n">
        <v>0</v>
      </c>
    </row>
    <row r="6717" ht="15" customHeight="1" s="104">
      <c r="H6717" s="198" t="n">
        <v>0</v>
      </c>
    </row>
    <row r="6718" ht="15" customHeight="1" s="104">
      <c r="H6718" s="198" t="n">
        <v>0</v>
      </c>
    </row>
    <row r="6719" ht="15" customHeight="1" s="104">
      <c r="H6719" s="198" t="n">
        <v>0</v>
      </c>
    </row>
    <row r="6720" ht="15" customHeight="1" s="104">
      <c r="H6720" s="198" t="n">
        <v>0</v>
      </c>
    </row>
    <row r="6721" ht="15" customHeight="1" s="104">
      <c r="H6721" s="198" t="n">
        <v>0</v>
      </c>
    </row>
    <row r="6722" ht="15" customHeight="1" s="104">
      <c r="H6722" s="198" t="n">
        <v>0</v>
      </c>
    </row>
    <row r="6723" ht="15" customHeight="1" s="104">
      <c r="H6723" s="198" t="n">
        <v>0</v>
      </c>
    </row>
    <row r="6724" ht="15" customHeight="1" s="104">
      <c r="H6724" s="198" t="n">
        <v>0</v>
      </c>
    </row>
    <row r="6725" ht="15" customHeight="1" s="104">
      <c r="H6725" s="198" t="n">
        <v>0</v>
      </c>
    </row>
    <row r="6726" ht="15" customHeight="1" s="104">
      <c r="H6726" s="198" t="n">
        <v>0</v>
      </c>
    </row>
    <row r="6727" ht="15" customHeight="1" s="104">
      <c r="H6727" s="198" t="n">
        <v>0</v>
      </c>
    </row>
    <row r="6728" ht="15" customHeight="1" s="104">
      <c r="H6728" s="198" t="n">
        <v>0</v>
      </c>
    </row>
    <row r="6729" ht="15" customHeight="1" s="104">
      <c r="H6729" s="198" t="n">
        <v>0</v>
      </c>
    </row>
    <row r="6730" ht="15" customHeight="1" s="104">
      <c r="H6730" s="198" t="n">
        <v>0</v>
      </c>
    </row>
    <row r="6731" ht="15" customHeight="1" s="104">
      <c r="H6731" s="198" t="n">
        <v>0</v>
      </c>
    </row>
    <row r="6732" ht="15" customHeight="1" s="104">
      <c r="H6732" s="198" t="n">
        <v>0</v>
      </c>
    </row>
    <row r="6733" ht="15" customHeight="1" s="104">
      <c r="H6733" s="198" t="n">
        <v>0</v>
      </c>
    </row>
    <row r="6734" ht="15" customHeight="1" s="104">
      <c r="H6734" s="198" t="n">
        <v>0</v>
      </c>
    </row>
    <row r="6735" ht="15" customHeight="1" s="104">
      <c r="H6735" s="198" t="n">
        <v>0</v>
      </c>
    </row>
    <row r="6736" ht="15" customHeight="1" s="104">
      <c r="H6736" s="198" t="n">
        <v>0</v>
      </c>
    </row>
    <row r="6737" ht="15" customHeight="1" s="104">
      <c r="H6737" s="198" t="n">
        <v>0</v>
      </c>
    </row>
    <row r="6738" ht="15" customHeight="1" s="104">
      <c r="H6738" s="198" t="n">
        <v>0</v>
      </c>
    </row>
    <row r="6739" ht="15" customHeight="1" s="104">
      <c r="H6739" s="198" t="n">
        <v>0</v>
      </c>
    </row>
    <row r="6740" ht="15" customHeight="1" s="104">
      <c r="H6740" s="198" t="n">
        <v>0</v>
      </c>
    </row>
    <row r="6741" ht="15" customHeight="1" s="104">
      <c r="H6741" s="198" t="n">
        <v>0</v>
      </c>
    </row>
    <row r="6742" ht="15" customHeight="1" s="104">
      <c r="H6742" s="198" t="n">
        <v>0</v>
      </c>
    </row>
    <row r="6743" ht="15" customHeight="1" s="104">
      <c r="H6743" s="198" t="n">
        <v>0</v>
      </c>
    </row>
    <row r="6744" ht="15" customHeight="1" s="104">
      <c r="H6744" s="198" t="n">
        <v>0</v>
      </c>
    </row>
    <row r="6745" ht="15" customHeight="1" s="104">
      <c r="H6745" s="198" t="n">
        <v>0</v>
      </c>
    </row>
    <row r="6746" ht="15" customHeight="1" s="104">
      <c r="H6746" s="198" t="n">
        <v>0</v>
      </c>
    </row>
    <row r="6747" ht="15" customHeight="1" s="104">
      <c r="H6747" s="198" t="n">
        <v>0</v>
      </c>
    </row>
    <row r="6748" ht="15" customHeight="1" s="104">
      <c r="H6748" s="198" t="n">
        <v>0</v>
      </c>
    </row>
    <row r="6749" ht="15" customHeight="1" s="104">
      <c r="H6749" s="198" t="n">
        <v>0</v>
      </c>
    </row>
    <row r="6750" ht="15" customHeight="1" s="104">
      <c r="H6750" s="198" t="n">
        <v>0</v>
      </c>
    </row>
    <row r="6751" ht="15" customHeight="1" s="104">
      <c r="H6751" s="198" t="n">
        <v>0</v>
      </c>
    </row>
    <row r="6752" ht="15" customHeight="1" s="104">
      <c r="H6752" s="198" t="n">
        <v>0</v>
      </c>
    </row>
    <row r="6753" ht="15" customHeight="1" s="104">
      <c r="H6753" s="198" t="n">
        <v>0</v>
      </c>
    </row>
    <row r="6754" ht="15" customHeight="1" s="104">
      <c r="H6754" s="198" t="n">
        <v>0</v>
      </c>
    </row>
    <row r="6755" ht="15" customHeight="1" s="104">
      <c r="H6755" s="198" t="n">
        <v>0</v>
      </c>
    </row>
    <row r="6756" ht="15" customHeight="1" s="104">
      <c r="H6756" s="198" t="n">
        <v>0</v>
      </c>
    </row>
    <row r="6757" ht="15" customHeight="1" s="104">
      <c r="H6757" s="198" t="n">
        <v>0</v>
      </c>
    </row>
    <row r="6758" ht="15" customHeight="1" s="104">
      <c r="H6758" s="198" t="n">
        <v>0</v>
      </c>
    </row>
    <row r="6759" ht="15" customHeight="1" s="104">
      <c r="H6759" s="198" t="n">
        <v>0</v>
      </c>
    </row>
    <row r="6760" ht="15" customHeight="1" s="104">
      <c r="H6760" s="198" t="n">
        <v>0</v>
      </c>
    </row>
    <row r="6761" ht="15" customHeight="1" s="104">
      <c r="H6761" s="198" t="n">
        <v>0</v>
      </c>
    </row>
    <row r="6762" ht="15" customHeight="1" s="104">
      <c r="H6762" s="198" t="n">
        <v>0</v>
      </c>
    </row>
    <row r="6763" ht="15" customHeight="1" s="104">
      <c r="H6763" s="198" t="n">
        <v>0</v>
      </c>
    </row>
    <row r="6764" ht="15" customHeight="1" s="104">
      <c r="H6764" s="198" t="n">
        <v>0</v>
      </c>
    </row>
    <row r="6765" ht="15" customHeight="1" s="104">
      <c r="H6765" s="198" t="n">
        <v>0</v>
      </c>
    </row>
    <row r="6766" ht="15" customHeight="1" s="104">
      <c r="H6766" s="198" t="n">
        <v>0</v>
      </c>
    </row>
    <row r="6767" ht="15" customHeight="1" s="104">
      <c r="H6767" s="198" t="n">
        <v>0</v>
      </c>
    </row>
    <row r="6768" ht="15" customHeight="1" s="104">
      <c r="H6768" s="198" t="n">
        <v>0</v>
      </c>
    </row>
    <row r="6769" ht="15" customHeight="1" s="104">
      <c r="H6769" s="198" t="n">
        <v>0</v>
      </c>
    </row>
    <row r="6770" ht="15" customHeight="1" s="104">
      <c r="H6770" s="198" t="n">
        <v>0</v>
      </c>
    </row>
    <row r="6771" ht="15" customHeight="1" s="104">
      <c r="H6771" s="198" t="n">
        <v>0</v>
      </c>
    </row>
    <row r="6772" ht="15" customHeight="1" s="104">
      <c r="H6772" s="198" t="n">
        <v>0</v>
      </c>
    </row>
    <row r="6773" ht="15" customHeight="1" s="104">
      <c r="H6773" s="198" t="n">
        <v>0</v>
      </c>
    </row>
    <row r="6774" ht="15" customHeight="1" s="104">
      <c r="H6774" s="198" t="n">
        <v>0</v>
      </c>
    </row>
    <row r="6775" ht="15" customHeight="1" s="104">
      <c r="H6775" s="198" t="n">
        <v>0</v>
      </c>
    </row>
    <row r="6776" ht="15" customHeight="1" s="104">
      <c r="H6776" s="198" t="n">
        <v>0</v>
      </c>
    </row>
    <row r="6777" ht="15" customHeight="1" s="104">
      <c r="H6777" s="198" t="n">
        <v>0</v>
      </c>
    </row>
    <row r="6778" ht="15" customHeight="1" s="104">
      <c r="H6778" s="198" t="n">
        <v>0</v>
      </c>
    </row>
    <row r="6779" ht="15" customHeight="1" s="104">
      <c r="H6779" s="198" t="n">
        <v>0</v>
      </c>
    </row>
    <row r="6780" ht="15" customHeight="1" s="104">
      <c r="H6780" s="198" t="n">
        <v>0</v>
      </c>
    </row>
    <row r="6781" ht="15" customHeight="1" s="104">
      <c r="H6781" s="198" t="n">
        <v>0</v>
      </c>
    </row>
    <row r="6782" ht="15" customHeight="1" s="104">
      <c r="H6782" s="198" t="n">
        <v>0</v>
      </c>
    </row>
    <row r="6783" ht="15" customHeight="1" s="104">
      <c r="H6783" s="198" t="n">
        <v>0</v>
      </c>
    </row>
    <row r="6784" ht="15" customHeight="1" s="104">
      <c r="H6784" s="198" t="n">
        <v>0</v>
      </c>
    </row>
    <row r="6785" ht="15" customHeight="1" s="104">
      <c r="H6785" s="198" t="n">
        <v>0</v>
      </c>
    </row>
    <row r="6786" ht="15" customHeight="1" s="104">
      <c r="H6786" s="198" t="n">
        <v>0</v>
      </c>
    </row>
    <row r="6787" ht="15" customHeight="1" s="104">
      <c r="H6787" s="198" t="n">
        <v>0</v>
      </c>
    </row>
    <row r="6788" ht="15" customHeight="1" s="104">
      <c r="H6788" s="198" t="n">
        <v>0</v>
      </c>
    </row>
    <row r="6789" ht="15" customHeight="1" s="104">
      <c r="H6789" s="198" t="n">
        <v>0</v>
      </c>
    </row>
    <row r="6790" ht="15" customHeight="1" s="104">
      <c r="H6790" s="198" t="n">
        <v>0</v>
      </c>
    </row>
    <row r="6791" ht="15" customHeight="1" s="104">
      <c r="H6791" s="198" t="n">
        <v>0</v>
      </c>
    </row>
    <row r="6792" ht="15" customHeight="1" s="104">
      <c r="H6792" s="198" t="n">
        <v>0</v>
      </c>
    </row>
    <row r="6793" ht="15" customHeight="1" s="104">
      <c r="H6793" s="198" t="n">
        <v>0</v>
      </c>
    </row>
    <row r="6794" ht="15" customHeight="1" s="104">
      <c r="H6794" s="198" t="n">
        <v>0</v>
      </c>
    </row>
    <row r="6795" ht="15" customHeight="1" s="104">
      <c r="H6795" s="198" t="n">
        <v>0</v>
      </c>
    </row>
    <row r="6796" ht="15" customHeight="1" s="104">
      <c r="H6796" s="198" t="n">
        <v>0</v>
      </c>
    </row>
    <row r="6797" ht="15" customHeight="1" s="104">
      <c r="H6797" s="198" t="n">
        <v>0</v>
      </c>
    </row>
    <row r="6798" ht="15" customHeight="1" s="104">
      <c r="H6798" s="198" t="n">
        <v>0</v>
      </c>
    </row>
    <row r="6799" ht="15" customHeight="1" s="104">
      <c r="H6799" s="198" t="n">
        <v>0</v>
      </c>
    </row>
    <row r="6800" ht="15" customHeight="1" s="104">
      <c r="H6800" s="198" t="n">
        <v>0</v>
      </c>
    </row>
    <row r="6801" ht="15" customHeight="1" s="104">
      <c r="H6801" s="198" t="n">
        <v>0</v>
      </c>
    </row>
    <row r="6802" ht="15" customHeight="1" s="104">
      <c r="H6802" s="198" t="n">
        <v>0</v>
      </c>
    </row>
    <row r="6803" ht="15" customHeight="1" s="104">
      <c r="H6803" s="198" t="n">
        <v>0</v>
      </c>
    </row>
    <row r="6804" ht="15" customHeight="1" s="104">
      <c r="H6804" s="198" t="n">
        <v>0</v>
      </c>
    </row>
    <row r="6805" ht="15" customHeight="1" s="104">
      <c r="H6805" s="198" t="n">
        <v>0</v>
      </c>
    </row>
    <row r="6806" ht="15" customHeight="1" s="104">
      <c r="H6806" s="198" t="n">
        <v>0</v>
      </c>
    </row>
    <row r="6807" ht="15" customHeight="1" s="104">
      <c r="H6807" s="198" t="n">
        <v>0</v>
      </c>
    </row>
    <row r="6808" ht="15" customHeight="1" s="104">
      <c r="H6808" s="198" t="n">
        <v>0</v>
      </c>
    </row>
    <row r="6809" ht="15" customHeight="1" s="104">
      <c r="H6809" s="198" t="n">
        <v>0</v>
      </c>
    </row>
    <row r="6810" ht="15" customHeight="1" s="104">
      <c r="H6810" s="198" t="n">
        <v>0</v>
      </c>
    </row>
    <row r="6811" ht="15" customHeight="1" s="104">
      <c r="H6811" s="198" t="n">
        <v>0</v>
      </c>
    </row>
    <row r="6812" ht="15" customHeight="1" s="104">
      <c r="H6812" s="198" t="n">
        <v>0</v>
      </c>
    </row>
    <row r="6813" ht="15" customHeight="1" s="104">
      <c r="H6813" s="198" t="n">
        <v>0</v>
      </c>
    </row>
    <row r="6814" ht="15" customHeight="1" s="104">
      <c r="H6814" s="198" t="n">
        <v>0</v>
      </c>
    </row>
    <row r="6815" ht="15" customHeight="1" s="104">
      <c r="H6815" s="198" t="n">
        <v>0</v>
      </c>
    </row>
    <row r="6816" ht="15" customHeight="1" s="104">
      <c r="H6816" s="198" t="n">
        <v>0</v>
      </c>
    </row>
    <row r="6817" ht="15" customHeight="1" s="104">
      <c r="H6817" s="198" t="n">
        <v>0</v>
      </c>
    </row>
    <row r="6818" ht="15" customHeight="1" s="104">
      <c r="H6818" s="198" t="n">
        <v>0</v>
      </c>
    </row>
    <row r="6819" ht="15" customHeight="1" s="104">
      <c r="H6819" s="198" t="n">
        <v>0</v>
      </c>
    </row>
    <row r="6820" ht="15" customHeight="1" s="104">
      <c r="H6820" s="198" t="n">
        <v>0</v>
      </c>
    </row>
    <row r="6821" ht="15" customHeight="1" s="104">
      <c r="H6821" s="198" t="n">
        <v>0</v>
      </c>
    </row>
    <row r="6822" ht="15" customHeight="1" s="104">
      <c r="H6822" s="198" t="n">
        <v>0</v>
      </c>
    </row>
    <row r="6823" ht="15" customHeight="1" s="104">
      <c r="H6823" s="198" t="n">
        <v>0</v>
      </c>
    </row>
    <row r="6824" ht="15" customHeight="1" s="104">
      <c r="H6824" s="198" t="n">
        <v>0</v>
      </c>
    </row>
    <row r="6825" ht="15" customHeight="1" s="104">
      <c r="H6825" s="198" t="n">
        <v>0</v>
      </c>
    </row>
    <row r="6826" ht="15" customHeight="1" s="104">
      <c r="H6826" s="198" t="n">
        <v>0</v>
      </c>
    </row>
    <row r="6827" ht="15" customHeight="1" s="104">
      <c r="H6827" s="198" t="n">
        <v>0</v>
      </c>
    </row>
    <row r="6828" ht="15" customHeight="1" s="104">
      <c r="H6828" s="198" t="n">
        <v>0</v>
      </c>
    </row>
    <row r="6829" ht="15" customHeight="1" s="104">
      <c r="H6829" s="198" t="n">
        <v>0</v>
      </c>
    </row>
    <row r="6830" ht="15" customHeight="1" s="104">
      <c r="H6830" s="198" t="n">
        <v>0</v>
      </c>
    </row>
    <row r="6831" ht="15" customHeight="1" s="104">
      <c r="H6831" s="198" t="n">
        <v>0</v>
      </c>
    </row>
    <row r="6832" ht="15" customHeight="1" s="104">
      <c r="H6832" s="198" t="n">
        <v>0</v>
      </c>
    </row>
    <row r="6833" ht="15" customHeight="1" s="104">
      <c r="H6833" s="198" t="n">
        <v>0</v>
      </c>
    </row>
    <row r="6834" ht="15" customHeight="1" s="104">
      <c r="H6834" s="198" t="n">
        <v>0</v>
      </c>
    </row>
    <row r="6835" ht="15" customHeight="1" s="104">
      <c r="H6835" s="198" t="n">
        <v>0</v>
      </c>
    </row>
    <row r="6836" ht="15" customHeight="1" s="104">
      <c r="H6836" s="198" t="n">
        <v>0</v>
      </c>
    </row>
    <row r="6837" ht="15" customHeight="1" s="104">
      <c r="H6837" s="198" t="n">
        <v>0</v>
      </c>
    </row>
    <row r="6838" ht="15" customHeight="1" s="104">
      <c r="H6838" s="198" t="n">
        <v>0</v>
      </c>
    </row>
    <row r="6839" ht="15" customHeight="1" s="104">
      <c r="H6839" s="198" t="n">
        <v>0</v>
      </c>
    </row>
    <row r="6840" ht="15" customHeight="1" s="104">
      <c r="H6840" s="198" t="n">
        <v>0</v>
      </c>
    </row>
    <row r="6841" ht="15" customHeight="1" s="104">
      <c r="H6841" s="198" t="n">
        <v>0</v>
      </c>
    </row>
    <row r="6842" ht="15" customHeight="1" s="104">
      <c r="H6842" s="198" t="n">
        <v>0</v>
      </c>
    </row>
    <row r="6843" ht="15" customHeight="1" s="104">
      <c r="H6843" s="198" t="n">
        <v>0</v>
      </c>
    </row>
    <row r="6844" ht="15" customHeight="1" s="104">
      <c r="H6844" s="198" t="n">
        <v>0</v>
      </c>
    </row>
    <row r="6845" ht="15" customHeight="1" s="104">
      <c r="H6845" s="198" t="n">
        <v>0</v>
      </c>
    </row>
    <row r="6846" ht="15" customHeight="1" s="104">
      <c r="H6846" s="198" t="n">
        <v>0</v>
      </c>
    </row>
    <row r="6847" ht="15" customHeight="1" s="104">
      <c r="H6847" s="198" t="n">
        <v>0</v>
      </c>
    </row>
    <row r="6848" ht="15" customHeight="1" s="104">
      <c r="H6848" s="198" t="n">
        <v>0</v>
      </c>
    </row>
    <row r="6849" ht="15" customHeight="1" s="104">
      <c r="H6849" s="198" t="n">
        <v>0</v>
      </c>
    </row>
    <row r="6850" ht="15" customHeight="1" s="104">
      <c r="H6850" s="198" t="n">
        <v>0</v>
      </c>
    </row>
    <row r="6851" ht="15" customHeight="1" s="104">
      <c r="H6851" s="198" t="n">
        <v>0</v>
      </c>
    </row>
    <row r="6852" ht="15" customHeight="1" s="104">
      <c r="H6852" s="198" t="n">
        <v>0</v>
      </c>
    </row>
    <row r="6853" ht="15" customHeight="1" s="104">
      <c r="H6853" s="198" t="n">
        <v>0</v>
      </c>
    </row>
    <row r="6854" ht="15" customHeight="1" s="104">
      <c r="H6854" s="198" t="n">
        <v>0</v>
      </c>
    </row>
    <row r="6855" ht="15" customHeight="1" s="104">
      <c r="H6855" s="198" t="n">
        <v>0</v>
      </c>
    </row>
    <row r="6856" ht="15" customHeight="1" s="104">
      <c r="H6856" s="198" t="n">
        <v>0</v>
      </c>
    </row>
    <row r="6857" ht="15" customHeight="1" s="104">
      <c r="H6857" s="198" t="n">
        <v>0</v>
      </c>
    </row>
    <row r="6858" ht="15" customHeight="1" s="104">
      <c r="H6858" s="198" t="n">
        <v>0</v>
      </c>
    </row>
    <row r="6859" ht="15" customHeight="1" s="104">
      <c r="H6859" s="198" t="n">
        <v>0</v>
      </c>
    </row>
    <row r="6860" ht="15" customHeight="1" s="104">
      <c r="H6860" s="198" t="n">
        <v>0</v>
      </c>
    </row>
    <row r="6861" ht="15" customHeight="1" s="104">
      <c r="H6861" s="198" t="n">
        <v>0</v>
      </c>
    </row>
    <row r="6862" ht="15" customHeight="1" s="104">
      <c r="H6862" s="198" t="n">
        <v>0</v>
      </c>
    </row>
    <row r="6863" ht="15" customHeight="1" s="104">
      <c r="H6863" s="198" t="n">
        <v>0</v>
      </c>
    </row>
    <row r="6864" ht="15" customHeight="1" s="104">
      <c r="H6864" s="198" t="n">
        <v>0</v>
      </c>
    </row>
    <row r="6865" ht="15" customHeight="1" s="104">
      <c r="H6865" s="198" t="n">
        <v>0</v>
      </c>
    </row>
    <row r="6866" ht="15" customHeight="1" s="104">
      <c r="H6866" s="198" t="n">
        <v>0</v>
      </c>
    </row>
    <row r="6867" ht="15" customHeight="1" s="104">
      <c r="H6867" s="198" t="n">
        <v>0</v>
      </c>
    </row>
    <row r="6868" ht="15" customHeight="1" s="104">
      <c r="H6868" s="198" t="n">
        <v>0</v>
      </c>
    </row>
    <row r="6869" ht="15" customHeight="1" s="104">
      <c r="H6869" s="198" t="n">
        <v>0</v>
      </c>
    </row>
    <row r="6870" ht="15" customHeight="1" s="104">
      <c r="H6870" s="198" t="n">
        <v>0</v>
      </c>
    </row>
    <row r="6871" ht="15" customHeight="1" s="104">
      <c r="H6871" s="198" t="n">
        <v>0</v>
      </c>
    </row>
    <row r="6872" ht="15" customHeight="1" s="104">
      <c r="H6872" s="198" t="n">
        <v>0</v>
      </c>
    </row>
    <row r="6873" ht="15" customHeight="1" s="104">
      <c r="H6873" s="198" t="n">
        <v>0</v>
      </c>
    </row>
    <row r="6874" ht="15" customHeight="1" s="104">
      <c r="H6874" s="198" t="n">
        <v>0</v>
      </c>
    </row>
    <row r="6875" ht="15" customHeight="1" s="104">
      <c r="H6875" s="198" t="n">
        <v>0</v>
      </c>
    </row>
    <row r="6876" ht="15" customHeight="1" s="104">
      <c r="H6876" s="198" t="n">
        <v>0</v>
      </c>
    </row>
    <row r="6877" ht="15" customHeight="1" s="104">
      <c r="H6877" s="198" t="n">
        <v>0</v>
      </c>
    </row>
    <row r="6878" ht="15" customHeight="1" s="104">
      <c r="H6878" s="198" t="n">
        <v>0</v>
      </c>
    </row>
    <row r="6879" ht="15" customHeight="1" s="104">
      <c r="H6879" s="198" t="n">
        <v>0</v>
      </c>
    </row>
    <row r="6880" ht="15" customHeight="1" s="104">
      <c r="H6880" s="198" t="n">
        <v>0</v>
      </c>
    </row>
    <row r="6881" ht="15" customHeight="1" s="104">
      <c r="H6881" s="198" t="n">
        <v>0</v>
      </c>
    </row>
    <row r="6882" ht="15" customHeight="1" s="104">
      <c r="H6882" s="198" t="n">
        <v>0</v>
      </c>
    </row>
    <row r="6883" ht="15" customHeight="1" s="104">
      <c r="H6883" s="198" t="n">
        <v>0</v>
      </c>
    </row>
    <row r="6884" ht="15" customHeight="1" s="104">
      <c r="H6884" s="198" t="n">
        <v>0</v>
      </c>
    </row>
    <row r="6885" ht="15" customHeight="1" s="104">
      <c r="H6885" s="198" t="n">
        <v>0</v>
      </c>
    </row>
    <row r="6886" ht="15" customHeight="1" s="104">
      <c r="H6886" s="198" t="n">
        <v>0</v>
      </c>
    </row>
    <row r="6887" ht="15" customHeight="1" s="104">
      <c r="H6887" s="198" t="n">
        <v>0</v>
      </c>
    </row>
    <row r="6888" ht="15" customHeight="1" s="104">
      <c r="H6888" s="198" t="n">
        <v>0</v>
      </c>
    </row>
    <row r="6889" ht="15" customHeight="1" s="104">
      <c r="H6889" s="198" t="n">
        <v>0</v>
      </c>
    </row>
    <row r="6890" ht="15" customHeight="1" s="104">
      <c r="H6890" s="198" t="n">
        <v>0</v>
      </c>
    </row>
    <row r="6891" ht="15" customHeight="1" s="104">
      <c r="H6891" s="198" t="n">
        <v>0</v>
      </c>
    </row>
    <row r="6892" ht="15" customHeight="1" s="104">
      <c r="H6892" s="198" t="n">
        <v>0</v>
      </c>
    </row>
    <row r="6893" ht="15" customHeight="1" s="104">
      <c r="H6893" s="198" t="n">
        <v>0</v>
      </c>
    </row>
    <row r="6894" ht="15" customHeight="1" s="104">
      <c r="H6894" s="198" t="n">
        <v>0</v>
      </c>
    </row>
    <row r="6895" ht="15" customHeight="1" s="104">
      <c r="H6895" s="198" t="n">
        <v>0</v>
      </c>
    </row>
    <row r="6896" ht="15" customHeight="1" s="104">
      <c r="H6896" s="198" t="n">
        <v>0</v>
      </c>
    </row>
    <row r="6897" ht="15" customHeight="1" s="104">
      <c r="H6897" s="198" t="n">
        <v>0</v>
      </c>
    </row>
    <row r="6898" ht="15" customHeight="1" s="104">
      <c r="H6898" s="198" t="n">
        <v>0</v>
      </c>
    </row>
    <row r="6899" ht="15" customHeight="1" s="104">
      <c r="H6899" s="198" t="n">
        <v>0</v>
      </c>
    </row>
    <row r="6900" ht="15" customHeight="1" s="104">
      <c r="H6900" s="198" t="n">
        <v>0</v>
      </c>
    </row>
    <row r="6901" ht="15" customHeight="1" s="104">
      <c r="H6901" s="198" t="n">
        <v>0</v>
      </c>
    </row>
    <row r="6902" ht="15" customHeight="1" s="104">
      <c r="H6902" s="198" t="n">
        <v>0</v>
      </c>
    </row>
    <row r="6903" ht="15" customHeight="1" s="104">
      <c r="H6903" s="198" t="n">
        <v>0</v>
      </c>
    </row>
    <row r="6904" ht="15" customHeight="1" s="104">
      <c r="H6904" s="198" t="n">
        <v>0</v>
      </c>
    </row>
    <row r="6905" ht="15" customHeight="1" s="104">
      <c r="H6905" s="198" t="n">
        <v>0</v>
      </c>
    </row>
    <row r="6906" ht="15" customHeight="1" s="104">
      <c r="H6906" s="198" t="n">
        <v>0</v>
      </c>
    </row>
    <row r="6907" ht="15" customHeight="1" s="104">
      <c r="H6907" s="198" t="n">
        <v>0</v>
      </c>
    </row>
    <row r="6908" ht="15" customHeight="1" s="104">
      <c r="H6908" s="198" t="n">
        <v>0</v>
      </c>
    </row>
    <row r="6909" ht="15" customHeight="1" s="104">
      <c r="H6909" s="198" t="n">
        <v>0</v>
      </c>
    </row>
    <row r="6910" ht="15" customHeight="1" s="104">
      <c r="H6910" s="198" t="n">
        <v>0</v>
      </c>
    </row>
    <row r="6911" ht="15" customHeight="1" s="104">
      <c r="H6911" s="198" t="n">
        <v>0</v>
      </c>
    </row>
    <row r="6912" ht="15" customHeight="1" s="104">
      <c r="H6912" s="198" t="n">
        <v>0</v>
      </c>
    </row>
    <row r="6913" ht="15" customHeight="1" s="104">
      <c r="H6913" s="198" t="n">
        <v>0</v>
      </c>
    </row>
    <row r="6914" ht="15" customHeight="1" s="104">
      <c r="H6914" s="198" t="n">
        <v>0</v>
      </c>
    </row>
    <row r="6915" ht="15" customHeight="1" s="104">
      <c r="H6915" s="198" t="n">
        <v>0</v>
      </c>
    </row>
    <row r="6916" ht="15" customHeight="1" s="104">
      <c r="H6916" s="198" t="n">
        <v>0</v>
      </c>
    </row>
    <row r="6917" ht="15" customHeight="1" s="104">
      <c r="H6917" s="198" t="n">
        <v>0</v>
      </c>
    </row>
    <row r="6918" ht="15" customHeight="1" s="104">
      <c r="H6918" s="198" t="n">
        <v>0</v>
      </c>
    </row>
    <row r="6919" ht="15" customHeight="1" s="104">
      <c r="H6919" s="198" t="n">
        <v>0</v>
      </c>
    </row>
    <row r="6920" ht="15" customHeight="1" s="104">
      <c r="H6920" s="198" t="n">
        <v>0</v>
      </c>
    </row>
    <row r="6921" ht="15" customHeight="1" s="104">
      <c r="H6921" s="198" t="n">
        <v>0</v>
      </c>
    </row>
    <row r="6922" ht="15" customHeight="1" s="104">
      <c r="H6922" s="198" t="n">
        <v>0</v>
      </c>
    </row>
    <row r="6923" ht="15" customHeight="1" s="104">
      <c r="H6923" s="198" t="n">
        <v>0</v>
      </c>
    </row>
    <row r="6924" ht="15" customHeight="1" s="104">
      <c r="H6924" s="198" t="n">
        <v>0</v>
      </c>
    </row>
    <row r="6925" ht="15" customHeight="1" s="104">
      <c r="H6925" s="198" t="n">
        <v>0</v>
      </c>
    </row>
    <row r="6926" ht="15" customHeight="1" s="104">
      <c r="H6926" s="198" t="n">
        <v>0</v>
      </c>
    </row>
    <row r="6927" ht="15" customHeight="1" s="104">
      <c r="H6927" s="198" t="n">
        <v>0</v>
      </c>
    </row>
    <row r="6928" ht="15" customHeight="1" s="104">
      <c r="H6928" s="198" t="n">
        <v>0</v>
      </c>
    </row>
    <row r="6929" ht="15" customHeight="1" s="104">
      <c r="H6929" s="198" t="n">
        <v>0</v>
      </c>
    </row>
    <row r="6930" ht="15" customHeight="1" s="104">
      <c r="H6930" s="198" t="n">
        <v>0</v>
      </c>
    </row>
    <row r="6931" ht="15" customHeight="1" s="104">
      <c r="H6931" s="198" t="n">
        <v>0</v>
      </c>
    </row>
    <row r="6932" ht="15" customHeight="1" s="104">
      <c r="H6932" s="198" t="n">
        <v>0</v>
      </c>
    </row>
    <row r="6933" ht="15" customHeight="1" s="104">
      <c r="H6933" s="198" t="n">
        <v>0</v>
      </c>
    </row>
    <row r="6934" ht="15" customHeight="1" s="104">
      <c r="H6934" s="198" t="n">
        <v>0</v>
      </c>
    </row>
    <row r="6935" ht="15" customHeight="1" s="104">
      <c r="H6935" s="198" t="n">
        <v>0</v>
      </c>
    </row>
    <row r="6936" ht="15" customHeight="1" s="104">
      <c r="H6936" s="198" t="n">
        <v>0</v>
      </c>
    </row>
    <row r="6937" ht="15" customHeight="1" s="104">
      <c r="H6937" s="198" t="n">
        <v>0</v>
      </c>
    </row>
    <row r="6938" ht="15" customHeight="1" s="104">
      <c r="H6938" s="198" t="n">
        <v>0</v>
      </c>
    </row>
    <row r="6939" ht="15" customHeight="1" s="104">
      <c r="H6939" s="198" t="n">
        <v>0</v>
      </c>
    </row>
    <row r="6940" ht="15" customHeight="1" s="104">
      <c r="H6940" s="198" t="n">
        <v>0</v>
      </c>
    </row>
    <row r="6941" ht="15" customHeight="1" s="104">
      <c r="H6941" s="198" t="n">
        <v>0</v>
      </c>
    </row>
    <row r="6942" ht="15" customHeight="1" s="104">
      <c r="H6942" s="198" t="n">
        <v>0</v>
      </c>
    </row>
    <row r="6943" ht="15" customHeight="1" s="104">
      <c r="H6943" s="198" t="n">
        <v>0</v>
      </c>
    </row>
    <row r="6944" ht="15" customHeight="1" s="104">
      <c r="H6944" s="198" t="n">
        <v>0</v>
      </c>
    </row>
    <row r="6945" ht="15" customHeight="1" s="104">
      <c r="H6945" s="198" t="n">
        <v>0</v>
      </c>
    </row>
    <row r="6946" ht="15" customHeight="1" s="104">
      <c r="H6946" s="198" t="n">
        <v>0</v>
      </c>
    </row>
    <row r="6947" ht="15" customHeight="1" s="104">
      <c r="H6947" s="198" t="n">
        <v>0</v>
      </c>
    </row>
    <row r="6948" ht="15" customHeight="1" s="104">
      <c r="H6948" s="198" t="n">
        <v>0</v>
      </c>
    </row>
    <row r="6949" ht="15" customHeight="1" s="104">
      <c r="H6949" s="198" t="n">
        <v>0</v>
      </c>
    </row>
    <row r="6950" ht="15" customHeight="1" s="104">
      <c r="H6950" s="198" t="n">
        <v>0</v>
      </c>
    </row>
    <row r="6951" ht="15" customHeight="1" s="104">
      <c r="H6951" s="198" t="n">
        <v>0</v>
      </c>
    </row>
    <row r="6952" ht="15" customHeight="1" s="104">
      <c r="H6952" s="198" t="n">
        <v>0</v>
      </c>
    </row>
    <row r="6953" ht="15" customHeight="1" s="104">
      <c r="H6953" s="198" t="n">
        <v>0</v>
      </c>
    </row>
    <row r="6954" ht="15" customHeight="1" s="104">
      <c r="H6954" s="198" t="n">
        <v>0</v>
      </c>
    </row>
    <row r="6955" ht="15" customHeight="1" s="104">
      <c r="H6955" s="198" t="n">
        <v>0</v>
      </c>
    </row>
    <row r="6956" ht="15" customHeight="1" s="104">
      <c r="H6956" s="198" t="n">
        <v>0</v>
      </c>
    </row>
    <row r="6957" ht="15" customHeight="1" s="104">
      <c r="H6957" s="198" t="n">
        <v>0</v>
      </c>
    </row>
    <row r="6958" ht="15" customHeight="1" s="104">
      <c r="H6958" s="198" t="n">
        <v>0</v>
      </c>
    </row>
    <row r="6959" ht="15" customHeight="1" s="104">
      <c r="H6959" s="198" t="n">
        <v>0</v>
      </c>
    </row>
    <row r="6960" ht="15" customHeight="1" s="104">
      <c r="H6960" s="198" t="n">
        <v>0</v>
      </c>
    </row>
    <row r="6961" ht="15" customHeight="1" s="104">
      <c r="H6961" s="198" t="n">
        <v>0</v>
      </c>
    </row>
    <row r="6962" ht="15" customHeight="1" s="104">
      <c r="H6962" s="198" t="n">
        <v>0</v>
      </c>
    </row>
    <row r="6963" ht="15" customHeight="1" s="104">
      <c r="H6963" s="198" t="n">
        <v>0</v>
      </c>
    </row>
    <row r="6964" ht="15" customHeight="1" s="104">
      <c r="H6964" s="198" t="n">
        <v>0</v>
      </c>
    </row>
    <row r="6965" ht="15" customHeight="1" s="104">
      <c r="H6965" s="198" t="n">
        <v>0</v>
      </c>
    </row>
    <row r="6966" ht="15" customHeight="1" s="104">
      <c r="H6966" s="198" t="n">
        <v>0</v>
      </c>
    </row>
    <row r="6967" ht="15" customHeight="1" s="104">
      <c r="H6967" s="198" t="n">
        <v>0</v>
      </c>
    </row>
    <row r="6968" ht="15" customHeight="1" s="104">
      <c r="H6968" s="198" t="n">
        <v>0</v>
      </c>
    </row>
    <row r="6969" ht="15" customHeight="1" s="104">
      <c r="H6969" s="198" t="n">
        <v>0</v>
      </c>
    </row>
    <row r="6970" ht="15" customHeight="1" s="104">
      <c r="H6970" s="198" t="n">
        <v>0</v>
      </c>
    </row>
    <row r="6971" ht="15" customHeight="1" s="104">
      <c r="H6971" s="198" t="n">
        <v>0</v>
      </c>
    </row>
    <row r="6972" ht="15" customHeight="1" s="104">
      <c r="H6972" s="198" t="n">
        <v>0</v>
      </c>
    </row>
    <row r="6973" ht="15" customHeight="1" s="104">
      <c r="H6973" s="198" t="n">
        <v>0</v>
      </c>
    </row>
    <row r="6974" ht="15" customHeight="1" s="104">
      <c r="H6974" s="198" t="n">
        <v>0</v>
      </c>
    </row>
    <row r="6975" ht="15" customHeight="1" s="104">
      <c r="H6975" s="198" t="n">
        <v>0</v>
      </c>
    </row>
    <row r="6976" ht="15" customHeight="1" s="104">
      <c r="H6976" s="198" t="n">
        <v>0</v>
      </c>
    </row>
    <row r="6977" ht="15" customHeight="1" s="104">
      <c r="H6977" s="198" t="n">
        <v>0</v>
      </c>
    </row>
    <row r="6978" ht="15" customHeight="1" s="104">
      <c r="H6978" s="198" t="n">
        <v>0</v>
      </c>
    </row>
    <row r="6979" ht="15" customHeight="1" s="104">
      <c r="H6979" s="198" t="n">
        <v>0</v>
      </c>
    </row>
    <row r="6980" ht="15" customHeight="1" s="104">
      <c r="H6980" s="198" t="n">
        <v>0</v>
      </c>
    </row>
    <row r="6981" ht="15" customHeight="1" s="104">
      <c r="H6981" s="198" t="n">
        <v>0</v>
      </c>
    </row>
    <row r="6982" ht="15" customHeight="1" s="104">
      <c r="H6982" s="198" t="n">
        <v>0</v>
      </c>
    </row>
    <row r="6983" ht="15" customHeight="1" s="104">
      <c r="H6983" s="198" t="n">
        <v>0</v>
      </c>
    </row>
    <row r="6984" ht="15" customHeight="1" s="104">
      <c r="H6984" s="198" t="n">
        <v>0</v>
      </c>
    </row>
    <row r="6985" ht="15" customHeight="1" s="104">
      <c r="H6985" s="198" t="n">
        <v>0</v>
      </c>
    </row>
    <row r="6986" ht="15" customHeight="1" s="104">
      <c r="H6986" s="198" t="n">
        <v>0</v>
      </c>
    </row>
    <row r="6987" ht="15" customHeight="1" s="104">
      <c r="H6987" s="198" t="n">
        <v>0</v>
      </c>
    </row>
    <row r="6988" ht="15" customHeight="1" s="104">
      <c r="H6988" s="198" t="n">
        <v>0</v>
      </c>
    </row>
    <row r="6989" ht="15" customHeight="1" s="104">
      <c r="H6989" s="198" t="n">
        <v>0</v>
      </c>
    </row>
    <row r="6990" ht="15" customHeight="1" s="104">
      <c r="H6990" s="198" t="n">
        <v>0</v>
      </c>
    </row>
    <row r="6991" ht="15" customHeight="1" s="104">
      <c r="H6991" s="198" t="n">
        <v>0</v>
      </c>
    </row>
    <row r="6992" ht="15" customHeight="1" s="104">
      <c r="H6992" s="198" t="n">
        <v>0</v>
      </c>
    </row>
    <row r="6993" ht="15" customHeight="1" s="104">
      <c r="H6993" s="198" t="n">
        <v>0</v>
      </c>
    </row>
    <row r="6994" ht="15" customHeight="1" s="104">
      <c r="H6994" s="198" t="n">
        <v>0</v>
      </c>
    </row>
    <row r="6995" ht="15" customHeight="1" s="104">
      <c r="H6995" s="198" t="n">
        <v>0</v>
      </c>
    </row>
    <row r="6996" ht="15" customHeight="1" s="104">
      <c r="H6996" s="198" t="n">
        <v>0</v>
      </c>
    </row>
    <row r="6997" ht="15" customHeight="1" s="104">
      <c r="H6997" s="198" t="n">
        <v>0</v>
      </c>
    </row>
    <row r="6998" ht="15" customHeight="1" s="104">
      <c r="H6998" s="198" t="n">
        <v>0</v>
      </c>
    </row>
    <row r="6999" ht="15" customHeight="1" s="104">
      <c r="H6999" s="198" t="n">
        <v>0</v>
      </c>
    </row>
    <row r="7000" ht="15" customHeight="1" s="104">
      <c r="H7000" s="198" t="n">
        <v>0</v>
      </c>
    </row>
    <row r="7001" ht="15" customHeight="1" s="104">
      <c r="H7001" s="198" t="n">
        <v>0</v>
      </c>
    </row>
    <row r="7002" ht="15" customHeight="1" s="104">
      <c r="H7002" s="198" t="n">
        <v>0</v>
      </c>
    </row>
    <row r="7003" ht="15" customHeight="1" s="104">
      <c r="H7003" s="198" t="n">
        <v>0</v>
      </c>
    </row>
    <row r="7004" ht="15" customHeight="1" s="104">
      <c r="H7004" s="198" t="n">
        <v>0</v>
      </c>
    </row>
    <row r="7005" ht="15" customHeight="1" s="104">
      <c r="H7005" s="198" t="n">
        <v>0</v>
      </c>
    </row>
    <row r="7006" ht="15" customHeight="1" s="104">
      <c r="H7006" s="198" t="n">
        <v>0</v>
      </c>
    </row>
    <row r="7007" ht="15" customHeight="1" s="104">
      <c r="H7007" s="198" t="n">
        <v>0</v>
      </c>
    </row>
    <row r="7008" ht="15" customHeight="1" s="104">
      <c r="H7008" s="198" t="n">
        <v>0</v>
      </c>
    </row>
    <row r="7009" ht="15" customHeight="1" s="104">
      <c r="H7009" s="198" t="n">
        <v>0</v>
      </c>
    </row>
    <row r="7010" ht="15" customHeight="1" s="104">
      <c r="H7010" s="198" t="n">
        <v>0</v>
      </c>
    </row>
    <row r="7011" ht="15" customHeight="1" s="104">
      <c r="H7011" s="198" t="n">
        <v>0</v>
      </c>
    </row>
    <row r="7012" ht="15" customHeight="1" s="104">
      <c r="H7012" s="198" t="n">
        <v>0</v>
      </c>
    </row>
    <row r="7013" ht="15" customHeight="1" s="104">
      <c r="H7013" s="198" t="n">
        <v>0</v>
      </c>
    </row>
    <row r="7014" ht="15" customHeight="1" s="104">
      <c r="H7014" s="198" t="n">
        <v>0</v>
      </c>
    </row>
    <row r="7015" ht="15" customHeight="1" s="104">
      <c r="H7015" s="198" t="n">
        <v>0</v>
      </c>
    </row>
    <row r="7016" ht="15" customHeight="1" s="104">
      <c r="H7016" s="198" t="n">
        <v>0</v>
      </c>
    </row>
    <row r="7017" ht="15" customHeight="1" s="104">
      <c r="H7017" s="198" t="n">
        <v>0</v>
      </c>
    </row>
    <row r="7018" ht="15" customHeight="1" s="104">
      <c r="H7018" s="198" t="n">
        <v>0</v>
      </c>
    </row>
    <row r="7019" ht="15" customHeight="1" s="104">
      <c r="H7019" s="198" t="n">
        <v>0</v>
      </c>
    </row>
    <row r="7020" ht="15" customHeight="1" s="104">
      <c r="H7020" s="198" t="n">
        <v>0</v>
      </c>
    </row>
    <row r="7021" ht="15" customHeight="1" s="104">
      <c r="H7021" s="198" t="n">
        <v>0</v>
      </c>
    </row>
    <row r="7022" ht="15" customHeight="1" s="104">
      <c r="H7022" s="198" t="n">
        <v>0</v>
      </c>
    </row>
    <row r="7023" ht="15" customHeight="1" s="104">
      <c r="H7023" s="198" t="n">
        <v>0</v>
      </c>
    </row>
    <row r="7024" ht="15" customHeight="1" s="104">
      <c r="H7024" s="198" t="n">
        <v>0</v>
      </c>
    </row>
    <row r="7025" ht="15" customHeight="1" s="104">
      <c r="H7025" s="198" t="n">
        <v>0</v>
      </c>
    </row>
    <row r="7026" ht="15" customHeight="1" s="104">
      <c r="H7026" s="198" t="n">
        <v>0</v>
      </c>
    </row>
    <row r="7027" ht="15" customHeight="1" s="104">
      <c r="H7027" s="198" t="n">
        <v>0</v>
      </c>
    </row>
    <row r="7028" ht="15" customHeight="1" s="104">
      <c r="H7028" s="198" t="n">
        <v>0</v>
      </c>
    </row>
    <row r="7029" ht="15" customHeight="1" s="104">
      <c r="H7029" s="198" t="n">
        <v>0</v>
      </c>
    </row>
    <row r="7030" ht="15" customHeight="1" s="104">
      <c r="H7030" s="198" t="n">
        <v>0</v>
      </c>
    </row>
    <row r="7031" ht="15" customHeight="1" s="104">
      <c r="H7031" s="198" t="n">
        <v>0</v>
      </c>
    </row>
    <row r="7032" ht="15" customHeight="1" s="104">
      <c r="H7032" s="198" t="n">
        <v>0</v>
      </c>
    </row>
    <row r="7033" ht="15" customHeight="1" s="104">
      <c r="H7033" s="198" t="n">
        <v>0</v>
      </c>
    </row>
    <row r="7034" ht="15" customHeight="1" s="104">
      <c r="H7034" s="198" t="n">
        <v>0</v>
      </c>
    </row>
    <row r="7035" ht="15" customHeight="1" s="104">
      <c r="H7035" s="198" t="n">
        <v>0</v>
      </c>
    </row>
    <row r="7036" ht="15" customHeight="1" s="104">
      <c r="H7036" s="198" t="n">
        <v>0</v>
      </c>
    </row>
    <row r="7037" ht="15" customHeight="1" s="104">
      <c r="H7037" s="198" t="n">
        <v>0</v>
      </c>
    </row>
    <row r="7038" ht="15" customHeight="1" s="104">
      <c r="H7038" s="198" t="n">
        <v>0</v>
      </c>
    </row>
    <row r="7039" ht="15" customHeight="1" s="104">
      <c r="H7039" s="198" t="n">
        <v>0</v>
      </c>
    </row>
    <row r="7040" ht="15" customHeight="1" s="104">
      <c r="H7040" s="198" t="n">
        <v>0</v>
      </c>
    </row>
    <row r="7041" ht="15" customHeight="1" s="104">
      <c r="H7041" s="198" t="n">
        <v>0</v>
      </c>
    </row>
    <row r="7042" ht="15" customHeight="1" s="104">
      <c r="H7042" s="198" t="n">
        <v>0</v>
      </c>
    </row>
    <row r="7043" ht="15" customHeight="1" s="104">
      <c r="H7043" s="198" t="n">
        <v>0</v>
      </c>
    </row>
    <row r="7044" ht="15" customHeight="1" s="104">
      <c r="H7044" s="198" t="n">
        <v>0</v>
      </c>
    </row>
    <row r="7045" ht="15" customHeight="1" s="104">
      <c r="H7045" s="198" t="n">
        <v>0</v>
      </c>
    </row>
    <row r="7046" ht="15" customHeight="1" s="104">
      <c r="H7046" s="198" t="n">
        <v>0</v>
      </c>
    </row>
    <row r="7047" ht="15" customHeight="1" s="104">
      <c r="H7047" s="198" t="n">
        <v>0</v>
      </c>
    </row>
    <row r="7048" ht="15" customHeight="1" s="104">
      <c r="H7048" s="198" t="n">
        <v>0</v>
      </c>
    </row>
    <row r="7049" ht="15" customHeight="1" s="104">
      <c r="H7049" s="198" t="n">
        <v>0</v>
      </c>
    </row>
    <row r="7050" ht="15" customHeight="1" s="104">
      <c r="H7050" s="198" t="n">
        <v>0</v>
      </c>
    </row>
    <row r="7051" ht="15" customHeight="1" s="104">
      <c r="H7051" s="198" t="n">
        <v>0</v>
      </c>
    </row>
    <row r="7052" ht="15" customHeight="1" s="104">
      <c r="H7052" s="198" t="n">
        <v>0</v>
      </c>
    </row>
    <row r="7053" ht="15" customHeight="1" s="104">
      <c r="H7053" s="198" t="n">
        <v>0</v>
      </c>
    </row>
    <row r="7054" ht="15" customHeight="1" s="104">
      <c r="H7054" s="198" t="n">
        <v>0</v>
      </c>
    </row>
    <row r="7055" ht="15" customHeight="1" s="104">
      <c r="H7055" s="198" t="n">
        <v>0</v>
      </c>
    </row>
    <row r="7056" ht="15" customHeight="1" s="104">
      <c r="H7056" s="198" t="n">
        <v>0</v>
      </c>
    </row>
    <row r="7057" ht="15" customHeight="1" s="104">
      <c r="H7057" s="198" t="n">
        <v>0</v>
      </c>
    </row>
    <row r="7058" ht="15" customHeight="1" s="104">
      <c r="H7058" s="198" t="n">
        <v>0</v>
      </c>
    </row>
    <row r="7059" ht="15" customHeight="1" s="104">
      <c r="H7059" s="198" t="n">
        <v>0</v>
      </c>
    </row>
    <row r="7060" ht="15" customHeight="1" s="104">
      <c r="H7060" s="198" t="n">
        <v>0</v>
      </c>
    </row>
    <row r="7061" ht="15" customHeight="1" s="104">
      <c r="H7061" s="198" t="n">
        <v>0</v>
      </c>
    </row>
    <row r="7062" ht="15" customHeight="1" s="104">
      <c r="H7062" s="198" t="n">
        <v>0</v>
      </c>
    </row>
    <row r="7063" ht="15" customHeight="1" s="104">
      <c r="H7063" s="198" t="n">
        <v>0</v>
      </c>
    </row>
    <row r="7064" ht="15" customHeight="1" s="104">
      <c r="H7064" s="198" t="n">
        <v>0</v>
      </c>
    </row>
    <row r="7065" ht="15" customHeight="1" s="104">
      <c r="H7065" s="198" t="n">
        <v>0</v>
      </c>
    </row>
    <row r="7066" ht="15" customHeight="1" s="104">
      <c r="H7066" s="198" t="n">
        <v>0</v>
      </c>
    </row>
    <row r="7067" ht="15" customHeight="1" s="104">
      <c r="H7067" s="198" t="n">
        <v>0</v>
      </c>
    </row>
    <row r="7068" ht="15" customHeight="1" s="104">
      <c r="H7068" s="198" t="n">
        <v>0</v>
      </c>
    </row>
    <row r="7069" ht="15" customHeight="1" s="104">
      <c r="H7069" s="198" t="n">
        <v>0</v>
      </c>
    </row>
    <row r="7070" ht="15" customHeight="1" s="104">
      <c r="H7070" s="198" t="n">
        <v>0</v>
      </c>
    </row>
    <row r="7071" ht="15" customHeight="1" s="104">
      <c r="H7071" s="198" t="n">
        <v>0</v>
      </c>
    </row>
    <row r="7072" ht="15" customHeight="1" s="104">
      <c r="H7072" s="198" t="n">
        <v>0</v>
      </c>
    </row>
    <row r="7073" ht="15" customHeight="1" s="104">
      <c r="H7073" s="198" t="n">
        <v>0</v>
      </c>
    </row>
    <row r="7074" ht="15" customHeight="1" s="104">
      <c r="H7074" s="198" t="n">
        <v>0</v>
      </c>
    </row>
    <row r="7075" ht="15" customHeight="1" s="104">
      <c r="H7075" s="198" t="n">
        <v>0</v>
      </c>
    </row>
    <row r="7076" ht="15" customHeight="1" s="104">
      <c r="H7076" s="198" t="n">
        <v>0</v>
      </c>
    </row>
    <row r="7077" ht="15" customHeight="1" s="104">
      <c r="H7077" s="198" t="n">
        <v>0</v>
      </c>
    </row>
    <row r="7078" ht="15" customHeight="1" s="104">
      <c r="H7078" s="198" t="n">
        <v>0</v>
      </c>
    </row>
    <row r="7079" ht="15" customHeight="1" s="104">
      <c r="H7079" s="198" t="n">
        <v>0</v>
      </c>
    </row>
    <row r="7080" ht="15" customHeight="1" s="104">
      <c r="H7080" s="198" t="n">
        <v>0</v>
      </c>
    </row>
    <row r="7081" ht="15" customHeight="1" s="104">
      <c r="H7081" s="198" t="n">
        <v>0</v>
      </c>
    </row>
    <row r="7082" ht="15" customHeight="1" s="104">
      <c r="H7082" s="198" t="n">
        <v>0</v>
      </c>
    </row>
    <row r="7083" ht="15" customHeight="1" s="104">
      <c r="H7083" s="198" t="n">
        <v>0</v>
      </c>
    </row>
    <row r="7084" ht="15" customHeight="1" s="104">
      <c r="H7084" s="198" t="n">
        <v>0</v>
      </c>
    </row>
    <row r="7085" ht="15" customHeight="1" s="104">
      <c r="H7085" s="198" t="n">
        <v>0</v>
      </c>
    </row>
    <row r="7086" ht="15" customHeight="1" s="104">
      <c r="H7086" s="198" t="n">
        <v>0</v>
      </c>
    </row>
    <row r="7087" ht="15" customHeight="1" s="104">
      <c r="H7087" s="198" t="n">
        <v>0</v>
      </c>
    </row>
    <row r="7088" ht="15" customHeight="1" s="104">
      <c r="H7088" s="198" t="n">
        <v>0</v>
      </c>
    </row>
    <row r="7089" ht="15" customHeight="1" s="104">
      <c r="H7089" s="198" t="n">
        <v>0</v>
      </c>
    </row>
    <row r="7090" ht="15" customHeight="1" s="104">
      <c r="H7090" s="198" t="n">
        <v>0</v>
      </c>
    </row>
    <row r="7091" ht="15" customHeight="1" s="104">
      <c r="H7091" s="198" t="n">
        <v>0</v>
      </c>
    </row>
    <row r="7092" ht="15" customHeight="1" s="104">
      <c r="H7092" s="198" t="n">
        <v>0</v>
      </c>
    </row>
    <row r="7093" ht="15" customHeight="1" s="104">
      <c r="H7093" s="198" t="n">
        <v>0</v>
      </c>
    </row>
    <row r="7094" ht="15" customHeight="1" s="104">
      <c r="H7094" s="198" t="n">
        <v>0</v>
      </c>
    </row>
    <row r="7095" ht="15" customHeight="1" s="104">
      <c r="H7095" s="198" t="n">
        <v>0</v>
      </c>
    </row>
    <row r="7096" ht="15" customHeight="1" s="104">
      <c r="H7096" s="198" t="n">
        <v>0</v>
      </c>
    </row>
    <row r="7097" ht="15" customHeight="1" s="104">
      <c r="H7097" s="198" t="n">
        <v>0</v>
      </c>
    </row>
    <row r="7098" ht="15" customHeight="1" s="104">
      <c r="H7098" s="198" t="n">
        <v>0</v>
      </c>
    </row>
    <row r="7099" ht="15" customHeight="1" s="104">
      <c r="H7099" s="198" t="n">
        <v>0</v>
      </c>
    </row>
    <row r="7100" ht="15" customHeight="1" s="104">
      <c r="H7100" s="198" t="n">
        <v>0</v>
      </c>
    </row>
    <row r="7101" ht="15" customHeight="1" s="104">
      <c r="H7101" s="198" t="n">
        <v>0</v>
      </c>
    </row>
    <row r="7102" ht="15" customHeight="1" s="104">
      <c r="H7102" s="198" t="n">
        <v>0</v>
      </c>
    </row>
    <row r="7103" ht="15" customHeight="1" s="104">
      <c r="H7103" s="198" t="n">
        <v>0</v>
      </c>
    </row>
    <row r="7104" ht="15" customHeight="1" s="104">
      <c r="H7104" s="198" t="n">
        <v>0</v>
      </c>
    </row>
    <row r="7105" ht="15" customHeight="1" s="104">
      <c r="H7105" s="198" t="n">
        <v>0</v>
      </c>
    </row>
    <row r="7106" ht="15" customHeight="1" s="104">
      <c r="H7106" s="198" t="n">
        <v>0</v>
      </c>
    </row>
    <row r="7107" ht="15" customHeight="1" s="104">
      <c r="H7107" s="198" t="n">
        <v>0</v>
      </c>
    </row>
    <row r="7108" ht="15" customHeight="1" s="104">
      <c r="H7108" s="198" t="n">
        <v>0</v>
      </c>
    </row>
    <row r="7109" ht="15" customHeight="1" s="104">
      <c r="H7109" s="198" t="n">
        <v>0</v>
      </c>
    </row>
    <row r="7110" ht="15" customHeight="1" s="104">
      <c r="H7110" s="198" t="n">
        <v>0</v>
      </c>
    </row>
    <row r="7111" ht="15" customHeight="1" s="104">
      <c r="H7111" s="198" t="n">
        <v>0</v>
      </c>
    </row>
    <row r="7112" ht="15" customHeight="1" s="104">
      <c r="H7112" s="198" t="n">
        <v>0</v>
      </c>
    </row>
    <row r="7113" ht="15" customHeight="1" s="104">
      <c r="H7113" s="198" t="n">
        <v>0</v>
      </c>
    </row>
    <row r="7114" ht="15" customHeight="1" s="104">
      <c r="H7114" s="198" t="n">
        <v>0</v>
      </c>
    </row>
    <row r="7115" ht="15" customHeight="1" s="104">
      <c r="H7115" s="198" t="n">
        <v>0</v>
      </c>
    </row>
    <row r="7116" ht="15" customHeight="1" s="104">
      <c r="H7116" s="198" t="n">
        <v>0</v>
      </c>
    </row>
    <row r="7117" ht="15" customHeight="1" s="104">
      <c r="H7117" s="198" t="n">
        <v>0</v>
      </c>
    </row>
    <row r="7118" ht="15" customHeight="1" s="104">
      <c r="H7118" s="198" t="n">
        <v>0</v>
      </c>
    </row>
    <row r="7119" ht="15" customHeight="1" s="104">
      <c r="H7119" s="198" t="n">
        <v>0</v>
      </c>
    </row>
    <row r="7120" ht="15" customHeight="1" s="104">
      <c r="H7120" s="198" t="n">
        <v>0</v>
      </c>
    </row>
    <row r="7121" ht="15" customHeight="1" s="104">
      <c r="H7121" s="198" t="n">
        <v>0</v>
      </c>
    </row>
    <row r="7122" ht="15" customHeight="1" s="104">
      <c r="H7122" s="198" t="n">
        <v>0</v>
      </c>
    </row>
    <row r="7123" ht="15" customHeight="1" s="104">
      <c r="H7123" s="198" t="n">
        <v>0</v>
      </c>
    </row>
    <row r="7124" ht="15" customHeight="1" s="104">
      <c r="H7124" s="198" t="n">
        <v>0</v>
      </c>
    </row>
    <row r="7125" ht="15" customHeight="1" s="104">
      <c r="H7125" s="198" t="n">
        <v>0</v>
      </c>
    </row>
    <row r="7126" ht="15" customHeight="1" s="104">
      <c r="H7126" s="198" t="n">
        <v>0</v>
      </c>
    </row>
    <row r="7127" ht="15" customHeight="1" s="104">
      <c r="H7127" s="198" t="n">
        <v>0</v>
      </c>
    </row>
    <row r="7128" ht="15" customHeight="1" s="104">
      <c r="H7128" s="198" t="n">
        <v>0</v>
      </c>
    </row>
    <row r="7129" ht="15" customHeight="1" s="104">
      <c r="H7129" s="198" t="n">
        <v>0</v>
      </c>
    </row>
    <row r="7130" ht="15" customHeight="1" s="104">
      <c r="H7130" s="198" t="n">
        <v>0</v>
      </c>
    </row>
    <row r="7131" ht="15" customHeight="1" s="104">
      <c r="H7131" s="198" t="n">
        <v>0</v>
      </c>
    </row>
    <row r="7132" ht="15" customHeight="1" s="104">
      <c r="H7132" s="198" t="n">
        <v>0</v>
      </c>
    </row>
    <row r="7133" ht="15" customHeight="1" s="104">
      <c r="H7133" s="198" t="n">
        <v>0</v>
      </c>
    </row>
    <row r="7134" ht="15" customHeight="1" s="104">
      <c r="H7134" s="198" t="n">
        <v>0</v>
      </c>
    </row>
    <row r="7135" ht="15" customHeight="1" s="104">
      <c r="H7135" s="198" t="n">
        <v>0</v>
      </c>
    </row>
    <row r="7136" ht="15" customHeight="1" s="104">
      <c r="H7136" s="198" t="n">
        <v>0</v>
      </c>
    </row>
    <row r="7137" ht="15" customHeight="1" s="104">
      <c r="H7137" s="198" t="n">
        <v>0</v>
      </c>
    </row>
    <row r="7138" ht="15" customHeight="1" s="104">
      <c r="H7138" s="198" t="n">
        <v>0</v>
      </c>
    </row>
    <row r="7139" ht="15" customHeight="1" s="104">
      <c r="H7139" s="198" t="n">
        <v>0</v>
      </c>
    </row>
    <row r="7140" ht="15" customHeight="1" s="104">
      <c r="H7140" s="198" t="n">
        <v>0</v>
      </c>
    </row>
    <row r="7141" ht="15" customHeight="1" s="104">
      <c r="H7141" s="198" t="n">
        <v>0</v>
      </c>
    </row>
    <row r="7142" ht="15" customHeight="1" s="104">
      <c r="H7142" s="198" t="n">
        <v>0</v>
      </c>
    </row>
    <row r="7143" ht="15" customHeight="1" s="104">
      <c r="H7143" s="198" t="n">
        <v>0</v>
      </c>
    </row>
    <row r="7144" ht="15" customHeight="1" s="104">
      <c r="H7144" s="198" t="n">
        <v>0</v>
      </c>
    </row>
    <row r="7145" ht="15" customHeight="1" s="104">
      <c r="H7145" s="198" t="n">
        <v>0</v>
      </c>
    </row>
    <row r="7146" ht="15" customHeight="1" s="104">
      <c r="H7146" s="198" t="n">
        <v>0</v>
      </c>
    </row>
    <row r="7147" ht="15" customHeight="1" s="104">
      <c r="H7147" s="198" t="n">
        <v>0</v>
      </c>
    </row>
    <row r="7148" ht="15" customHeight="1" s="104">
      <c r="H7148" s="198" t="n">
        <v>0</v>
      </c>
    </row>
    <row r="7149" ht="15" customHeight="1" s="104">
      <c r="H7149" s="198" t="n">
        <v>0</v>
      </c>
    </row>
    <row r="7150" ht="15" customHeight="1" s="104">
      <c r="H7150" s="198" t="n">
        <v>0</v>
      </c>
    </row>
    <row r="7151" ht="15" customHeight="1" s="104">
      <c r="H7151" s="198" t="n">
        <v>0</v>
      </c>
    </row>
    <row r="7152" ht="15" customHeight="1" s="104">
      <c r="H7152" s="198" t="n">
        <v>0</v>
      </c>
    </row>
    <row r="7153" ht="15" customHeight="1" s="104">
      <c r="H7153" s="198" t="n">
        <v>0</v>
      </c>
    </row>
    <row r="7154" ht="15" customHeight="1" s="104">
      <c r="H7154" s="198" t="n">
        <v>0</v>
      </c>
    </row>
    <row r="7155" ht="15" customHeight="1" s="104">
      <c r="H7155" s="198" t="n">
        <v>0</v>
      </c>
    </row>
    <row r="7156" ht="15" customHeight="1" s="104">
      <c r="H7156" s="198" t="n">
        <v>0</v>
      </c>
    </row>
    <row r="7157" ht="15" customHeight="1" s="104">
      <c r="H7157" s="198" t="n">
        <v>0</v>
      </c>
    </row>
    <row r="7158" ht="15" customHeight="1" s="104">
      <c r="H7158" s="198" t="n">
        <v>0</v>
      </c>
    </row>
    <row r="7159" ht="15" customHeight="1" s="104">
      <c r="H7159" s="198" t="n">
        <v>0</v>
      </c>
    </row>
    <row r="7160" ht="15" customHeight="1" s="104">
      <c r="H7160" s="198" t="n">
        <v>0</v>
      </c>
    </row>
    <row r="7161" ht="15" customHeight="1" s="104">
      <c r="H7161" s="198" t="n">
        <v>0</v>
      </c>
    </row>
    <row r="7162" ht="15" customHeight="1" s="104">
      <c r="H7162" s="198" t="n">
        <v>0</v>
      </c>
    </row>
    <row r="7163" ht="15" customHeight="1" s="104">
      <c r="H7163" s="198" t="n">
        <v>0</v>
      </c>
    </row>
    <row r="7164" ht="15" customHeight="1" s="104">
      <c r="H7164" s="198" t="n">
        <v>0</v>
      </c>
    </row>
    <row r="7165" ht="15" customHeight="1" s="104">
      <c r="H7165" s="198" t="n">
        <v>0</v>
      </c>
    </row>
    <row r="7166" ht="15" customHeight="1" s="104">
      <c r="H7166" s="198" t="n">
        <v>0</v>
      </c>
    </row>
    <row r="7167" ht="15" customHeight="1" s="104">
      <c r="H7167" s="198" t="n">
        <v>0</v>
      </c>
    </row>
    <row r="7168" ht="15" customHeight="1" s="104">
      <c r="H7168" s="198" t="n">
        <v>0</v>
      </c>
    </row>
    <row r="7169" ht="15" customHeight="1" s="104">
      <c r="H7169" s="198" t="n">
        <v>0</v>
      </c>
    </row>
    <row r="7170" ht="15" customHeight="1" s="104">
      <c r="H7170" s="198" t="n">
        <v>0</v>
      </c>
    </row>
    <row r="7171" ht="15" customHeight="1" s="104">
      <c r="H7171" s="198" t="n">
        <v>0</v>
      </c>
    </row>
    <row r="7172" ht="15" customHeight="1" s="104">
      <c r="H7172" s="198" t="n">
        <v>0</v>
      </c>
    </row>
    <row r="7173" ht="15" customHeight="1" s="104">
      <c r="H7173" s="198" t="n">
        <v>0</v>
      </c>
    </row>
    <row r="7174" ht="15" customHeight="1" s="104">
      <c r="H7174" s="198" t="n">
        <v>0</v>
      </c>
    </row>
    <row r="7175" ht="15" customHeight="1" s="104">
      <c r="H7175" s="198" t="n">
        <v>0</v>
      </c>
    </row>
    <row r="7176" ht="15" customHeight="1" s="104">
      <c r="H7176" s="198" t="n">
        <v>0</v>
      </c>
    </row>
    <row r="7177" ht="15" customHeight="1" s="104">
      <c r="H7177" s="198" t="n">
        <v>0</v>
      </c>
    </row>
    <row r="7178" ht="15" customHeight="1" s="104">
      <c r="H7178" s="198" t="n">
        <v>0</v>
      </c>
    </row>
    <row r="7179" ht="15" customHeight="1" s="104">
      <c r="H7179" s="198" t="n">
        <v>0</v>
      </c>
    </row>
    <row r="7180" ht="15" customHeight="1" s="104">
      <c r="H7180" s="198" t="n">
        <v>0</v>
      </c>
    </row>
    <row r="7181" ht="15" customHeight="1" s="104">
      <c r="H7181" s="198" t="n">
        <v>0</v>
      </c>
    </row>
    <row r="7182" ht="15" customHeight="1" s="104">
      <c r="H7182" s="198" t="n">
        <v>0</v>
      </c>
    </row>
    <row r="7183" ht="15" customHeight="1" s="104">
      <c r="H7183" s="198" t="n">
        <v>0</v>
      </c>
    </row>
    <row r="7184" ht="15" customHeight="1" s="104">
      <c r="H7184" s="198" t="n">
        <v>0</v>
      </c>
    </row>
    <row r="7185" ht="15" customHeight="1" s="104">
      <c r="H7185" s="198" t="n">
        <v>0</v>
      </c>
    </row>
    <row r="7186" ht="15" customHeight="1" s="104">
      <c r="H7186" s="198" t="n">
        <v>0</v>
      </c>
    </row>
    <row r="7187" ht="15" customHeight="1" s="104">
      <c r="H7187" s="198" t="n">
        <v>0</v>
      </c>
    </row>
    <row r="7188" ht="15" customHeight="1" s="104">
      <c r="H7188" s="198" t="n">
        <v>0</v>
      </c>
    </row>
    <row r="7189" ht="15" customHeight="1" s="104">
      <c r="H7189" s="198" t="n">
        <v>0</v>
      </c>
    </row>
    <row r="7190" ht="15" customHeight="1" s="104">
      <c r="H7190" s="198" t="n">
        <v>0</v>
      </c>
    </row>
    <row r="7191" ht="15" customHeight="1" s="104">
      <c r="H7191" s="198" t="n">
        <v>0</v>
      </c>
    </row>
    <row r="7192" ht="15" customHeight="1" s="104">
      <c r="H7192" s="198" t="n">
        <v>0</v>
      </c>
    </row>
    <row r="7193" ht="15" customHeight="1" s="104">
      <c r="H7193" s="198" t="n">
        <v>0</v>
      </c>
    </row>
    <row r="7194" ht="15" customHeight="1" s="104">
      <c r="H7194" s="198" t="n">
        <v>0</v>
      </c>
    </row>
    <row r="7195" ht="15" customHeight="1" s="104">
      <c r="H7195" s="198" t="n">
        <v>0</v>
      </c>
    </row>
    <row r="7196" ht="15" customHeight="1" s="104">
      <c r="H7196" s="198" t="n">
        <v>0</v>
      </c>
    </row>
    <row r="7197" ht="15" customHeight="1" s="104">
      <c r="H7197" s="198" t="n">
        <v>0</v>
      </c>
    </row>
    <row r="7198" ht="15" customHeight="1" s="104">
      <c r="H7198" s="198" t="n">
        <v>0</v>
      </c>
    </row>
    <row r="7199" ht="15" customHeight="1" s="104">
      <c r="H7199" s="198" t="n">
        <v>0</v>
      </c>
    </row>
    <row r="7200" ht="15" customHeight="1" s="104">
      <c r="H7200" s="198" t="n">
        <v>0</v>
      </c>
    </row>
    <row r="7201" ht="15" customHeight="1" s="104">
      <c r="H7201" s="198" t="n">
        <v>0</v>
      </c>
    </row>
    <row r="7202" ht="15" customHeight="1" s="104">
      <c r="H7202" s="198" t="n">
        <v>0</v>
      </c>
    </row>
    <row r="7203" ht="15" customHeight="1" s="104">
      <c r="H7203" s="198" t="n">
        <v>0</v>
      </c>
    </row>
    <row r="7204" ht="15" customHeight="1" s="104">
      <c r="H7204" s="198" t="n">
        <v>0</v>
      </c>
    </row>
    <row r="7205" ht="15" customHeight="1" s="104">
      <c r="H7205" s="198" t="n">
        <v>0</v>
      </c>
    </row>
    <row r="7206" ht="15" customHeight="1" s="104">
      <c r="H7206" s="198" t="n">
        <v>0</v>
      </c>
    </row>
    <row r="7207" ht="15" customHeight="1" s="104">
      <c r="H7207" s="198" t="n">
        <v>0</v>
      </c>
    </row>
    <row r="7208" ht="15" customHeight="1" s="104">
      <c r="H7208" s="198" t="n">
        <v>0</v>
      </c>
    </row>
    <row r="7209" ht="15" customHeight="1" s="104">
      <c r="H7209" s="198" t="n">
        <v>0</v>
      </c>
    </row>
    <row r="7210" ht="15" customHeight="1" s="104">
      <c r="H7210" s="198" t="n">
        <v>0</v>
      </c>
    </row>
    <row r="7211" ht="15" customHeight="1" s="104">
      <c r="H7211" s="198" t="n">
        <v>0</v>
      </c>
    </row>
    <row r="7212" ht="15" customHeight="1" s="104">
      <c r="H7212" s="198" t="n">
        <v>0</v>
      </c>
    </row>
    <row r="7213" ht="15" customHeight="1" s="104">
      <c r="H7213" s="198" t="n">
        <v>0</v>
      </c>
    </row>
    <row r="7214" ht="15" customHeight="1" s="104">
      <c r="H7214" s="198" t="n">
        <v>0</v>
      </c>
    </row>
    <row r="7215" ht="15" customHeight="1" s="104">
      <c r="H7215" s="198" t="n">
        <v>0</v>
      </c>
    </row>
    <row r="7216" ht="15" customHeight="1" s="104">
      <c r="H7216" s="198" t="n">
        <v>0</v>
      </c>
    </row>
    <row r="7217" ht="15" customHeight="1" s="104">
      <c r="H7217" s="198" t="n">
        <v>0</v>
      </c>
    </row>
    <row r="7218" ht="15" customHeight="1" s="104">
      <c r="H7218" s="198" t="n">
        <v>0</v>
      </c>
    </row>
    <row r="7219" ht="15" customHeight="1" s="104">
      <c r="H7219" s="198" t="n">
        <v>0</v>
      </c>
    </row>
    <row r="7220" ht="15" customHeight="1" s="104">
      <c r="H7220" s="198" t="n">
        <v>0</v>
      </c>
    </row>
    <row r="7221" ht="15" customHeight="1" s="104">
      <c r="H7221" s="198" t="n">
        <v>0</v>
      </c>
    </row>
    <row r="7222" ht="15" customHeight="1" s="104">
      <c r="H7222" s="198" t="n">
        <v>0</v>
      </c>
    </row>
    <row r="7223" ht="15" customHeight="1" s="104">
      <c r="H7223" s="198" t="n">
        <v>0</v>
      </c>
    </row>
    <row r="7224" ht="15" customHeight="1" s="104">
      <c r="H7224" s="198" t="n">
        <v>0</v>
      </c>
    </row>
    <row r="7225" ht="15" customHeight="1" s="104">
      <c r="H7225" s="198" t="n">
        <v>0</v>
      </c>
    </row>
    <row r="7226" ht="15" customHeight="1" s="104">
      <c r="H7226" s="198" t="n">
        <v>0</v>
      </c>
    </row>
    <row r="7227" ht="15" customHeight="1" s="104">
      <c r="H7227" s="198" t="n">
        <v>0</v>
      </c>
    </row>
    <row r="7228" ht="15" customHeight="1" s="104">
      <c r="H7228" s="198" t="n">
        <v>0</v>
      </c>
    </row>
    <row r="7229" ht="15" customHeight="1" s="104">
      <c r="H7229" s="198" t="n">
        <v>0</v>
      </c>
    </row>
    <row r="7230" ht="15" customHeight="1" s="104">
      <c r="H7230" s="198" t="n">
        <v>0</v>
      </c>
    </row>
    <row r="7231" ht="15" customHeight="1" s="104">
      <c r="H7231" s="198" t="n">
        <v>0</v>
      </c>
    </row>
    <row r="7232" ht="15" customHeight="1" s="104">
      <c r="H7232" s="198" t="n">
        <v>0</v>
      </c>
    </row>
    <row r="7233" ht="15" customHeight="1" s="104">
      <c r="H7233" s="198" t="n">
        <v>0</v>
      </c>
    </row>
    <row r="7234" ht="15" customHeight="1" s="104">
      <c r="H7234" s="198" t="n">
        <v>0</v>
      </c>
    </row>
    <row r="7235" ht="15" customHeight="1" s="104">
      <c r="H7235" s="198" t="n">
        <v>0</v>
      </c>
    </row>
    <row r="7236" ht="15" customHeight="1" s="104">
      <c r="H7236" s="198" t="n">
        <v>0</v>
      </c>
    </row>
    <row r="7237" ht="15" customHeight="1" s="104">
      <c r="H7237" s="198" t="n">
        <v>0</v>
      </c>
    </row>
    <row r="7238" ht="15" customHeight="1" s="104">
      <c r="H7238" s="198" t="n">
        <v>0</v>
      </c>
    </row>
    <row r="7239" ht="15" customHeight="1" s="104">
      <c r="H7239" s="198" t="n">
        <v>0</v>
      </c>
    </row>
    <row r="7240" ht="15" customHeight="1" s="104">
      <c r="H7240" s="198" t="n">
        <v>0</v>
      </c>
    </row>
    <row r="7241" ht="15" customHeight="1" s="104">
      <c r="H7241" s="198" t="n">
        <v>0</v>
      </c>
    </row>
    <row r="7242" ht="15" customHeight="1" s="104">
      <c r="H7242" s="198" t="n">
        <v>0</v>
      </c>
    </row>
    <row r="7243" ht="15" customHeight="1" s="104">
      <c r="H7243" s="198" t="n">
        <v>0</v>
      </c>
    </row>
    <row r="7244" ht="15" customHeight="1" s="104">
      <c r="H7244" s="198" t="n">
        <v>0</v>
      </c>
    </row>
    <row r="7245" ht="15" customHeight="1" s="104">
      <c r="H7245" s="198" t="n">
        <v>0</v>
      </c>
    </row>
    <row r="7246" ht="15" customHeight="1" s="104">
      <c r="H7246" s="198" t="n">
        <v>0</v>
      </c>
    </row>
    <row r="7247" ht="15" customHeight="1" s="104">
      <c r="H7247" s="198" t="n">
        <v>0</v>
      </c>
    </row>
    <row r="7248" ht="15" customHeight="1" s="104">
      <c r="H7248" s="198" t="n">
        <v>0</v>
      </c>
    </row>
    <row r="7249" ht="15" customHeight="1" s="104">
      <c r="H7249" s="198" t="n">
        <v>0</v>
      </c>
    </row>
    <row r="7250" ht="15" customHeight="1" s="104">
      <c r="H7250" s="198" t="n">
        <v>0</v>
      </c>
    </row>
    <row r="7251" ht="15" customHeight="1" s="104">
      <c r="H7251" s="198" t="n">
        <v>0</v>
      </c>
    </row>
    <row r="7252" ht="15" customHeight="1" s="104">
      <c r="H7252" s="198" t="n">
        <v>0</v>
      </c>
    </row>
    <row r="7253" ht="15" customHeight="1" s="104">
      <c r="H7253" s="198" t="n">
        <v>0</v>
      </c>
    </row>
    <row r="7254" ht="15" customHeight="1" s="104">
      <c r="H7254" s="198" t="n">
        <v>0</v>
      </c>
    </row>
    <row r="7255" ht="15" customHeight="1" s="104">
      <c r="H7255" s="198" t="n">
        <v>0</v>
      </c>
    </row>
    <row r="7256" ht="15" customHeight="1" s="104">
      <c r="H7256" s="198" t="n">
        <v>0</v>
      </c>
    </row>
    <row r="7257" ht="15" customHeight="1" s="104">
      <c r="H7257" s="198" t="n">
        <v>0</v>
      </c>
    </row>
    <row r="7258" ht="15" customHeight="1" s="104">
      <c r="H7258" s="198" t="n">
        <v>0</v>
      </c>
    </row>
    <row r="7259" ht="15" customHeight="1" s="104">
      <c r="H7259" s="198" t="n">
        <v>0</v>
      </c>
    </row>
    <row r="7260" ht="15" customHeight="1" s="104">
      <c r="H7260" s="198" t="n">
        <v>0</v>
      </c>
    </row>
    <row r="7261" ht="15" customHeight="1" s="104">
      <c r="H7261" s="198" t="n">
        <v>0</v>
      </c>
    </row>
    <row r="7262" ht="15" customHeight="1" s="104">
      <c r="H7262" s="198" t="n">
        <v>0</v>
      </c>
    </row>
    <row r="7263" ht="15" customHeight="1" s="104">
      <c r="H7263" s="198" t="n">
        <v>0</v>
      </c>
    </row>
    <row r="7264" ht="15" customHeight="1" s="104">
      <c r="H7264" s="198" t="n">
        <v>0</v>
      </c>
    </row>
    <row r="7265" ht="15" customHeight="1" s="104">
      <c r="H7265" s="198" t="n">
        <v>0</v>
      </c>
    </row>
    <row r="7266" ht="15" customHeight="1" s="104">
      <c r="H7266" s="198" t="n">
        <v>0</v>
      </c>
    </row>
    <row r="7267" ht="15" customHeight="1" s="104">
      <c r="H7267" s="198" t="n">
        <v>0</v>
      </c>
    </row>
    <row r="7268" ht="15" customHeight="1" s="104">
      <c r="H7268" s="198" t="n">
        <v>0</v>
      </c>
    </row>
    <row r="7269" ht="15" customHeight="1" s="104">
      <c r="H7269" s="198" t="n">
        <v>0</v>
      </c>
    </row>
    <row r="7270" ht="15" customHeight="1" s="104">
      <c r="H7270" s="198" t="n">
        <v>0</v>
      </c>
    </row>
    <row r="7271" ht="15" customHeight="1" s="104">
      <c r="H7271" s="198" t="n">
        <v>0</v>
      </c>
    </row>
    <row r="7272" ht="15" customHeight="1" s="104">
      <c r="H7272" s="198" t="n">
        <v>0</v>
      </c>
    </row>
    <row r="7273" ht="15" customHeight="1" s="104">
      <c r="H7273" s="198" t="n">
        <v>0</v>
      </c>
    </row>
    <row r="7274" ht="15" customHeight="1" s="104">
      <c r="H7274" s="198" t="n">
        <v>0</v>
      </c>
    </row>
    <row r="7275" ht="15" customHeight="1" s="104">
      <c r="H7275" s="198" t="n">
        <v>0</v>
      </c>
    </row>
    <row r="7276" ht="15" customHeight="1" s="104">
      <c r="H7276" s="198" t="n">
        <v>0</v>
      </c>
    </row>
    <row r="7277" ht="15" customHeight="1" s="104">
      <c r="H7277" s="198" t="n">
        <v>0</v>
      </c>
    </row>
    <row r="7278" ht="15" customHeight="1" s="104">
      <c r="H7278" s="198" t="n">
        <v>0</v>
      </c>
    </row>
    <row r="7279" ht="15" customHeight="1" s="104">
      <c r="H7279" s="198" t="n">
        <v>0</v>
      </c>
    </row>
    <row r="7280" ht="15" customHeight="1" s="104">
      <c r="H7280" s="198" t="n">
        <v>0</v>
      </c>
    </row>
    <row r="7281" ht="15" customHeight="1" s="104">
      <c r="H7281" s="198" t="n">
        <v>0</v>
      </c>
    </row>
    <row r="7282" ht="15" customHeight="1" s="104">
      <c r="H7282" s="198" t="n">
        <v>0</v>
      </c>
    </row>
    <row r="7283" ht="15" customHeight="1" s="104">
      <c r="H7283" s="198" t="n">
        <v>0</v>
      </c>
    </row>
    <row r="7284" ht="15" customHeight="1" s="104">
      <c r="H7284" s="198" t="n">
        <v>0</v>
      </c>
    </row>
    <row r="7285" ht="15" customHeight="1" s="104">
      <c r="H7285" s="198" t="n">
        <v>0</v>
      </c>
    </row>
    <row r="7286" ht="15" customHeight="1" s="104">
      <c r="H7286" s="198" t="n">
        <v>0</v>
      </c>
    </row>
    <row r="7287" ht="15" customHeight="1" s="104">
      <c r="H7287" s="198" t="n">
        <v>0</v>
      </c>
    </row>
    <row r="7288" ht="15" customHeight="1" s="104">
      <c r="H7288" s="198" t="n">
        <v>0</v>
      </c>
    </row>
    <row r="7289" ht="15" customHeight="1" s="104">
      <c r="H7289" s="198" t="n">
        <v>0</v>
      </c>
    </row>
    <row r="7290" ht="15" customHeight="1" s="104">
      <c r="H7290" s="198" t="n">
        <v>0</v>
      </c>
    </row>
    <row r="7291" ht="15" customHeight="1" s="104">
      <c r="H7291" s="198" t="n">
        <v>0</v>
      </c>
    </row>
    <row r="7292" ht="15" customHeight="1" s="104">
      <c r="H7292" s="198" t="n">
        <v>0</v>
      </c>
    </row>
    <row r="7293" ht="15" customHeight="1" s="104">
      <c r="H7293" s="198" t="n">
        <v>0</v>
      </c>
    </row>
    <row r="7294" ht="15" customHeight="1" s="104">
      <c r="H7294" s="198" t="n">
        <v>0</v>
      </c>
    </row>
    <row r="7295" ht="15" customHeight="1" s="104">
      <c r="H7295" s="198" t="n">
        <v>0</v>
      </c>
    </row>
    <row r="7296" ht="15" customHeight="1" s="104">
      <c r="H7296" s="198" t="n">
        <v>0</v>
      </c>
    </row>
    <row r="7297" ht="15" customHeight="1" s="104">
      <c r="H7297" s="198" t="n">
        <v>0</v>
      </c>
    </row>
    <row r="7298" ht="15" customHeight="1" s="104">
      <c r="H7298" s="198" t="n">
        <v>0</v>
      </c>
    </row>
    <row r="7299" ht="15" customHeight="1" s="104">
      <c r="H7299" s="198" t="n">
        <v>0</v>
      </c>
    </row>
    <row r="7300" ht="15" customHeight="1" s="104">
      <c r="H7300" s="198" t="n">
        <v>0</v>
      </c>
    </row>
    <row r="7301" ht="15" customHeight="1" s="104">
      <c r="H7301" s="198" t="n">
        <v>0</v>
      </c>
    </row>
    <row r="7302" ht="15" customHeight="1" s="104">
      <c r="H7302" s="198" t="n">
        <v>0</v>
      </c>
    </row>
    <row r="7303" ht="15" customHeight="1" s="104">
      <c r="H7303" s="198" t="n">
        <v>0</v>
      </c>
    </row>
    <row r="7304" ht="15" customHeight="1" s="104">
      <c r="H7304" s="198" t="n">
        <v>0</v>
      </c>
    </row>
    <row r="7305" ht="15" customHeight="1" s="104">
      <c r="H7305" s="198" t="n">
        <v>0</v>
      </c>
    </row>
    <row r="7306" ht="15" customHeight="1" s="104">
      <c r="H7306" s="198" t="n">
        <v>0</v>
      </c>
    </row>
    <row r="7307" ht="15" customHeight="1" s="104">
      <c r="H7307" s="198" t="n">
        <v>0</v>
      </c>
    </row>
    <row r="7308" ht="15" customHeight="1" s="104">
      <c r="H7308" s="198" t="n">
        <v>0</v>
      </c>
    </row>
    <row r="7309" ht="15" customHeight="1" s="104">
      <c r="H7309" s="198" t="n">
        <v>0</v>
      </c>
    </row>
    <row r="7310" ht="15" customHeight="1" s="104">
      <c r="H7310" s="198" t="n">
        <v>0</v>
      </c>
    </row>
    <row r="7311" ht="15" customHeight="1" s="104">
      <c r="H7311" s="198" t="n">
        <v>0</v>
      </c>
    </row>
    <row r="7312" ht="15" customHeight="1" s="104">
      <c r="H7312" s="198" t="n">
        <v>0</v>
      </c>
    </row>
    <row r="7313" ht="15" customHeight="1" s="104">
      <c r="H7313" s="198" t="n">
        <v>0</v>
      </c>
    </row>
    <row r="7314" ht="15" customHeight="1" s="104">
      <c r="H7314" s="198" t="n">
        <v>0</v>
      </c>
    </row>
    <row r="7315" ht="15" customHeight="1" s="104">
      <c r="H7315" s="198" t="n">
        <v>0</v>
      </c>
    </row>
    <row r="7316" ht="15" customHeight="1" s="104">
      <c r="H7316" s="198" t="n">
        <v>0</v>
      </c>
    </row>
    <row r="7317" ht="15" customHeight="1" s="104">
      <c r="H7317" s="198" t="n">
        <v>0</v>
      </c>
    </row>
    <row r="7318" ht="15" customHeight="1" s="104">
      <c r="H7318" s="198" t="n">
        <v>0</v>
      </c>
    </row>
    <row r="7319" ht="15" customHeight="1" s="104">
      <c r="H7319" s="198" t="n">
        <v>0</v>
      </c>
    </row>
    <row r="7320" ht="15" customHeight="1" s="104">
      <c r="H7320" s="198" t="n">
        <v>0</v>
      </c>
    </row>
    <row r="7321" ht="15" customHeight="1" s="104">
      <c r="H7321" s="198" t="n">
        <v>0</v>
      </c>
    </row>
    <row r="7322" ht="15" customHeight="1" s="104">
      <c r="H7322" s="198" t="n">
        <v>0</v>
      </c>
    </row>
    <row r="7323" ht="15" customHeight="1" s="104">
      <c r="H7323" s="198" t="n">
        <v>0</v>
      </c>
    </row>
    <row r="7324" ht="15" customHeight="1" s="104">
      <c r="H7324" s="198" t="n">
        <v>0</v>
      </c>
    </row>
    <row r="7325" ht="15" customHeight="1" s="104">
      <c r="H7325" s="198" t="n">
        <v>0</v>
      </c>
    </row>
    <row r="7326" ht="15" customHeight="1" s="104">
      <c r="H7326" s="198" t="n">
        <v>0</v>
      </c>
    </row>
    <row r="7327" ht="15" customHeight="1" s="104">
      <c r="H7327" s="198" t="n">
        <v>0</v>
      </c>
    </row>
    <row r="7328" ht="15" customHeight="1" s="104">
      <c r="H7328" s="198" t="n">
        <v>0</v>
      </c>
    </row>
    <row r="7329" ht="15" customHeight="1" s="104">
      <c r="H7329" s="198" t="n">
        <v>0</v>
      </c>
    </row>
    <row r="7330" ht="15" customHeight="1" s="104">
      <c r="H7330" s="198" t="n">
        <v>0</v>
      </c>
    </row>
    <row r="7331" ht="15" customHeight="1" s="104">
      <c r="H7331" s="198" t="n">
        <v>0</v>
      </c>
    </row>
    <row r="7332" ht="15" customHeight="1" s="104">
      <c r="H7332" s="198" t="n">
        <v>0</v>
      </c>
    </row>
    <row r="7333" ht="15" customHeight="1" s="104">
      <c r="H7333" s="198" t="n">
        <v>0</v>
      </c>
    </row>
    <row r="7334" ht="15" customHeight="1" s="104">
      <c r="H7334" s="198" t="n">
        <v>0</v>
      </c>
    </row>
    <row r="7335" ht="15" customHeight="1" s="104">
      <c r="H7335" s="198" t="n">
        <v>0</v>
      </c>
    </row>
    <row r="7336" ht="15" customHeight="1" s="104">
      <c r="H7336" s="198" t="n">
        <v>0</v>
      </c>
    </row>
    <row r="7337" ht="15" customHeight="1" s="104">
      <c r="H7337" s="198" t="n">
        <v>0</v>
      </c>
    </row>
    <row r="7338" ht="15" customHeight="1" s="104">
      <c r="H7338" s="198" t="n">
        <v>0</v>
      </c>
    </row>
    <row r="7339" ht="15" customHeight="1" s="104">
      <c r="H7339" s="198" t="n">
        <v>0</v>
      </c>
    </row>
    <row r="7340" ht="15" customHeight="1" s="104">
      <c r="H7340" s="198" t="n">
        <v>0</v>
      </c>
    </row>
    <row r="7341" ht="15" customHeight="1" s="104">
      <c r="H7341" s="198" t="n">
        <v>0</v>
      </c>
    </row>
    <row r="7342" ht="15" customHeight="1" s="104">
      <c r="H7342" s="198" t="n">
        <v>0</v>
      </c>
    </row>
    <row r="7343" ht="15" customHeight="1" s="104">
      <c r="H7343" s="198" t="n">
        <v>0</v>
      </c>
    </row>
    <row r="7344" ht="15" customHeight="1" s="104">
      <c r="H7344" s="198" t="n">
        <v>0</v>
      </c>
    </row>
    <row r="7345" ht="15" customHeight="1" s="104">
      <c r="H7345" s="198" t="n">
        <v>0</v>
      </c>
    </row>
    <row r="7346" ht="15" customHeight="1" s="104">
      <c r="H7346" s="198" t="n">
        <v>0</v>
      </c>
    </row>
    <row r="7347" ht="15" customHeight="1" s="104">
      <c r="H7347" s="198" t="n">
        <v>0</v>
      </c>
    </row>
    <row r="7348" ht="15" customHeight="1" s="104">
      <c r="H7348" s="198" t="n">
        <v>0</v>
      </c>
    </row>
    <row r="7349" ht="15" customHeight="1" s="104">
      <c r="H7349" s="198" t="n">
        <v>0</v>
      </c>
    </row>
    <row r="7350" ht="15" customHeight="1" s="104">
      <c r="H7350" s="198" t="n">
        <v>0</v>
      </c>
    </row>
    <row r="7351" ht="15" customHeight="1" s="104">
      <c r="H7351" s="198" t="n">
        <v>0</v>
      </c>
    </row>
    <row r="7352" ht="15" customHeight="1" s="104">
      <c r="H7352" s="198" t="n">
        <v>0</v>
      </c>
    </row>
    <row r="7353" ht="15" customHeight="1" s="104">
      <c r="H7353" s="198" t="n">
        <v>0</v>
      </c>
    </row>
    <row r="7354" ht="15" customHeight="1" s="104">
      <c r="H7354" s="198" t="n">
        <v>0</v>
      </c>
    </row>
    <row r="7355" ht="15" customHeight="1" s="104">
      <c r="H7355" s="198" t="n">
        <v>0</v>
      </c>
    </row>
    <row r="7356" ht="15" customHeight="1" s="104">
      <c r="H7356" s="198" t="n">
        <v>0</v>
      </c>
    </row>
    <row r="7357" ht="15" customHeight="1" s="104">
      <c r="H7357" s="198" t="n">
        <v>0</v>
      </c>
    </row>
    <row r="7358" ht="15" customHeight="1" s="104">
      <c r="H7358" s="198" t="n">
        <v>0</v>
      </c>
    </row>
    <row r="7359" ht="15" customHeight="1" s="104">
      <c r="H7359" s="198" t="n">
        <v>0</v>
      </c>
    </row>
    <row r="7360" ht="15" customHeight="1" s="104">
      <c r="H7360" s="198" t="n">
        <v>0</v>
      </c>
    </row>
    <row r="7361" ht="15" customHeight="1" s="104">
      <c r="H7361" s="198" t="n">
        <v>0</v>
      </c>
    </row>
    <row r="7362" ht="15" customHeight="1" s="104">
      <c r="H7362" s="198" t="n">
        <v>0</v>
      </c>
    </row>
    <row r="7363" ht="15" customHeight="1" s="104">
      <c r="H7363" s="198" t="n">
        <v>0</v>
      </c>
    </row>
    <row r="7364" ht="15" customHeight="1" s="104">
      <c r="H7364" s="198" t="n">
        <v>0</v>
      </c>
    </row>
    <row r="7365" ht="15" customHeight="1" s="104">
      <c r="H7365" s="198" t="n">
        <v>0</v>
      </c>
    </row>
    <row r="7366" ht="15" customHeight="1" s="104">
      <c r="H7366" s="198" t="n">
        <v>0</v>
      </c>
    </row>
    <row r="7367" ht="15" customHeight="1" s="104">
      <c r="H7367" s="198" t="n">
        <v>0</v>
      </c>
    </row>
    <row r="7368" ht="15" customHeight="1" s="104">
      <c r="H7368" s="198" t="n">
        <v>0</v>
      </c>
    </row>
    <row r="7369" ht="15" customHeight="1" s="104">
      <c r="H7369" s="198" t="n">
        <v>0</v>
      </c>
    </row>
    <row r="7370" ht="15" customHeight="1" s="104">
      <c r="H7370" s="198" t="n">
        <v>0</v>
      </c>
    </row>
    <row r="7371" ht="15" customHeight="1" s="104">
      <c r="H7371" s="198" t="n">
        <v>0</v>
      </c>
    </row>
    <row r="7372" ht="15" customHeight="1" s="104">
      <c r="H7372" s="198" t="n">
        <v>0</v>
      </c>
    </row>
    <row r="7373" ht="15" customHeight="1" s="104">
      <c r="H7373" s="198" t="n">
        <v>0</v>
      </c>
    </row>
    <row r="7374" ht="15" customHeight="1" s="104">
      <c r="H7374" s="198" t="n">
        <v>0</v>
      </c>
    </row>
    <row r="7375" ht="15" customHeight="1" s="104">
      <c r="H7375" s="198" t="n">
        <v>0</v>
      </c>
    </row>
    <row r="7376" ht="15" customHeight="1" s="104">
      <c r="H7376" s="198" t="n">
        <v>0</v>
      </c>
    </row>
    <row r="7377" ht="15" customHeight="1" s="104">
      <c r="H7377" s="198" t="n">
        <v>0</v>
      </c>
    </row>
    <row r="7378" ht="15" customHeight="1" s="104">
      <c r="H7378" s="198" t="n">
        <v>0</v>
      </c>
    </row>
    <row r="7379" ht="15" customHeight="1" s="104">
      <c r="H7379" s="198" t="n">
        <v>0</v>
      </c>
    </row>
    <row r="7380" ht="15" customHeight="1" s="104">
      <c r="H7380" s="198" t="n">
        <v>0</v>
      </c>
    </row>
    <row r="7381" ht="15" customHeight="1" s="104">
      <c r="H7381" s="198" t="n">
        <v>0</v>
      </c>
    </row>
    <row r="7382" ht="15" customHeight="1" s="104">
      <c r="H7382" s="198" t="n">
        <v>0</v>
      </c>
    </row>
    <row r="7383" ht="15" customHeight="1" s="104">
      <c r="H7383" s="198" t="n">
        <v>0</v>
      </c>
    </row>
    <row r="7384" ht="15" customHeight="1" s="104">
      <c r="H7384" s="198" t="n">
        <v>0</v>
      </c>
    </row>
    <row r="7385" ht="15" customHeight="1" s="104">
      <c r="H7385" s="198" t="n">
        <v>0</v>
      </c>
    </row>
    <row r="7386" ht="15" customHeight="1" s="104">
      <c r="H7386" s="198" t="n">
        <v>0</v>
      </c>
    </row>
    <row r="7387" ht="15" customHeight="1" s="104">
      <c r="H7387" s="198" t="n">
        <v>0</v>
      </c>
    </row>
    <row r="7388" ht="15" customHeight="1" s="104">
      <c r="H7388" s="198" t="n">
        <v>0</v>
      </c>
    </row>
    <row r="7389" ht="15" customHeight="1" s="104">
      <c r="H7389" s="198" t="n">
        <v>0</v>
      </c>
    </row>
    <row r="7390" ht="15" customHeight="1" s="104">
      <c r="H7390" s="198" t="n">
        <v>0</v>
      </c>
    </row>
    <row r="7391" ht="15" customHeight="1" s="104">
      <c r="H7391" s="198" t="n">
        <v>0</v>
      </c>
    </row>
    <row r="7392" ht="15" customHeight="1" s="104">
      <c r="H7392" s="198" t="n">
        <v>0</v>
      </c>
    </row>
    <row r="7393" ht="15" customHeight="1" s="104">
      <c r="H7393" s="198" t="n">
        <v>0</v>
      </c>
    </row>
    <row r="7394" ht="15" customHeight="1" s="104">
      <c r="H7394" s="198" t="n">
        <v>0</v>
      </c>
    </row>
    <row r="7395" ht="15" customHeight="1" s="104">
      <c r="H7395" s="198" t="n">
        <v>0</v>
      </c>
    </row>
    <row r="7396" ht="15" customHeight="1" s="104">
      <c r="H7396" s="198" t="n">
        <v>0</v>
      </c>
    </row>
    <row r="7397" ht="15" customHeight="1" s="104">
      <c r="H7397" s="198" t="n">
        <v>0</v>
      </c>
    </row>
    <row r="7398" ht="15" customHeight="1" s="104">
      <c r="H7398" s="198" t="n">
        <v>0</v>
      </c>
    </row>
    <row r="7399" ht="15" customHeight="1" s="104">
      <c r="H7399" s="198" t="n">
        <v>0</v>
      </c>
    </row>
    <row r="7400" ht="15" customHeight="1" s="104">
      <c r="H7400" s="198" t="n">
        <v>0</v>
      </c>
    </row>
    <row r="7401" ht="15" customHeight="1" s="104">
      <c r="H7401" s="198" t="n">
        <v>0</v>
      </c>
    </row>
    <row r="7402" ht="15" customHeight="1" s="104">
      <c r="H7402" s="198" t="n">
        <v>0</v>
      </c>
    </row>
    <row r="7403" ht="15" customHeight="1" s="104">
      <c r="H7403" s="198" t="n">
        <v>0</v>
      </c>
    </row>
    <row r="7404" ht="15" customHeight="1" s="104">
      <c r="H7404" s="198" t="n">
        <v>0</v>
      </c>
    </row>
    <row r="7405" ht="15" customHeight="1" s="104">
      <c r="H7405" s="198" t="n">
        <v>0</v>
      </c>
    </row>
    <row r="7406" ht="15" customHeight="1" s="104">
      <c r="H7406" s="198" t="n">
        <v>0</v>
      </c>
    </row>
    <row r="7407" ht="15" customHeight="1" s="104">
      <c r="H7407" s="198" t="n">
        <v>0</v>
      </c>
    </row>
    <row r="7408" ht="15" customHeight="1" s="104">
      <c r="H7408" s="198" t="n">
        <v>0</v>
      </c>
    </row>
    <row r="7409" ht="15" customHeight="1" s="104">
      <c r="H7409" s="198" t="n">
        <v>0</v>
      </c>
    </row>
    <row r="7410" ht="15" customHeight="1" s="104">
      <c r="H7410" s="198" t="n">
        <v>0</v>
      </c>
    </row>
    <row r="7411" ht="15" customHeight="1" s="104">
      <c r="H7411" s="198" t="n">
        <v>0</v>
      </c>
    </row>
    <row r="7412" ht="15" customHeight="1" s="104">
      <c r="H7412" s="198" t="n">
        <v>0</v>
      </c>
    </row>
    <row r="7413" ht="15" customHeight="1" s="104">
      <c r="H7413" s="198" t="n">
        <v>0</v>
      </c>
    </row>
    <row r="7414" ht="15" customHeight="1" s="104">
      <c r="H7414" s="198" t="n">
        <v>0</v>
      </c>
    </row>
    <row r="7415" ht="15" customHeight="1" s="104">
      <c r="H7415" s="198" t="n">
        <v>0</v>
      </c>
    </row>
    <row r="7416" ht="15" customHeight="1" s="104">
      <c r="H7416" s="198" t="n">
        <v>0</v>
      </c>
    </row>
    <row r="7417" ht="15" customHeight="1" s="104">
      <c r="H7417" s="198" t="n">
        <v>0</v>
      </c>
    </row>
    <row r="7418" ht="15" customHeight="1" s="104">
      <c r="H7418" s="198" t="n">
        <v>0</v>
      </c>
    </row>
    <row r="7419" ht="15" customHeight="1" s="104">
      <c r="H7419" s="198" t="n">
        <v>0</v>
      </c>
    </row>
    <row r="7420" ht="15" customHeight="1" s="104">
      <c r="H7420" s="198" t="n">
        <v>0</v>
      </c>
    </row>
    <row r="7421" ht="15" customHeight="1" s="104">
      <c r="H7421" s="198" t="n">
        <v>0</v>
      </c>
    </row>
    <row r="7422" ht="15" customHeight="1" s="104">
      <c r="H7422" s="198" t="n">
        <v>0</v>
      </c>
    </row>
    <row r="7423" ht="15" customHeight="1" s="104">
      <c r="H7423" s="198" t="n">
        <v>0</v>
      </c>
    </row>
    <row r="7424" ht="15" customHeight="1" s="104">
      <c r="H7424" s="198" t="n">
        <v>0</v>
      </c>
    </row>
    <row r="7425" ht="15" customHeight="1" s="104">
      <c r="H7425" s="198" t="n">
        <v>0</v>
      </c>
    </row>
    <row r="7426" ht="15" customHeight="1" s="104">
      <c r="H7426" s="198" t="n">
        <v>0</v>
      </c>
    </row>
    <row r="7427" ht="15" customHeight="1" s="104">
      <c r="H7427" s="198" t="n">
        <v>0</v>
      </c>
    </row>
    <row r="7428" ht="15" customHeight="1" s="104">
      <c r="H7428" s="198" t="n">
        <v>0</v>
      </c>
    </row>
    <row r="7429" ht="15" customHeight="1" s="104">
      <c r="H7429" s="198" t="n">
        <v>0</v>
      </c>
    </row>
    <row r="7430" ht="15" customHeight="1" s="104">
      <c r="H7430" s="198" t="n">
        <v>0</v>
      </c>
    </row>
    <row r="7431" ht="15" customHeight="1" s="104">
      <c r="H7431" s="198" t="n">
        <v>0</v>
      </c>
    </row>
    <row r="7432" ht="15" customHeight="1" s="104">
      <c r="H7432" s="198" t="n">
        <v>0</v>
      </c>
    </row>
    <row r="7433" ht="15" customHeight="1" s="104">
      <c r="H7433" s="198" t="n">
        <v>0</v>
      </c>
    </row>
    <row r="7434" ht="15" customHeight="1" s="104">
      <c r="H7434" s="198" t="n">
        <v>0</v>
      </c>
    </row>
    <row r="7435" ht="15" customHeight="1" s="104">
      <c r="H7435" s="198" t="n">
        <v>0</v>
      </c>
    </row>
    <row r="7436" ht="15" customHeight="1" s="104">
      <c r="H7436" s="198" t="n">
        <v>0</v>
      </c>
    </row>
    <row r="7437" ht="15" customHeight="1" s="104">
      <c r="H7437" s="198" t="n">
        <v>0</v>
      </c>
    </row>
    <row r="7438" ht="15" customHeight="1" s="104">
      <c r="H7438" s="198" t="n">
        <v>0</v>
      </c>
    </row>
    <row r="7439" ht="15" customHeight="1" s="104">
      <c r="H7439" s="198" t="n">
        <v>0</v>
      </c>
    </row>
    <row r="7440" ht="15" customHeight="1" s="104">
      <c r="H7440" s="198" t="n">
        <v>0</v>
      </c>
    </row>
    <row r="7441" ht="15" customHeight="1" s="104">
      <c r="H7441" s="198" t="n">
        <v>0</v>
      </c>
    </row>
    <row r="7442" ht="15" customHeight="1" s="104">
      <c r="H7442" s="198" t="n">
        <v>0</v>
      </c>
    </row>
    <row r="7443" ht="15" customHeight="1" s="104">
      <c r="H7443" s="198" t="n">
        <v>0</v>
      </c>
    </row>
    <row r="7444" ht="15" customHeight="1" s="104">
      <c r="H7444" s="198" t="n">
        <v>0</v>
      </c>
    </row>
    <row r="7445" ht="15" customHeight="1" s="104">
      <c r="H7445" s="198" t="n">
        <v>0</v>
      </c>
    </row>
    <row r="7446" ht="15" customHeight="1" s="104">
      <c r="H7446" s="198" t="n">
        <v>0</v>
      </c>
    </row>
    <row r="7447" ht="15" customHeight="1" s="104">
      <c r="H7447" s="198" t="n">
        <v>0</v>
      </c>
    </row>
    <row r="7448" ht="15" customHeight="1" s="104">
      <c r="H7448" s="198" t="n">
        <v>0</v>
      </c>
    </row>
    <row r="7449" ht="15" customHeight="1" s="104">
      <c r="H7449" s="198" t="n">
        <v>0</v>
      </c>
    </row>
    <row r="7450" ht="15" customHeight="1" s="104">
      <c r="H7450" s="198" t="n">
        <v>0</v>
      </c>
    </row>
    <row r="7451" ht="15" customHeight="1" s="104">
      <c r="H7451" s="198" t="n">
        <v>0</v>
      </c>
    </row>
    <row r="7452" ht="15" customHeight="1" s="104">
      <c r="H7452" s="198" t="n">
        <v>0</v>
      </c>
    </row>
    <row r="7453" ht="15" customHeight="1" s="104">
      <c r="H7453" s="198" t="n">
        <v>0</v>
      </c>
    </row>
    <row r="7454" ht="15" customHeight="1" s="104">
      <c r="H7454" s="198" t="n">
        <v>0</v>
      </c>
    </row>
    <row r="7455" ht="15" customHeight="1" s="104">
      <c r="H7455" s="198" t="n">
        <v>0</v>
      </c>
    </row>
    <row r="7456" ht="15" customHeight="1" s="104">
      <c r="H7456" s="198" t="n">
        <v>0</v>
      </c>
    </row>
    <row r="7457" ht="15" customHeight="1" s="104">
      <c r="H7457" s="198" t="n">
        <v>0</v>
      </c>
    </row>
    <row r="7458" ht="15" customHeight="1" s="104">
      <c r="H7458" s="198" t="n">
        <v>0</v>
      </c>
    </row>
    <row r="7459" ht="15" customHeight="1" s="104">
      <c r="H7459" s="198" t="n">
        <v>0</v>
      </c>
    </row>
    <row r="7460" ht="15" customHeight="1" s="104">
      <c r="H7460" s="198" t="n">
        <v>0</v>
      </c>
    </row>
    <row r="7461" ht="15" customHeight="1" s="104">
      <c r="H7461" s="198" t="n">
        <v>0</v>
      </c>
    </row>
    <row r="7462" ht="15" customHeight="1" s="104">
      <c r="H7462" s="198" t="n">
        <v>0</v>
      </c>
    </row>
    <row r="7463" ht="15" customHeight="1" s="104">
      <c r="H7463" s="198" t="n">
        <v>0</v>
      </c>
    </row>
    <row r="7464" ht="15" customHeight="1" s="104">
      <c r="H7464" s="198" t="n">
        <v>0</v>
      </c>
    </row>
    <row r="7465" ht="15" customHeight="1" s="104">
      <c r="H7465" s="198" t="n">
        <v>0</v>
      </c>
    </row>
    <row r="7466" ht="15" customHeight="1" s="104">
      <c r="H7466" s="198" t="n">
        <v>0</v>
      </c>
    </row>
    <row r="7467" ht="15" customHeight="1" s="104">
      <c r="H7467" s="198" t="n">
        <v>0</v>
      </c>
    </row>
    <row r="7468" ht="15" customHeight="1" s="104">
      <c r="H7468" s="198" t="n">
        <v>0</v>
      </c>
    </row>
    <row r="7469" ht="15" customHeight="1" s="104">
      <c r="H7469" s="198" t="n">
        <v>0</v>
      </c>
    </row>
    <row r="7470" ht="15" customHeight="1" s="104">
      <c r="H7470" s="198" t="n">
        <v>0</v>
      </c>
    </row>
    <row r="7471" ht="15" customHeight="1" s="104">
      <c r="H7471" s="198" t="n">
        <v>0</v>
      </c>
    </row>
    <row r="7472" ht="15" customHeight="1" s="104">
      <c r="H7472" s="198" t="n">
        <v>0</v>
      </c>
    </row>
    <row r="7473" ht="15" customHeight="1" s="104">
      <c r="H7473" s="198" t="n">
        <v>0</v>
      </c>
    </row>
    <row r="7474" ht="15" customHeight="1" s="104">
      <c r="H7474" s="198" t="n">
        <v>0</v>
      </c>
    </row>
    <row r="7475" ht="15" customHeight="1" s="104">
      <c r="H7475" s="198" t="n">
        <v>0</v>
      </c>
    </row>
    <row r="7476" ht="15" customHeight="1" s="104">
      <c r="H7476" s="198" t="n">
        <v>0</v>
      </c>
    </row>
    <row r="7477" ht="15" customHeight="1" s="104">
      <c r="H7477" s="198" t="n">
        <v>0</v>
      </c>
    </row>
    <row r="7478" ht="15" customHeight="1" s="104">
      <c r="H7478" s="198" t="n">
        <v>0</v>
      </c>
    </row>
    <row r="7479" ht="15" customHeight="1" s="104">
      <c r="H7479" s="198" t="n">
        <v>0</v>
      </c>
    </row>
    <row r="7480" ht="15" customHeight="1" s="104">
      <c r="H7480" s="198" t="n">
        <v>0</v>
      </c>
    </row>
    <row r="7481" ht="15" customHeight="1" s="104">
      <c r="H7481" s="198" t="n">
        <v>0</v>
      </c>
    </row>
    <row r="7482" ht="15" customHeight="1" s="104">
      <c r="H7482" s="198" t="n">
        <v>0</v>
      </c>
    </row>
    <row r="7483" ht="15" customHeight="1" s="104">
      <c r="H7483" s="198" t="n">
        <v>0</v>
      </c>
    </row>
    <row r="7484" ht="15" customHeight="1" s="104">
      <c r="H7484" s="198" t="n">
        <v>0</v>
      </c>
    </row>
    <row r="7485" ht="15" customHeight="1" s="104">
      <c r="H7485" s="198" t="n">
        <v>0</v>
      </c>
    </row>
    <row r="7486" ht="15" customHeight="1" s="104">
      <c r="H7486" s="198" t="n">
        <v>0</v>
      </c>
    </row>
    <row r="7487" ht="15" customHeight="1" s="104">
      <c r="H7487" s="198" t="n">
        <v>0</v>
      </c>
    </row>
    <row r="7488" ht="15" customHeight="1" s="104">
      <c r="H7488" s="198" t="n">
        <v>0</v>
      </c>
    </row>
    <row r="7489" ht="15" customHeight="1" s="104">
      <c r="H7489" s="198" t="n">
        <v>0</v>
      </c>
    </row>
    <row r="7490" ht="15" customHeight="1" s="104">
      <c r="H7490" s="198" t="n">
        <v>0</v>
      </c>
    </row>
    <row r="7491" ht="15" customHeight="1" s="104">
      <c r="H7491" s="198" t="n">
        <v>0</v>
      </c>
    </row>
    <row r="7492" ht="15" customHeight="1" s="104">
      <c r="H7492" s="198" t="n">
        <v>0</v>
      </c>
    </row>
    <row r="7493" ht="15" customHeight="1" s="104">
      <c r="H7493" s="198" t="n">
        <v>0</v>
      </c>
    </row>
    <row r="7494" ht="15" customHeight="1" s="104">
      <c r="H7494" s="198" t="n">
        <v>0</v>
      </c>
    </row>
    <row r="7495" ht="15" customHeight="1" s="104">
      <c r="H7495" s="198" t="n">
        <v>0</v>
      </c>
    </row>
    <row r="7496" ht="15" customHeight="1" s="104">
      <c r="H7496" s="198" t="n">
        <v>0</v>
      </c>
    </row>
    <row r="7497" ht="15" customHeight="1" s="104">
      <c r="H7497" s="198" t="n">
        <v>0</v>
      </c>
    </row>
    <row r="7498" ht="15" customHeight="1" s="104">
      <c r="H7498" s="198" t="n">
        <v>0</v>
      </c>
    </row>
    <row r="7499" ht="15" customHeight="1" s="104">
      <c r="H7499" s="198" t="n">
        <v>0</v>
      </c>
    </row>
    <row r="7500" ht="15" customHeight="1" s="104">
      <c r="H7500" s="198" t="n">
        <v>0</v>
      </c>
    </row>
    <row r="7501" ht="15" customHeight="1" s="104">
      <c r="H7501" s="198" t="n">
        <v>0</v>
      </c>
    </row>
    <row r="7502" ht="15" customHeight="1" s="104">
      <c r="H7502" s="198" t="n">
        <v>0</v>
      </c>
    </row>
    <row r="7503" ht="15" customHeight="1" s="104">
      <c r="H7503" s="198" t="n">
        <v>0</v>
      </c>
    </row>
    <row r="7504" ht="15" customHeight="1" s="104">
      <c r="H7504" s="198" t="n">
        <v>0</v>
      </c>
    </row>
    <row r="7505" ht="15" customHeight="1" s="104">
      <c r="H7505" s="198" t="n">
        <v>0</v>
      </c>
    </row>
    <row r="7506" ht="15" customHeight="1" s="104">
      <c r="H7506" s="198" t="n">
        <v>0</v>
      </c>
    </row>
    <row r="7507" ht="15" customHeight="1" s="104">
      <c r="H7507" s="198" t="n">
        <v>0</v>
      </c>
    </row>
    <row r="7508" ht="15" customHeight="1" s="104">
      <c r="H7508" s="198" t="n">
        <v>0</v>
      </c>
    </row>
    <row r="7509" ht="15" customHeight="1" s="104">
      <c r="H7509" s="198" t="n">
        <v>0</v>
      </c>
    </row>
    <row r="7510" ht="15" customHeight="1" s="104">
      <c r="H7510" s="198" t="n">
        <v>0</v>
      </c>
    </row>
    <row r="7511" ht="15" customHeight="1" s="104">
      <c r="H7511" s="198" t="n">
        <v>0</v>
      </c>
    </row>
    <row r="7512" ht="15" customHeight="1" s="104">
      <c r="H7512" s="198" t="n">
        <v>0</v>
      </c>
    </row>
    <row r="7513" ht="15" customHeight="1" s="104">
      <c r="H7513" s="198" t="n">
        <v>0</v>
      </c>
    </row>
    <row r="7514" ht="15" customHeight="1" s="104">
      <c r="H7514" s="198" t="n">
        <v>0</v>
      </c>
    </row>
    <row r="7515" ht="15" customHeight="1" s="104">
      <c r="H7515" s="198" t="n">
        <v>0</v>
      </c>
    </row>
    <row r="7516" ht="15" customHeight="1" s="104">
      <c r="H7516" s="198" t="n">
        <v>0</v>
      </c>
    </row>
    <row r="7517" ht="15" customHeight="1" s="104">
      <c r="H7517" s="198" t="n">
        <v>0</v>
      </c>
    </row>
    <row r="7518" ht="15" customHeight="1" s="104">
      <c r="H7518" s="198" t="n">
        <v>0</v>
      </c>
    </row>
    <row r="7519" ht="15" customHeight="1" s="104">
      <c r="H7519" s="198" t="n">
        <v>0</v>
      </c>
    </row>
    <row r="7520" ht="15" customHeight="1" s="104">
      <c r="H7520" s="198" t="n">
        <v>0</v>
      </c>
    </row>
    <row r="7521" ht="15" customHeight="1" s="104">
      <c r="H7521" s="198" t="n">
        <v>0</v>
      </c>
    </row>
    <row r="7522" ht="15" customHeight="1" s="104">
      <c r="H7522" s="198" t="n">
        <v>0</v>
      </c>
    </row>
    <row r="7523" ht="15" customHeight="1" s="104">
      <c r="H7523" s="198" t="n">
        <v>0</v>
      </c>
    </row>
    <row r="7524" ht="15" customHeight="1" s="104">
      <c r="H7524" s="198" t="n">
        <v>0</v>
      </c>
    </row>
    <row r="7525" ht="15" customHeight="1" s="104">
      <c r="H7525" s="198" t="n">
        <v>0</v>
      </c>
    </row>
    <row r="7526" ht="15" customHeight="1" s="104">
      <c r="H7526" s="198" t="n">
        <v>0</v>
      </c>
    </row>
    <row r="7527" ht="15" customHeight="1" s="104">
      <c r="H7527" s="198" t="n">
        <v>0</v>
      </c>
    </row>
    <row r="7528" ht="15" customHeight="1" s="104">
      <c r="H7528" s="198" t="n">
        <v>0</v>
      </c>
    </row>
    <row r="7529" ht="15" customHeight="1" s="104">
      <c r="H7529" s="198" t="n">
        <v>0</v>
      </c>
    </row>
    <row r="7530" ht="15" customHeight="1" s="104">
      <c r="H7530" s="198" t="n">
        <v>0</v>
      </c>
    </row>
    <row r="7531" ht="15" customHeight="1" s="104">
      <c r="H7531" s="198" t="n">
        <v>0</v>
      </c>
    </row>
    <row r="7532" ht="15" customHeight="1" s="104">
      <c r="H7532" s="198" t="n">
        <v>0</v>
      </c>
    </row>
    <row r="7533" ht="15" customHeight="1" s="104">
      <c r="H7533" s="198" t="n">
        <v>0</v>
      </c>
    </row>
    <row r="7534" ht="15" customHeight="1" s="104">
      <c r="H7534" s="198" t="n">
        <v>0</v>
      </c>
    </row>
    <row r="7535" ht="15" customHeight="1" s="104">
      <c r="H7535" s="198" t="n">
        <v>0</v>
      </c>
    </row>
    <row r="7536" ht="15" customHeight="1" s="104">
      <c r="H7536" s="198" t="n">
        <v>0</v>
      </c>
    </row>
    <row r="7537" ht="15" customHeight="1" s="104">
      <c r="H7537" s="198" t="n">
        <v>0</v>
      </c>
    </row>
    <row r="7538" ht="15" customHeight="1" s="104">
      <c r="H7538" s="198" t="n">
        <v>0</v>
      </c>
    </row>
    <row r="7539" ht="15" customHeight="1" s="104">
      <c r="H7539" s="198" t="n">
        <v>0</v>
      </c>
    </row>
    <row r="7540" ht="15" customHeight="1" s="104">
      <c r="H7540" s="198" t="n">
        <v>0</v>
      </c>
    </row>
    <row r="7541" ht="15" customHeight="1" s="104">
      <c r="H7541" s="198" t="n">
        <v>0</v>
      </c>
    </row>
    <row r="7542" ht="15" customHeight="1" s="104">
      <c r="H7542" s="198" t="n">
        <v>0</v>
      </c>
    </row>
    <row r="7543" ht="15" customHeight="1" s="104">
      <c r="H7543" s="198" t="n">
        <v>0</v>
      </c>
    </row>
    <row r="7544" ht="15" customHeight="1" s="104">
      <c r="H7544" s="198" t="n">
        <v>0</v>
      </c>
    </row>
    <row r="7545" ht="15" customHeight="1" s="104">
      <c r="H7545" s="198" t="n">
        <v>0</v>
      </c>
    </row>
    <row r="7546" ht="15" customHeight="1" s="104">
      <c r="H7546" s="198" t="n">
        <v>0</v>
      </c>
    </row>
    <row r="7547" ht="15" customHeight="1" s="104">
      <c r="H7547" s="198" t="n">
        <v>0</v>
      </c>
    </row>
    <row r="7548" ht="15" customHeight="1" s="104">
      <c r="H7548" s="198" t="n">
        <v>0</v>
      </c>
    </row>
    <row r="7549" ht="15" customHeight="1" s="104">
      <c r="H7549" s="198" t="n">
        <v>0</v>
      </c>
    </row>
    <row r="7550" ht="15" customHeight="1" s="104">
      <c r="H7550" s="198" t="n">
        <v>0</v>
      </c>
    </row>
    <row r="7551" ht="15" customHeight="1" s="104">
      <c r="H7551" s="198" t="n">
        <v>0</v>
      </c>
    </row>
    <row r="7552" ht="15" customHeight="1" s="104">
      <c r="H7552" s="198" t="n">
        <v>0</v>
      </c>
    </row>
    <row r="7553" ht="15" customHeight="1" s="104">
      <c r="H7553" s="198" t="n">
        <v>0</v>
      </c>
    </row>
    <row r="7554" ht="15" customHeight="1" s="104">
      <c r="H7554" s="198" t="n">
        <v>0</v>
      </c>
    </row>
    <row r="7555" ht="15" customHeight="1" s="104">
      <c r="H7555" s="198" t="n">
        <v>0</v>
      </c>
    </row>
    <row r="7556" ht="15" customHeight="1" s="104">
      <c r="H7556" s="198" t="n">
        <v>0</v>
      </c>
    </row>
    <row r="7557" ht="15" customHeight="1" s="104">
      <c r="H7557" s="198" t="n">
        <v>0</v>
      </c>
    </row>
    <row r="7558" ht="15" customHeight="1" s="104">
      <c r="H7558" s="198" t="n">
        <v>0</v>
      </c>
    </row>
    <row r="7559" ht="15" customHeight="1" s="104">
      <c r="H7559" s="198" t="n">
        <v>0</v>
      </c>
    </row>
    <row r="7560" ht="15" customHeight="1" s="104">
      <c r="H7560" s="198" t="n">
        <v>0</v>
      </c>
    </row>
    <row r="7561" ht="15" customHeight="1" s="104">
      <c r="H7561" s="198" t="n">
        <v>0</v>
      </c>
    </row>
    <row r="7562" ht="15" customHeight="1" s="104">
      <c r="H7562" s="198" t="n">
        <v>0</v>
      </c>
    </row>
    <row r="7563" ht="15" customHeight="1" s="104">
      <c r="H7563" s="198" t="n">
        <v>0</v>
      </c>
    </row>
    <row r="7564" ht="15" customHeight="1" s="104">
      <c r="H7564" s="198" t="n">
        <v>0</v>
      </c>
    </row>
    <row r="7565" ht="15" customHeight="1" s="104">
      <c r="H7565" s="198" t="n">
        <v>0</v>
      </c>
    </row>
    <row r="7566" ht="15" customHeight="1" s="104">
      <c r="H7566" s="198" t="n">
        <v>0</v>
      </c>
    </row>
    <row r="7567" ht="15" customHeight="1" s="104">
      <c r="H7567" s="198" t="n">
        <v>0</v>
      </c>
    </row>
    <row r="7568" ht="15" customHeight="1" s="104">
      <c r="H7568" s="198" t="n">
        <v>0</v>
      </c>
    </row>
    <row r="7569" ht="15" customHeight="1" s="104">
      <c r="H7569" s="198" t="n">
        <v>0</v>
      </c>
    </row>
    <row r="7570" ht="15" customHeight="1" s="104">
      <c r="H7570" s="198" t="n">
        <v>0</v>
      </c>
    </row>
    <row r="7571" ht="15" customHeight="1" s="104">
      <c r="H7571" s="198" t="n">
        <v>0</v>
      </c>
    </row>
    <row r="7572" ht="15" customHeight="1" s="104">
      <c r="H7572" s="198" t="n">
        <v>0</v>
      </c>
    </row>
    <row r="7573" ht="15" customHeight="1" s="104">
      <c r="H7573" s="198" t="n">
        <v>0</v>
      </c>
    </row>
    <row r="7574" ht="15" customHeight="1" s="104">
      <c r="H7574" s="198" t="n">
        <v>0</v>
      </c>
    </row>
    <row r="7575" ht="15" customHeight="1" s="104">
      <c r="H7575" s="198" t="n">
        <v>0</v>
      </c>
    </row>
    <row r="7576" ht="15" customHeight="1" s="104">
      <c r="H7576" s="198" t="n">
        <v>0</v>
      </c>
    </row>
    <row r="7577" ht="15" customHeight="1" s="104">
      <c r="H7577" s="198" t="n">
        <v>0</v>
      </c>
    </row>
    <row r="7578" ht="15" customHeight="1" s="104">
      <c r="H7578" s="198" t="n">
        <v>0</v>
      </c>
    </row>
    <row r="7579" ht="15" customHeight="1" s="104">
      <c r="H7579" s="198" t="n">
        <v>0</v>
      </c>
    </row>
    <row r="7580" ht="15" customHeight="1" s="104">
      <c r="H7580" s="198" t="n">
        <v>0</v>
      </c>
    </row>
    <row r="7581" ht="15" customHeight="1" s="104">
      <c r="H7581" s="198" t="n">
        <v>0</v>
      </c>
    </row>
    <row r="7582" ht="15" customHeight="1" s="104">
      <c r="H7582" s="198" t="n">
        <v>0</v>
      </c>
    </row>
    <row r="7583" ht="15" customHeight="1" s="104">
      <c r="H7583" s="198" t="n">
        <v>0</v>
      </c>
    </row>
    <row r="7584" ht="15" customHeight="1" s="104">
      <c r="H7584" s="198" t="n">
        <v>0</v>
      </c>
    </row>
    <row r="7585" ht="15" customHeight="1" s="104">
      <c r="H7585" s="198" t="n">
        <v>0</v>
      </c>
    </row>
    <row r="7586" ht="15" customHeight="1" s="104">
      <c r="H7586" s="198" t="n">
        <v>0</v>
      </c>
    </row>
    <row r="7587" ht="15" customHeight="1" s="104">
      <c r="H7587" s="198" t="n">
        <v>0</v>
      </c>
    </row>
    <row r="7588" ht="15" customHeight="1" s="104">
      <c r="H7588" s="198" t="n">
        <v>0</v>
      </c>
    </row>
    <row r="7589" ht="15" customHeight="1" s="104">
      <c r="H7589" s="198" t="n">
        <v>0</v>
      </c>
    </row>
    <row r="7590" ht="15" customHeight="1" s="104">
      <c r="H7590" s="198" t="n">
        <v>0</v>
      </c>
    </row>
    <row r="7591" ht="15" customHeight="1" s="104">
      <c r="H7591" s="198" t="n">
        <v>0</v>
      </c>
    </row>
    <row r="7592" ht="15" customHeight="1" s="104">
      <c r="H7592" s="198" t="n">
        <v>0</v>
      </c>
    </row>
    <row r="7593" ht="15" customHeight="1" s="104">
      <c r="H7593" s="198" t="n">
        <v>0</v>
      </c>
    </row>
    <row r="7594" ht="15" customHeight="1" s="104">
      <c r="H7594" s="198" t="n">
        <v>0</v>
      </c>
    </row>
    <row r="7595" ht="15" customHeight="1" s="104">
      <c r="H7595" s="198" t="n">
        <v>0</v>
      </c>
    </row>
    <row r="7596" ht="15" customHeight="1" s="104">
      <c r="H7596" s="198" t="n">
        <v>0</v>
      </c>
    </row>
    <row r="7597" ht="15" customHeight="1" s="104">
      <c r="H7597" s="198" t="n">
        <v>0</v>
      </c>
    </row>
    <row r="7598" ht="15" customHeight="1" s="104">
      <c r="H7598" s="198" t="n">
        <v>0</v>
      </c>
    </row>
    <row r="7599" ht="15" customHeight="1" s="104">
      <c r="H7599" s="198" t="n">
        <v>0</v>
      </c>
    </row>
    <row r="7600" ht="15" customHeight="1" s="104">
      <c r="H7600" s="198" t="n">
        <v>0</v>
      </c>
    </row>
    <row r="7601" ht="15" customHeight="1" s="104">
      <c r="H7601" s="198" t="n">
        <v>0</v>
      </c>
    </row>
    <row r="7602" ht="15" customHeight="1" s="104">
      <c r="H7602" s="198" t="n">
        <v>0</v>
      </c>
    </row>
    <row r="7603" ht="15" customHeight="1" s="104">
      <c r="H7603" s="198" t="n">
        <v>0</v>
      </c>
    </row>
    <row r="7604" ht="15" customHeight="1" s="104">
      <c r="H7604" s="198" t="n">
        <v>0</v>
      </c>
    </row>
    <row r="7605" ht="15" customHeight="1" s="104">
      <c r="H7605" s="198" t="n">
        <v>0</v>
      </c>
    </row>
    <row r="7606" ht="15" customHeight="1" s="104">
      <c r="H7606" s="198" t="n">
        <v>0</v>
      </c>
    </row>
    <row r="7607" ht="15" customHeight="1" s="104">
      <c r="H7607" s="198" t="n">
        <v>0</v>
      </c>
    </row>
    <row r="7608" ht="15" customHeight="1" s="104">
      <c r="H7608" s="198" t="n">
        <v>0</v>
      </c>
    </row>
    <row r="7609" ht="15" customHeight="1" s="104">
      <c r="H7609" s="198" t="n">
        <v>0</v>
      </c>
    </row>
    <row r="7610" ht="15" customHeight="1" s="104">
      <c r="H7610" s="198" t="n">
        <v>0</v>
      </c>
    </row>
    <row r="7611" ht="15" customHeight="1" s="104">
      <c r="H7611" s="198" t="n">
        <v>0</v>
      </c>
    </row>
    <row r="7612" ht="15" customHeight="1" s="104">
      <c r="H7612" s="198" t="n">
        <v>0</v>
      </c>
    </row>
    <row r="7613" ht="15" customHeight="1" s="104">
      <c r="H7613" s="198" t="n">
        <v>0</v>
      </c>
    </row>
    <row r="7614" ht="15" customHeight="1" s="104">
      <c r="H7614" s="198" t="n">
        <v>0</v>
      </c>
    </row>
    <row r="7615" ht="15" customHeight="1" s="104">
      <c r="H7615" s="198" t="n">
        <v>0</v>
      </c>
    </row>
    <row r="7616" ht="15" customHeight="1" s="104">
      <c r="H7616" s="198" t="n">
        <v>0</v>
      </c>
    </row>
    <row r="7617" ht="15" customHeight="1" s="104">
      <c r="H7617" s="198" t="n">
        <v>0</v>
      </c>
    </row>
    <row r="7618" ht="15" customHeight="1" s="104">
      <c r="H7618" s="198" t="n">
        <v>0</v>
      </c>
    </row>
    <row r="7619" ht="15" customHeight="1" s="104">
      <c r="H7619" s="198" t="n">
        <v>0</v>
      </c>
    </row>
    <row r="7620" ht="15" customHeight="1" s="104">
      <c r="H7620" s="198" t="n">
        <v>0</v>
      </c>
    </row>
    <row r="7621" ht="15" customHeight="1" s="104">
      <c r="H7621" s="198" t="n">
        <v>0</v>
      </c>
    </row>
    <row r="7622" ht="15" customHeight="1" s="104">
      <c r="H7622" s="198" t="n">
        <v>0</v>
      </c>
    </row>
    <row r="7623" ht="15" customHeight="1" s="104">
      <c r="H7623" s="198" t="n">
        <v>0</v>
      </c>
    </row>
    <row r="7624" ht="15" customHeight="1" s="104">
      <c r="H7624" s="198" t="n">
        <v>0</v>
      </c>
    </row>
    <row r="7625" ht="15" customHeight="1" s="104">
      <c r="H7625" s="198" t="n">
        <v>0</v>
      </c>
    </row>
    <row r="7626" ht="15" customHeight="1" s="104">
      <c r="H7626" s="198" t="n">
        <v>0</v>
      </c>
    </row>
    <row r="7627" ht="15" customHeight="1" s="104">
      <c r="H7627" s="198" t="n">
        <v>0</v>
      </c>
    </row>
    <row r="7628" ht="15" customHeight="1" s="104">
      <c r="H7628" s="198" t="n">
        <v>0</v>
      </c>
    </row>
    <row r="7629" ht="15" customHeight="1" s="104">
      <c r="H7629" s="198" t="n">
        <v>0</v>
      </c>
    </row>
    <row r="7630" ht="15" customHeight="1" s="104">
      <c r="H7630" s="198" t="n">
        <v>0</v>
      </c>
    </row>
    <row r="7631" ht="15" customHeight="1" s="104">
      <c r="H7631" s="198" t="n">
        <v>0</v>
      </c>
    </row>
    <row r="7632" ht="15" customHeight="1" s="104">
      <c r="H7632" s="198" t="n">
        <v>0</v>
      </c>
    </row>
    <row r="7633" ht="15" customHeight="1" s="104">
      <c r="H7633" s="198" t="n">
        <v>0</v>
      </c>
    </row>
    <row r="7634" ht="15" customHeight="1" s="104">
      <c r="H7634" s="198" t="n">
        <v>0</v>
      </c>
    </row>
    <row r="7635" ht="15" customHeight="1" s="104">
      <c r="H7635" s="198" t="n">
        <v>0</v>
      </c>
    </row>
    <row r="7636" ht="15" customHeight="1" s="104">
      <c r="H7636" s="198" t="n">
        <v>0</v>
      </c>
    </row>
    <row r="7637" ht="15" customHeight="1" s="104">
      <c r="H7637" s="198" t="n">
        <v>0</v>
      </c>
    </row>
    <row r="7638" ht="15" customHeight="1" s="104">
      <c r="H7638" s="198" t="n">
        <v>0</v>
      </c>
    </row>
    <row r="7639" ht="15" customHeight="1" s="104">
      <c r="H7639" s="198" t="n">
        <v>0</v>
      </c>
    </row>
    <row r="7640" ht="15" customHeight="1" s="104">
      <c r="H7640" s="198" t="n">
        <v>0</v>
      </c>
    </row>
    <row r="7641" ht="15" customHeight="1" s="104">
      <c r="H7641" s="198" t="n">
        <v>0</v>
      </c>
    </row>
    <row r="7642" ht="15" customHeight="1" s="104">
      <c r="H7642" s="198" t="n">
        <v>0</v>
      </c>
    </row>
    <row r="7643" ht="15" customHeight="1" s="104">
      <c r="H7643" s="198" t="n">
        <v>0</v>
      </c>
    </row>
    <row r="7644" ht="15" customHeight="1" s="104">
      <c r="H7644" s="198" t="n">
        <v>0</v>
      </c>
    </row>
    <row r="7645" ht="15" customHeight="1" s="104">
      <c r="H7645" s="198" t="n">
        <v>0</v>
      </c>
    </row>
    <row r="7646" ht="15" customHeight="1" s="104">
      <c r="H7646" s="198" t="n">
        <v>0</v>
      </c>
    </row>
    <row r="7647" ht="15" customHeight="1" s="104">
      <c r="H7647" s="198" t="n">
        <v>0</v>
      </c>
    </row>
    <row r="7648" ht="15" customHeight="1" s="104">
      <c r="H7648" s="198" t="n">
        <v>0</v>
      </c>
    </row>
    <row r="7649" ht="15" customHeight="1" s="104">
      <c r="H7649" s="198" t="n">
        <v>0</v>
      </c>
    </row>
    <row r="7650" ht="15" customHeight="1" s="104">
      <c r="H7650" s="198" t="n">
        <v>0</v>
      </c>
    </row>
    <row r="7651" ht="15" customHeight="1" s="104">
      <c r="H7651" s="198" t="n">
        <v>0</v>
      </c>
    </row>
    <row r="7652" ht="15" customHeight="1" s="104">
      <c r="H7652" s="198" t="n">
        <v>0</v>
      </c>
    </row>
    <row r="7653" ht="15" customHeight="1" s="104">
      <c r="H7653" s="198" t="n">
        <v>0</v>
      </c>
    </row>
    <row r="7654" ht="15" customHeight="1" s="104">
      <c r="H7654" s="198" t="n">
        <v>0</v>
      </c>
    </row>
    <row r="7655" ht="15" customHeight="1" s="104">
      <c r="H7655" s="198" t="n">
        <v>0</v>
      </c>
    </row>
    <row r="7656" ht="15" customHeight="1" s="104">
      <c r="H7656" s="198" t="n">
        <v>0</v>
      </c>
    </row>
    <row r="7657" ht="15" customHeight="1" s="104">
      <c r="H7657" s="198" t="n">
        <v>0</v>
      </c>
    </row>
    <row r="7658" ht="15" customHeight="1" s="104">
      <c r="H7658" s="198" t="n">
        <v>0</v>
      </c>
    </row>
    <row r="7659" ht="15" customHeight="1" s="104">
      <c r="H7659" s="198" t="n">
        <v>0</v>
      </c>
    </row>
    <row r="7660" ht="15" customHeight="1" s="104">
      <c r="H7660" s="198" t="n">
        <v>0</v>
      </c>
    </row>
    <row r="7661" ht="15" customHeight="1" s="104">
      <c r="H7661" s="198" t="n">
        <v>0</v>
      </c>
    </row>
    <row r="7662" ht="15" customHeight="1" s="104">
      <c r="H7662" s="198" t="n">
        <v>0</v>
      </c>
    </row>
    <row r="7663" ht="15" customHeight="1" s="104">
      <c r="H7663" s="198" t="n">
        <v>0</v>
      </c>
    </row>
    <row r="7664" ht="15" customHeight="1" s="104">
      <c r="H7664" s="198" t="n">
        <v>0</v>
      </c>
    </row>
    <row r="7665" ht="15" customHeight="1" s="104">
      <c r="H7665" s="198" t="n">
        <v>0</v>
      </c>
    </row>
    <row r="7666" ht="15" customHeight="1" s="104">
      <c r="H7666" s="198" t="n">
        <v>0</v>
      </c>
    </row>
    <row r="7667" ht="15" customHeight="1" s="104">
      <c r="H7667" s="198" t="n">
        <v>0</v>
      </c>
    </row>
    <row r="7668" ht="15" customHeight="1" s="104">
      <c r="H7668" s="198" t="n">
        <v>0</v>
      </c>
    </row>
    <row r="7669" ht="15" customHeight="1" s="104">
      <c r="H7669" s="198" t="n">
        <v>0</v>
      </c>
    </row>
    <row r="7670" ht="15" customHeight="1" s="104">
      <c r="H7670" s="198" t="n">
        <v>0</v>
      </c>
    </row>
    <row r="7671" ht="15" customHeight="1" s="104">
      <c r="H7671" s="198" t="n">
        <v>0</v>
      </c>
    </row>
    <row r="7672" ht="15" customHeight="1" s="104">
      <c r="H7672" s="198" t="n">
        <v>0</v>
      </c>
    </row>
    <row r="7673" ht="15" customHeight="1" s="104">
      <c r="H7673" s="198" t="n">
        <v>0</v>
      </c>
    </row>
    <row r="7674" ht="15" customHeight="1" s="104">
      <c r="H7674" s="198" t="n">
        <v>0</v>
      </c>
    </row>
    <row r="7675" ht="15" customHeight="1" s="104">
      <c r="H7675" s="198" t="n">
        <v>0</v>
      </c>
    </row>
    <row r="7676" ht="15" customHeight="1" s="104">
      <c r="H7676" s="198" t="n">
        <v>0</v>
      </c>
    </row>
    <row r="7677" ht="15" customHeight="1" s="104">
      <c r="H7677" s="198" t="n">
        <v>0</v>
      </c>
    </row>
    <row r="7678" ht="15" customHeight="1" s="104">
      <c r="H7678" s="198" t="n">
        <v>0</v>
      </c>
    </row>
    <row r="7679" ht="15" customHeight="1" s="104">
      <c r="H7679" s="198" t="n">
        <v>0</v>
      </c>
    </row>
    <row r="7680" ht="15" customHeight="1" s="104">
      <c r="H7680" s="198" t="n">
        <v>0</v>
      </c>
    </row>
    <row r="7681" ht="15" customHeight="1" s="104">
      <c r="H7681" s="198" t="n">
        <v>0</v>
      </c>
    </row>
    <row r="7682" ht="15" customHeight="1" s="104">
      <c r="H7682" s="198" t="n">
        <v>0</v>
      </c>
    </row>
    <row r="7683" ht="15" customHeight="1" s="104">
      <c r="H7683" s="198" t="n">
        <v>0</v>
      </c>
    </row>
    <row r="7684" ht="15" customHeight="1" s="104">
      <c r="H7684" s="198" t="n">
        <v>0</v>
      </c>
    </row>
    <row r="7685" ht="15" customHeight="1" s="104">
      <c r="H7685" s="198" t="n">
        <v>0</v>
      </c>
    </row>
    <row r="7686" ht="15" customHeight="1" s="104">
      <c r="H7686" s="198" t="n">
        <v>0</v>
      </c>
    </row>
    <row r="7687" ht="15" customHeight="1" s="104">
      <c r="H7687" s="198" t="n">
        <v>0</v>
      </c>
    </row>
    <row r="7688" ht="15" customHeight="1" s="104">
      <c r="H7688" s="198" t="n">
        <v>0</v>
      </c>
    </row>
    <row r="7689" ht="15" customHeight="1" s="104">
      <c r="H7689" s="198" t="n">
        <v>0</v>
      </c>
    </row>
    <row r="7690" ht="15" customHeight="1" s="104">
      <c r="H7690" s="198" t="n">
        <v>0</v>
      </c>
    </row>
    <row r="7691" ht="15" customHeight="1" s="104">
      <c r="H7691" s="198" t="n">
        <v>0</v>
      </c>
    </row>
    <row r="7692" ht="15" customHeight="1" s="104">
      <c r="H7692" s="198" t="n">
        <v>0</v>
      </c>
    </row>
    <row r="7693" ht="15" customHeight="1" s="104">
      <c r="H7693" s="198" t="n">
        <v>0</v>
      </c>
    </row>
    <row r="7694" ht="15" customHeight="1" s="104">
      <c r="H7694" s="198" t="n">
        <v>0</v>
      </c>
    </row>
    <row r="7695" ht="15" customHeight="1" s="104">
      <c r="H7695" s="198" t="n">
        <v>0</v>
      </c>
    </row>
    <row r="7696" ht="15" customHeight="1" s="104">
      <c r="H7696" s="198" t="n">
        <v>0</v>
      </c>
    </row>
    <row r="7697" ht="15" customHeight="1" s="104">
      <c r="H7697" s="198" t="n">
        <v>0</v>
      </c>
    </row>
    <row r="7698" ht="15" customHeight="1" s="104">
      <c r="H7698" s="198" t="n">
        <v>0</v>
      </c>
    </row>
    <row r="7699" ht="15" customHeight="1" s="104">
      <c r="H7699" s="198" t="n">
        <v>0</v>
      </c>
    </row>
    <row r="7700" ht="15" customHeight="1" s="104">
      <c r="H7700" s="198" t="n">
        <v>0</v>
      </c>
    </row>
    <row r="7701" ht="15" customHeight="1" s="104">
      <c r="H7701" s="198" t="n">
        <v>0</v>
      </c>
    </row>
    <row r="7702" ht="15" customHeight="1" s="104">
      <c r="H7702" s="198" t="n">
        <v>0</v>
      </c>
    </row>
    <row r="7703" ht="15" customHeight="1" s="104">
      <c r="H7703" s="198" t="n">
        <v>0</v>
      </c>
    </row>
    <row r="7704" ht="15" customHeight="1" s="104">
      <c r="H7704" s="198" t="n">
        <v>0</v>
      </c>
    </row>
    <row r="7705" ht="15" customHeight="1" s="104">
      <c r="H7705" s="198" t="n">
        <v>0</v>
      </c>
    </row>
    <row r="7706" ht="15" customHeight="1" s="104">
      <c r="H7706" s="198" t="n">
        <v>0</v>
      </c>
    </row>
    <row r="7707" ht="15" customHeight="1" s="104">
      <c r="H7707" s="198" t="n">
        <v>0</v>
      </c>
    </row>
    <row r="7708" ht="15" customHeight="1" s="104">
      <c r="H7708" s="198" t="n">
        <v>0</v>
      </c>
    </row>
    <row r="7709" ht="15" customHeight="1" s="104">
      <c r="H7709" s="198" t="n">
        <v>0</v>
      </c>
    </row>
    <row r="7710" ht="15" customHeight="1" s="104">
      <c r="H7710" s="198" t="n">
        <v>0</v>
      </c>
    </row>
    <row r="7711" ht="15" customHeight="1" s="104">
      <c r="H7711" s="198" t="n">
        <v>0</v>
      </c>
    </row>
    <row r="7712" ht="15" customHeight="1" s="104">
      <c r="H7712" s="198" t="n">
        <v>0</v>
      </c>
    </row>
    <row r="7713" ht="15" customHeight="1" s="104">
      <c r="H7713" s="198" t="n">
        <v>0</v>
      </c>
    </row>
    <row r="7714" ht="15" customHeight="1" s="104">
      <c r="H7714" s="198" t="n">
        <v>0</v>
      </c>
    </row>
    <row r="7715" ht="15" customHeight="1" s="104">
      <c r="H7715" s="198" t="n">
        <v>0</v>
      </c>
    </row>
    <row r="7716" ht="15" customHeight="1" s="104">
      <c r="H7716" s="198" t="n">
        <v>0</v>
      </c>
    </row>
    <row r="7717" ht="15" customHeight="1" s="104">
      <c r="H7717" s="198" t="n">
        <v>0</v>
      </c>
    </row>
    <row r="7718" ht="15" customHeight="1" s="104">
      <c r="H7718" s="198" t="n">
        <v>0</v>
      </c>
    </row>
    <row r="7719" ht="15" customHeight="1" s="104">
      <c r="H7719" s="198" t="n">
        <v>0</v>
      </c>
    </row>
    <row r="7720" ht="15" customHeight="1" s="104">
      <c r="H7720" s="198" t="n">
        <v>0</v>
      </c>
    </row>
    <row r="7721" ht="15" customHeight="1" s="104">
      <c r="H7721" s="198" t="n">
        <v>0</v>
      </c>
    </row>
    <row r="7722" ht="15" customHeight="1" s="104">
      <c r="H7722" s="198" t="n">
        <v>0</v>
      </c>
    </row>
    <row r="7723" ht="15" customHeight="1" s="104">
      <c r="H7723" s="198" t="n">
        <v>0</v>
      </c>
    </row>
    <row r="7724" ht="15" customHeight="1" s="104">
      <c r="H7724" s="198" t="n">
        <v>0</v>
      </c>
    </row>
    <row r="7725" ht="15" customHeight="1" s="104">
      <c r="H7725" s="198" t="n">
        <v>0</v>
      </c>
    </row>
    <row r="7726" ht="15" customHeight="1" s="104">
      <c r="H7726" s="198" t="n">
        <v>0</v>
      </c>
    </row>
    <row r="7727" ht="15" customHeight="1" s="104">
      <c r="H7727" s="198" t="n">
        <v>0</v>
      </c>
    </row>
    <row r="7728" ht="15" customHeight="1" s="104">
      <c r="H7728" s="198" t="n">
        <v>0</v>
      </c>
    </row>
    <row r="7729" ht="15" customHeight="1" s="104">
      <c r="H7729" s="198" t="n">
        <v>0</v>
      </c>
    </row>
    <row r="7730" ht="15" customHeight="1" s="104">
      <c r="H7730" s="198" t="n">
        <v>0</v>
      </c>
    </row>
    <row r="7731" ht="15" customHeight="1" s="104">
      <c r="H7731" s="198" t="n">
        <v>0</v>
      </c>
    </row>
    <row r="7732" ht="15" customHeight="1" s="104">
      <c r="H7732" s="198" t="n">
        <v>0</v>
      </c>
    </row>
    <row r="7733" ht="15" customHeight="1" s="104">
      <c r="H7733" s="198" t="n">
        <v>0</v>
      </c>
    </row>
    <row r="7734" ht="15" customHeight="1" s="104">
      <c r="H7734" s="198" t="n">
        <v>0</v>
      </c>
    </row>
    <row r="7735" ht="15" customHeight="1" s="104">
      <c r="H7735" s="198" t="n">
        <v>0</v>
      </c>
    </row>
    <row r="7736" ht="15" customHeight="1" s="104">
      <c r="H7736" s="198" t="n">
        <v>0</v>
      </c>
    </row>
    <row r="7737" ht="15" customHeight="1" s="104">
      <c r="H7737" s="198" t="n">
        <v>0</v>
      </c>
    </row>
    <row r="7738" ht="15" customHeight="1" s="104">
      <c r="H7738" s="198" t="n">
        <v>0</v>
      </c>
    </row>
    <row r="7739" ht="15" customHeight="1" s="104">
      <c r="H7739" s="198" t="n">
        <v>0</v>
      </c>
    </row>
    <row r="7740" ht="15" customHeight="1" s="104">
      <c r="H7740" s="198" t="n">
        <v>0</v>
      </c>
    </row>
    <row r="7741" ht="15" customHeight="1" s="104">
      <c r="H7741" s="198" t="n">
        <v>0</v>
      </c>
    </row>
    <row r="7742" ht="15" customHeight="1" s="104">
      <c r="H7742" s="198" t="n">
        <v>0</v>
      </c>
    </row>
    <row r="7743" ht="15" customHeight="1" s="104">
      <c r="H7743" s="198" t="n">
        <v>0</v>
      </c>
    </row>
    <row r="7744" ht="15" customHeight="1" s="104">
      <c r="H7744" s="198" t="n">
        <v>0</v>
      </c>
    </row>
    <row r="7745" ht="15" customHeight="1" s="104">
      <c r="H7745" s="198" t="n">
        <v>0</v>
      </c>
    </row>
    <row r="7746" ht="15" customHeight="1" s="104">
      <c r="H7746" s="198" t="n">
        <v>0</v>
      </c>
    </row>
    <row r="7747" ht="15" customHeight="1" s="104">
      <c r="H7747" s="198" t="n">
        <v>0</v>
      </c>
    </row>
    <row r="7748" ht="15" customHeight="1" s="104">
      <c r="H7748" s="198" t="n">
        <v>0</v>
      </c>
    </row>
    <row r="7749" ht="15" customHeight="1" s="104">
      <c r="H7749" s="198" t="n">
        <v>0</v>
      </c>
    </row>
    <row r="7750" ht="15" customHeight="1" s="104">
      <c r="H7750" s="198" t="n">
        <v>0</v>
      </c>
    </row>
    <row r="7751" ht="15" customHeight="1" s="104">
      <c r="H7751" s="198" t="n">
        <v>0</v>
      </c>
    </row>
    <row r="7752" ht="15" customHeight="1" s="104">
      <c r="H7752" s="198" t="n">
        <v>0</v>
      </c>
    </row>
    <row r="7753" ht="15" customHeight="1" s="104">
      <c r="H7753" s="198" t="n">
        <v>0</v>
      </c>
    </row>
    <row r="7754" ht="15" customHeight="1" s="104">
      <c r="H7754" s="198" t="n">
        <v>0</v>
      </c>
    </row>
    <row r="7755" ht="15" customHeight="1" s="104">
      <c r="H7755" s="198" t="n">
        <v>0</v>
      </c>
    </row>
    <row r="7756" ht="15" customHeight="1" s="104">
      <c r="H7756" s="198" t="n">
        <v>0</v>
      </c>
    </row>
    <row r="7757" ht="15" customHeight="1" s="104">
      <c r="H7757" s="198" t="n">
        <v>0</v>
      </c>
    </row>
    <row r="7758" ht="15" customHeight="1" s="104">
      <c r="H7758" s="198" t="n">
        <v>0</v>
      </c>
    </row>
    <row r="7759" ht="15" customHeight="1" s="104">
      <c r="H7759" s="198" t="n">
        <v>0</v>
      </c>
    </row>
    <row r="7760" ht="15" customHeight="1" s="104">
      <c r="H7760" s="198" t="n">
        <v>0</v>
      </c>
    </row>
    <row r="7761" ht="15" customHeight="1" s="104">
      <c r="H7761" s="198" t="n">
        <v>0</v>
      </c>
    </row>
    <row r="7762" ht="15" customHeight="1" s="104">
      <c r="H7762" s="198" t="n">
        <v>0</v>
      </c>
    </row>
    <row r="7763" ht="15" customHeight="1" s="104">
      <c r="H7763" s="198" t="n">
        <v>0</v>
      </c>
    </row>
    <row r="7764" ht="15" customHeight="1" s="104">
      <c r="H7764" s="198" t="n">
        <v>0</v>
      </c>
    </row>
    <row r="7765" ht="15" customHeight="1" s="104">
      <c r="H7765" s="198" t="n">
        <v>0</v>
      </c>
    </row>
    <row r="7766" ht="15" customHeight="1" s="104">
      <c r="H7766" s="198" t="n">
        <v>0</v>
      </c>
    </row>
    <row r="7767" ht="15" customHeight="1" s="104">
      <c r="H7767" s="198" t="n">
        <v>0</v>
      </c>
    </row>
    <row r="7768" ht="15" customHeight="1" s="104">
      <c r="H7768" s="198" t="n">
        <v>0</v>
      </c>
    </row>
    <row r="7769" ht="15" customHeight="1" s="104">
      <c r="H7769" s="198" t="n">
        <v>0</v>
      </c>
    </row>
    <row r="7770" ht="15" customHeight="1" s="104">
      <c r="H7770" s="198" t="n">
        <v>0</v>
      </c>
    </row>
    <row r="7771" ht="15" customHeight="1" s="104">
      <c r="H7771" s="198" t="n">
        <v>0</v>
      </c>
    </row>
    <row r="7772" ht="15" customHeight="1" s="104">
      <c r="H7772" s="198" t="n">
        <v>0</v>
      </c>
    </row>
    <row r="7773" ht="15" customHeight="1" s="104">
      <c r="H7773" s="198" t="n">
        <v>0</v>
      </c>
    </row>
    <row r="7774" ht="15" customHeight="1" s="104">
      <c r="H7774" s="198" t="n">
        <v>0</v>
      </c>
    </row>
    <row r="7775" ht="15" customHeight="1" s="104">
      <c r="H7775" s="198" t="n">
        <v>0</v>
      </c>
    </row>
    <row r="7776" ht="15" customHeight="1" s="104">
      <c r="H7776" s="198" t="n">
        <v>0</v>
      </c>
    </row>
    <row r="7777" ht="15" customHeight="1" s="104">
      <c r="H7777" s="198" t="n">
        <v>0</v>
      </c>
    </row>
    <row r="7778" ht="15" customHeight="1" s="104">
      <c r="H7778" s="198" t="n">
        <v>0</v>
      </c>
    </row>
    <row r="7779" ht="15" customHeight="1" s="104">
      <c r="H7779" s="198" t="n">
        <v>0</v>
      </c>
    </row>
    <row r="7780" ht="15" customHeight="1" s="104">
      <c r="H7780" s="198" t="n">
        <v>0</v>
      </c>
    </row>
    <row r="7781" ht="15" customHeight="1" s="104">
      <c r="H7781" s="198" t="n">
        <v>0</v>
      </c>
    </row>
    <row r="7782" ht="15" customHeight="1" s="104">
      <c r="H7782" s="198" t="n">
        <v>0</v>
      </c>
    </row>
    <row r="7783" ht="15" customHeight="1" s="104">
      <c r="H7783" s="198" t="n">
        <v>0</v>
      </c>
    </row>
    <row r="7784" ht="15" customHeight="1" s="104">
      <c r="H7784" s="198" t="n">
        <v>0</v>
      </c>
    </row>
    <row r="7785" ht="15" customHeight="1" s="104">
      <c r="H7785" s="198" t="n">
        <v>0</v>
      </c>
    </row>
    <row r="7786" ht="15" customHeight="1" s="104">
      <c r="H7786" s="198" t="n">
        <v>0</v>
      </c>
    </row>
    <row r="7787" ht="15" customHeight="1" s="104">
      <c r="H7787" s="198" t="n">
        <v>0</v>
      </c>
    </row>
    <row r="7788" ht="15" customHeight="1" s="104">
      <c r="H7788" s="198" t="n">
        <v>0</v>
      </c>
    </row>
    <row r="7789" ht="15" customHeight="1" s="104">
      <c r="H7789" s="198" t="n">
        <v>0</v>
      </c>
    </row>
    <row r="7790" ht="15" customHeight="1" s="104">
      <c r="H7790" s="198" t="n">
        <v>0</v>
      </c>
    </row>
    <row r="7791" ht="15" customHeight="1" s="104">
      <c r="H7791" s="198" t="n">
        <v>0</v>
      </c>
    </row>
    <row r="7792" ht="15" customHeight="1" s="104">
      <c r="H7792" s="198" t="n">
        <v>0</v>
      </c>
    </row>
    <row r="7793" ht="15" customHeight="1" s="104">
      <c r="H7793" s="198" t="n">
        <v>0</v>
      </c>
    </row>
    <row r="7794" ht="15" customHeight="1" s="104">
      <c r="H7794" s="198" t="n">
        <v>0</v>
      </c>
    </row>
    <row r="7795" ht="15" customHeight="1" s="104">
      <c r="H7795" s="198" t="n">
        <v>0</v>
      </c>
    </row>
    <row r="7796" ht="15" customHeight="1" s="104">
      <c r="H7796" s="198" t="n">
        <v>0</v>
      </c>
    </row>
    <row r="7797" ht="15" customHeight="1" s="104">
      <c r="H7797" s="198" t="n">
        <v>0</v>
      </c>
    </row>
    <row r="7798" ht="15" customHeight="1" s="104">
      <c r="H7798" s="198" t="n">
        <v>0</v>
      </c>
    </row>
    <row r="7799" ht="15" customHeight="1" s="104">
      <c r="H7799" s="198" t="n">
        <v>0</v>
      </c>
    </row>
    <row r="7800" ht="15" customHeight="1" s="104">
      <c r="H7800" s="198" t="n">
        <v>0</v>
      </c>
    </row>
    <row r="7801" ht="15" customHeight="1" s="104">
      <c r="H7801" s="198" t="n">
        <v>0</v>
      </c>
    </row>
    <row r="7802" ht="15" customHeight="1" s="104">
      <c r="H7802" s="198" t="n">
        <v>0</v>
      </c>
    </row>
    <row r="7803" ht="15" customHeight="1" s="104">
      <c r="H7803" s="198" t="n">
        <v>0</v>
      </c>
    </row>
    <row r="7804" ht="15" customHeight="1" s="104">
      <c r="H7804" s="198" t="n">
        <v>0</v>
      </c>
    </row>
    <row r="7805" ht="15" customHeight="1" s="104">
      <c r="H7805" s="198" t="n">
        <v>0</v>
      </c>
    </row>
    <row r="7806" ht="15" customHeight="1" s="104">
      <c r="H7806" s="198" t="n">
        <v>0</v>
      </c>
    </row>
    <row r="7807" ht="15" customHeight="1" s="104">
      <c r="H7807" s="198" t="n">
        <v>0</v>
      </c>
    </row>
    <row r="7808" ht="15" customHeight="1" s="104">
      <c r="H7808" s="198" t="n">
        <v>0</v>
      </c>
    </row>
    <row r="7809" ht="15" customHeight="1" s="104">
      <c r="H7809" s="198" t="n">
        <v>0</v>
      </c>
    </row>
    <row r="7810" ht="15" customHeight="1" s="104">
      <c r="H7810" s="198" t="n">
        <v>0</v>
      </c>
    </row>
    <row r="7811" ht="15" customHeight="1" s="104">
      <c r="H7811" s="198" t="n">
        <v>0</v>
      </c>
    </row>
    <row r="7812" ht="15" customHeight="1" s="104">
      <c r="H7812" s="198" t="n">
        <v>0</v>
      </c>
    </row>
    <row r="7813" ht="15" customHeight="1" s="104">
      <c r="H7813" s="198" t="n">
        <v>0</v>
      </c>
    </row>
    <row r="7814" ht="15" customHeight="1" s="104">
      <c r="H7814" s="198" t="n">
        <v>0</v>
      </c>
    </row>
    <row r="7815" ht="15" customHeight="1" s="104">
      <c r="H7815" s="198" t="n">
        <v>0</v>
      </c>
    </row>
    <row r="7816" ht="15" customHeight="1" s="104">
      <c r="H7816" s="198" t="n">
        <v>0</v>
      </c>
    </row>
    <row r="7817" ht="15" customHeight="1" s="104">
      <c r="H7817" s="198" t="n">
        <v>0</v>
      </c>
    </row>
    <row r="7818" ht="15" customHeight="1" s="104">
      <c r="H7818" s="198" t="n">
        <v>0</v>
      </c>
    </row>
    <row r="7819" ht="15" customHeight="1" s="104">
      <c r="H7819" s="198" t="n">
        <v>0</v>
      </c>
    </row>
    <row r="7820" ht="15" customHeight="1" s="104">
      <c r="H7820" s="198" t="n">
        <v>0</v>
      </c>
    </row>
    <row r="7821" ht="15" customHeight="1" s="104">
      <c r="H7821" s="198" t="n">
        <v>0</v>
      </c>
    </row>
    <row r="7822" ht="15" customHeight="1" s="104">
      <c r="H7822" s="198" t="n">
        <v>0</v>
      </c>
    </row>
    <row r="7823" ht="15" customHeight="1" s="104">
      <c r="H7823" s="198" t="n">
        <v>0</v>
      </c>
    </row>
    <row r="7824" ht="15" customHeight="1" s="104">
      <c r="H7824" s="198" t="n">
        <v>0</v>
      </c>
    </row>
    <row r="7825" ht="15" customHeight="1" s="104">
      <c r="H7825" s="198" t="n">
        <v>0</v>
      </c>
    </row>
    <row r="7826" ht="15" customHeight="1" s="104">
      <c r="H7826" s="198" t="n">
        <v>0</v>
      </c>
    </row>
    <row r="7827" ht="15" customHeight="1" s="104">
      <c r="H7827" s="198" t="n">
        <v>0</v>
      </c>
    </row>
    <row r="7828" ht="15" customHeight="1" s="104">
      <c r="H7828" s="198" t="n">
        <v>0</v>
      </c>
    </row>
    <row r="7829" ht="15" customHeight="1" s="104">
      <c r="H7829" s="198" t="n">
        <v>0</v>
      </c>
    </row>
    <row r="7830" ht="15" customHeight="1" s="104">
      <c r="H7830" s="198" t="n">
        <v>0</v>
      </c>
    </row>
    <row r="7831" ht="15" customHeight="1" s="104">
      <c r="H7831" s="198" t="n">
        <v>0</v>
      </c>
    </row>
    <row r="7832" ht="15" customHeight="1" s="104">
      <c r="H7832" s="198" t="n">
        <v>0</v>
      </c>
    </row>
    <row r="7833" ht="15" customHeight="1" s="104">
      <c r="H7833" s="198" t="n">
        <v>0</v>
      </c>
    </row>
    <row r="7834" ht="15" customHeight="1" s="104">
      <c r="H7834" s="198" t="n">
        <v>0</v>
      </c>
    </row>
    <row r="7835" ht="15" customHeight="1" s="104">
      <c r="H7835" s="198" t="n">
        <v>0</v>
      </c>
    </row>
    <row r="7836" ht="15" customHeight="1" s="104">
      <c r="H7836" s="198" t="n">
        <v>0</v>
      </c>
    </row>
    <row r="7837" ht="15" customHeight="1" s="104">
      <c r="H7837" s="198" t="n">
        <v>0</v>
      </c>
    </row>
    <row r="7838" ht="15" customHeight="1" s="104">
      <c r="H7838" s="198" t="n">
        <v>0</v>
      </c>
    </row>
    <row r="7839" ht="15" customHeight="1" s="104">
      <c r="H7839" s="198" t="n">
        <v>0</v>
      </c>
    </row>
    <row r="7840" ht="15" customHeight="1" s="104">
      <c r="H7840" s="198" t="n">
        <v>0</v>
      </c>
    </row>
    <row r="7841" ht="15" customHeight="1" s="104">
      <c r="H7841" s="198" t="n">
        <v>0</v>
      </c>
    </row>
    <row r="7842" ht="15" customHeight="1" s="104">
      <c r="H7842" s="198" t="n">
        <v>0</v>
      </c>
    </row>
    <row r="7843" ht="15" customHeight="1" s="104">
      <c r="H7843" s="198" t="n">
        <v>0</v>
      </c>
    </row>
    <row r="7844" ht="15" customHeight="1" s="104">
      <c r="H7844" s="198" t="n">
        <v>0</v>
      </c>
    </row>
    <row r="7845" ht="15" customHeight="1" s="104">
      <c r="H7845" s="198" t="n">
        <v>0</v>
      </c>
    </row>
    <row r="7846" ht="15" customHeight="1" s="104">
      <c r="H7846" s="198" t="n">
        <v>0</v>
      </c>
    </row>
    <row r="7847" ht="15" customHeight="1" s="104">
      <c r="H7847" s="198" t="n">
        <v>0</v>
      </c>
    </row>
    <row r="7848" ht="15" customHeight="1" s="104">
      <c r="H7848" s="198" t="n">
        <v>0</v>
      </c>
    </row>
    <row r="7849" ht="15" customHeight="1" s="104">
      <c r="H7849" s="198" t="n">
        <v>0</v>
      </c>
    </row>
    <row r="7850" ht="15" customHeight="1" s="104">
      <c r="H7850" s="198" t="n">
        <v>0</v>
      </c>
    </row>
    <row r="7851" ht="15" customHeight="1" s="104">
      <c r="H7851" s="198" t="n">
        <v>0</v>
      </c>
    </row>
    <row r="7852" ht="15" customHeight="1" s="104">
      <c r="H7852" s="198" t="n">
        <v>0</v>
      </c>
    </row>
    <row r="7853" ht="15" customHeight="1" s="104">
      <c r="H7853" s="198" t="n">
        <v>0</v>
      </c>
    </row>
    <row r="7854" ht="15" customHeight="1" s="104">
      <c r="H7854" s="198" t="n">
        <v>0</v>
      </c>
    </row>
    <row r="7855" ht="15" customHeight="1" s="104">
      <c r="H7855" s="198" t="n">
        <v>0</v>
      </c>
    </row>
    <row r="7856" ht="15" customHeight="1" s="104">
      <c r="H7856" s="198" t="n">
        <v>0</v>
      </c>
    </row>
    <row r="7857" ht="15" customHeight="1" s="104">
      <c r="H7857" s="198" t="n">
        <v>0</v>
      </c>
    </row>
    <row r="7858" ht="15" customHeight="1" s="104">
      <c r="H7858" s="198" t="n">
        <v>0</v>
      </c>
    </row>
    <row r="7859" ht="15" customHeight="1" s="104">
      <c r="H7859" s="198" t="n">
        <v>0</v>
      </c>
    </row>
    <row r="7860" ht="15" customHeight="1" s="104">
      <c r="H7860" s="198" t="n">
        <v>0</v>
      </c>
    </row>
    <row r="7861" ht="15" customHeight="1" s="104">
      <c r="H7861" s="198" t="n">
        <v>0</v>
      </c>
    </row>
    <row r="7862" ht="15" customHeight="1" s="104">
      <c r="H7862" s="198" t="n">
        <v>0</v>
      </c>
    </row>
    <row r="7863" ht="15" customHeight="1" s="104">
      <c r="H7863" s="198" t="n">
        <v>0</v>
      </c>
    </row>
    <row r="7864" ht="15" customHeight="1" s="104">
      <c r="H7864" s="198" t="n">
        <v>0</v>
      </c>
    </row>
    <row r="7865" ht="15" customHeight="1" s="104">
      <c r="H7865" s="198" t="n">
        <v>0</v>
      </c>
    </row>
    <row r="7866" ht="15" customHeight="1" s="104">
      <c r="H7866" s="198" t="n">
        <v>0</v>
      </c>
    </row>
    <row r="7867" ht="15" customHeight="1" s="104">
      <c r="H7867" s="198" t="n">
        <v>0</v>
      </c>
    </row>
    <row r="7868" ht="15" customHeight="1" s="104">
      <c r="H7868" s="198" t="n">
        <v>0</v>
      </c>
    </row>
    <row r="7869" ht="15" customHeight="1" s="104">
      <c r="H7869" s="198" t="n">
        <v>0</v>
      </c>
    </row>
    <row r="7870" ht="15" customHeight="1" s="104">
      <c r="H7870" s="198" t="n">
        <v>0</v>
      </c>
    </row>
    <row r="7871" ht="15" customHeight="1" s="104">
      <c r="H7871" s="198" t="n">
        <v>0</v>
      </c>
    </row>
    <row r="7872" ht="15" customHeight="1" s="104">
      <c r="H7872" s="198" t="n">
        <v>0</v>
      </c>
    </row>
    <row r="7873" ht="15" customHeight="1" s="104">
      <c r="H7873" s="198" t="n">
        <v>0</v>
      </c>
    </row>
    <row r="7874" ht="15" customHeight="1" s="104">
      <c r="H7874" s="198" t="n">
        <v>0</v>
      </c>
    </row>
    <row r="7875" ht="15" customHeight="1" s="104">
      <c r="H7875" s="198" t="n">
        <v>0</v>
      </c>
    </row>
    <row r="7876" ht="15" customHeight="1" s="104">
      <c r="H7876" s="198" t="n">
        <v>0</v>
      </c>
    </row>
    <row r="7877" ht="15" customHeight="1" s="104">
      <c r="H7877" s="198" t="n">
        <v>0</v>
      </c>
    </row>
    <row r="7878" ht="15" customHeight="1" s="104">
      <c r="H7878" s="198" t="n">
        <v>0</v>
      </c>
    </row>
    <row r="7879" ht="15" customHeight="1" s="104">
      <c r="H7879" s="198" t="n">
        <v>0</v>
      </c>
    </row>
    <row r="7880" ht="15" customHeight="1" s="104">
      <c r="H7880" s="198" t="n">
        <v>0</v>
      </c>
    </row>
    <row r="7881" ht="15" customHeight="1" s="104">
      <c r="H7881" s="198" t="n">
        <v>0</v>
      </c>
    </row>
    <row r="7882" ht="15" customHeight="1" s="104">
      <c r="H7882" s="198" t="n">
        <v>0</v>
      </c>
    </row>
    <row r="7883" ht="15" customHeight="1" s="104">
      <c r="H7883" s="198" t="n">
        <v>0</v>
      </c>
    </row>
    <row r="7884" ht="15" customHeight="1" s="104">
      <c r="H7884" s="198" t="n">
        <v>0</v>
      </c>
    </row>
    <row r="7885" ht="15" customHeight="1" s="104">
      <c r="H7885" s="198" t="n">
        <v>0</v>
      </c>
    </row>
    <row r="7886" ht="15" customHeight="1" s="104">
      <c r="H7886" s="198" t="n">
        <v>0</v>
      </c>
    </row>
    <row r="7887" ht="15" customHeight="1" s="104">
      <c r="H7887" s="198" t="n">
        <v>0</v>
      </c>
    </row>
    <row r="7888" ht="15" customHeight="1" s="104">
      <c r="H7888" s="198" t="n">
        <v>0</v>
      </c>
    </row>
    <row r="7889" ht="15" customHeight="1" s="104">
      <c r="H7889" s="198" t="n">
        <v>0</v>
      </c>
    </row>
    <row r="7890" ht="15" customHeight="1" s="104">
      <c r="H7890" s="198" t="n">
        <v>0</v>
      </c>
    </row>
    <row r="7891" ht="15" customHeight="1" s="104">
      <c r="H7891" s="198" t="n">
        <v>0</v>
      </c>
    </row>
    <row r="7892" ht="15" customHeight="1" s="104">
      <c r="H7892" s="198" t="n">
        <v>0</v>
      </c>
    </row>
    <row r="7893" ht="15" customHeight="1" s="104">
      <c r="H7893" s="198" t="n">
        <v>0</v>
      </c>
    </row>
    <row r="7894" ht="15" customHeight="1" s="104">
      <c r="H7894" s="198" t="n">
        <v>0</v>
      </c>
    </row>
    <row r="7895" ht="15" customHeight="1" s="104">
      <c r="H7895" s="198" t="n">
        <v>0</v>
      </c>
    </row>
    <row r="7896" ht="15" customHeight="1" s="104">
      <c r="H7896" s="198" t="n">
        <v>0</v>
      </c>
    </row>
    <row r="7897" ht="15" customHeight="1" s="104">
      <c r="H7897" s="198" t="n">
        <v>0</v>
      </c>
    </row>
    <row r="7898" ht="15" customHeight="1" s="104">
      <c r="H7898" s="198" t="n">
        <v>0</v>
      </c>
    </row>
    <row r="7899" ht="15" customHeight="1" s="104">
      <c r="H7899" s="198" t="n">
        <v>0</v>
      </c>
    </row>
    <row r="7900" ht="15" customHeight="1" s="104">
      <c r="H7900" s="198" t="n">
        <v>0</v>
      </c>
    </row>
    <row r="7901" ht="15" customHeight="1" s="104">
      <c r="H7901" s="198" t="n">
        <v>0</v>
      </c>
    </row>
    <row r="7902" ht="15" customHeight="1" s="104">
      <c r="H7902" s="198" t="n">
        <v>0</v>
      </c>
    </row>
    <row r="7903" ht="15" customHeight="1" s="104">
      <c r="H7903" s="198" t="n">
        <v>0</v>
      </c>
    </row>
    <row r="7904" ht="15" customHeight="1" s="104">
      <c r="H7904" s="198" t="n">
        <v>0</v>
      </c>
    </row>
    <row r="7905" ht="15" customHeight="1" s="104">
      <c r="H7905" s="198" t="n">
        <v>0</v>
      </c>
    </row>
    <row r="7906" ht="15" customHeight="1" s="104">
      <c r="H7906" s="198" t="n">
        <v>0</v>
      </c>
    </row>
    <row r="7907" ht="15" customHeight="1" s="104">
      <c r="H7907" s="198" t="n">
        <v>0</v>
      </c>
    </row>
    <row r="7908" ht="15" customHeight="1" s="104">
      <c r="H7908" s="198" t="n">
        <v>0</v>
      </c>
    </row>
    <row r="7909" ht="15" customHeight="1" s="104">
      <c r="H7909" s="198" t="n">
        <v>0</v>
      </c>
    </row>
    <row r="7910" ht="15" customHeight="1" s="104">
      <c r="H7910" s="198" t="n">
        <v>0</v>
      </c>
    </row>
    <row r="7911" ht="15" customHeight="1" s="104">
      <c r="H7911" s="198" t="n">
        <v>0</v>
      </c>
    </row>
    <row r="7912" ht="15" customHeight="1" s="104">
      <c r="H7912" s="198" t="n">
        <v>0</v>
      </c>
    </row>
    <row r="7913" ht="15" customHeight="1" s="104">
      <c r="H7913" s="198" t="n">
        <v>0</v>
      </c>
    </row>
    <row r="7914" ht="15" customHeight="1" s="104">
      <c r="H7914" s="198" t="n">
        <v>0</v>
      </c>
    </row>
    <row r="7915" ht="15" customHeight="1" s="104">
      <c r="H7915" s="198" t="n">
        <v>0</v>
      </c>
    </row>
    <row r="7916" ht="15" customHeight="1" s="104">
      <c r="H7916" s="198" t="n">
        <v>0</v>
      </c>
    </row>
    <row r="7917" ht="15" customHeight="1" s="104">
      <c r="H7917" s="198" t="n">
        <v>0</v>
      </c>
    </row>
    <row r="7918" ht="15" customHeight="1" s="104">
      <c r="H7918" s="198" t="n">
        <v>0</v>
      </c>
    </row>
    <row r="7919" ht="15" customHeight="1" s="104">
      <c r="H7919" s="198" t="n">
        <v>0</v>
      </c>
    </row>
    <row r="7920" ht="15" customHeight="1" s="104">
      <c r="H7920" s="198" t="n">
        <v>0</v>
      </c>
    </row>
    <row r="7921" ht="15" customHeight="1" s="104">
      <c r="H7921" s="198" t="n">
        <v>0</v>
      </c>
    </row>
    <row r="7922" ht="15" customHeight="1" s="104">
      <c r="H7922" s="198" t="n">
        <v>0</v>
      </c>
    </row>
    <row r="7923" ht="15" customHeight="1" s="104">
      <c r="H7923" s="198" t="n">
        <v>0</v>
      </c>
    </row>
    <row r="7924" ht="15" customHeight="1" s="104">
      <c r="H7924" s="198" t="n">
        <v>0</v>
      </c>
    </row>
    <row r="7925" ht="15" customHeight="1" s="104">
      <c r="H7925" s="198" t="n">
        <v>0</v>
      </c>
    </row>
    <row r="7926" ht="15" customHeight="1" s="104">
      <c r="H7926" s="198" t="n">
        <v>0</v>
      </c>
    </row>
    <row r="7927" ht="15" customHeight="1" s="104">
      <c r="H7927" s="198" t="n">
        <v>0</v>
      </c>
    </row>
    <row r="7928" ht="15" customHeight="1" s="104">
      <c r="H7928" s="198" t="n">
        <v>0</v>
      </c>
    </row>
    <row r="7929" ht="15" customHeight="1" s="104">
      <c r="H7929" s="198" t="n">
        <v>0</v>
      </c>
    </row>
    <row r="7930" ht="15" customHeight="1" s="104">
      <c r="H7930" s="198" t="n">
        <v>0</v>
      </c>
    </row>
    <row r="7931" ht="15" customHeight="1" s="104">
      <c r="H7931" s="198" t="n">
        <v>0</v>
      </c>
    </row>
    <row r="7932" ht="15" customHeight="1" s="104">
      <c r="H7932" s="198" t="n">
        <v>0</v>
      </c>
    </row>
    <row r="7933" ht="15" customHeight="1" s="104">
      <c r="H7933" s="198" t="n">
        <v>0</v>
      </c>
    </row>
    <row r="7934" ht="15" customHeight="1" s="104">
      <c r="H7934" s="198" t="n">
        <v>0</v>
      </c>
    </row>
    <row r="7935" ht="15" customHeight="1" s="104">
      <c r="H7935" s="198" t="n">
        <v>0</v>
      </c>
    </row>
    <row r="7936" ht="15" customHeight="1" s="104">
      <c r="H7936" s="198" t="n">
        <v>0</v>
      </c>
    </row>
    <row r="7937" ht="15" customHeight="1" s="104">
      <c r="H7937" s="198" t="n">
        <v>0</v>
      </c>
    </row>
    <row r="7938" ht="15" customHeight="1" s="104">
      <c r="H7938" s="198" t="n">
        <v>0</v>
      </c>
    </row>
    <row r="7939" ht="15" customHeight="1" s="104">
      <c r="H7939" s="198" t="n">
        <v>0</v>
      </c>
    </row>
    <row r="7940" ht="15" customHeight="1" s="104">
      <c r="H7940" s="198" t="n">
        <v>0</v>
      </c>
    </row>
    <row r="7941" ht="15" customHeight="1" s="104">
      <c r="H7941" s="198" t="n">
        <v>0</v>
      </c>
    </row>
    <row r="7942" ht="15" customHeight="1" s="104">
      <c r="H7942" s="198" t="n">
        <v>0</v>
      </c>
    </row>
    <row r="7943" ht="15" customHeight="1" s="104">
      <c r="H7943" s="198" t="n">
        <v>0</v>
      </c>
    </row>
    <row r="7944" ht="15" customHeight="1" s="104">
      <c r="H7944" s="198" t="n">
        <v>0</v>
      </c>
    </row>
    <row r="7945" ht="15" customHeight="1" s="104">
      <c r="H7945" s="198" t="n">
        <v>0</v>
      </c>
    </row>
    <row r="7946" ht="15" customHeight="1" s="104">
      <c r="H7946" s="198" t="n">
        <v>0</v>
      </c>
    </row>
    <row r="7947" ht="15" customHeight="1" s="104">
      <c r="H7947" s="198" t="n">
        <v>0</v>
      </c>
    </row>
    <row r="7948" ht="15" customHeight="1" s="104">
      <c r="H7948" s="198" t="n">
        <v>0</v>
      </c>
    </row>
    <row r="7949" ht="15" customHeight="1" s="104">
      <c r="H7949" s="198" t="n">
        <v>0</v>
      </c>
    </row>
    <row r="7950" ht="15" customHeight="1" s="104">
      <c r="H7950" s="198" t="n">
        <v>0</v>
      </c>
    </row>
    <row r="7951" ht="15" customHeight="1" s="104">
      <c r="H7951" s="198" t="n">
        <v>0</v>
      </c>
    </row>
    <row r="7952" ht="15" customHeight="1" s="104">
      <c r="H7952" s="198" t="n">
        <v>0</v>
      </c>
    </row>
    <row r="7953" ht="15" customHeight="1" s="104">
      <c r="H7953" s="198" t="n">
        <v>0</v>
      </c>
    </row>
    <row r="7954" ht="15" customHeight="1" s="104">
      <c r="H7954" s="198" t="n">
        <v>0</v>
      </c>
    </row>
    <row r="7955" ht="15" customHeight="1" s="104">
      <c r="H7955" s="198" t="n">
        <v>0</v>
      </c>
    </row>
    <row r="7956" ht="15" customHeight="1" s="104">
      <c r="H7956" s="198" t="n">
        <v>0</v>
      </c>
    </row>
    <row r="7957" ht="15" customHeight="1" s="104">
      <c r="H7957" s="198" t="n">
        <v>0</v>
      </c>
    </row>
    <row r="7958" ht="15" customHeight="1" s="104">
      <c r="H7958" s="198" t="n">
        <v>0</v>
      </c>
    </row>
    <row r="7959" ht="15" customHeight="1" s="104">
      <c r="H7959" s="198" t="n">
        <v>0</v>
      </c>
    </row>
    <row r="7960" ht="15" customHeight="1" s="104">
      <c r="H7960" s="198" t="n">
        <v>0</v>
      </c>
    </row>
    <row r="7961" ht="15" customHeight="1" s="104">
      <c r="H7961" s="198" t="n">
        <v>0</v>
      </c>
    </row>
    <row r="7962" ht="15" customHeight="1" s="104">
      <c r="H7962" s="198" t="n">
        <v>0</v>
      </c>
    </row>
    <row r="7963" ht="15" customHeight="1" s="104">
      <c r="H7963" s="198" t="n">
        <v>0</v>
      </c>
    </row>
    <row r="7964" ht="15" customHeight="1" s="104">
      <c r="H7964" s="198" t="n">
        <v>0</v>
      </c>
    </row>
    <row r="7965" ht="15" customHeight="1" s="104">
      <c r="H7965" s="198" t="n">
        <v>0</v>
      </c>
    </row>
    <row r="7966" ht="15" customHeight="1" s="104">
      <c r="H7966" s="198" t="n">
        <v>0</v>
      </c>
    </row>
    <row r="7967" ht="15" customHeight="1" s="104">
      <c r="H7967" s="198" t="n">
        <v>0</v>
      </c>
    </row>
    <row r="7968" ht="15" customHeight="1" s="104">
      <c r="H7968" s="198" t="n">
        <v>0</v>
      </c>
    </row>
    <row r="7969" ht="15" customHeight="1" s="104">
      <c r="H7969" s="198" t="n">
        <v>0</v>
      </c>
    </row>
    <row r="7970" ht="15" customHeight="1" s="104">
      <c r="H7970" s="198" t="n">
        <v>0</v>
      </c>
    </row>
    <row r="7971" ht="15" customHeight="1" s="104">
      <c r="H7971" s="198" t="n">
        <v>0</v>
      </c>
    </row>
    <row r="7972" ht="15" customHeight="1" s="104">
      <c r="H7972" s="198" t="n">
        <v>0</v>
      </c>
    </row>
    <row r="7973" ht="15" customHeight="1" s="104">
      <c r="H7973" s="198" t="n">
        <v>0</v>
      </c>
    </row>
    <row r="7974" ht="15" customHeight="1" s="104">
      <c r="H7974" s="198" t="n">
        <v>0</v>
      </c>
    </row>
    <row r="7975" ht="15" customHeight="1" s="104">
      <c r="H7975" s="198" t="n">
        <v>0</v>
      </c>
    </row>
    <row r="7976" ht="15" customHeight="1" s="104">
      <c r="H7976" s="198" t="n">
        <v>0</v>
      </c>
    </row>
    <row r="7977" ht="15" customHeight="1" s="104">
      <c r="H7977" s="198" t="n">
        <v>0</v>
      </c>
    </row>
    <row r="7978" ht="15" customHeight="1" s="104">
      <c r="H7978" s="198" t="n">
        <v>0</v>
      </c>
    </row>
    <row r="7979" ht="15" customHeight="1" s="104">
      <c r="H7979" s="198" t="n">
        <v>0</v>
      </c>
    </row>
    <row r="7980" ht="15" customHeight="1" s="104">
      <c r="H7980" s="198" t="n">
        <v>0</v>
      </c>
    </row>
    <row r="7981" ht="15" customHeight="1" s="104">
      <c r="H7981" s="198" t="n">
        <v>0</v>
      </c>
    </row>
    <row r="7982" ht="15" customHeight="1" s="104">
      <c r="H7982" s="198" t="n">
        <v>0</v>
      </c>
    </row>
    <row r="7983" ht="15" customHeight="1" s="104">
      <c r="H7983" s="198" t="n">
        <v>0</v>
      </c>
    </row>
    <row r="7984" ht="15" customHeight="1" s="104">
      <c r="H7984" s="198" t="n">
        <v>0</v>
      </c>
    </row>
    <row r="7985" ht="15" customHeight="1" s="104">
      <c r="H7985" s="198" t="n">
        <v>0</v>
      </c>
    </row>
    <row r="7986" ht="15" customHeight="1" s="104">
      <c r="H7986" s="198" t="n">
        <v>0</v>
      </c>
    </row>
    <row r="7987" ht="15" customHeight="1" s="104">
      <c r="H7987" s="198" t="n">
        <v>0</v>
      </c>
    </row>
    <row r="7988" ht="15" customHeight="1" s="104">
      <c r="H7988" s="198" t="n">
        <v>0</v>
      </c>
    </row>
    <row r="7989" ht="15" customHeight="1" s="104">
      <c r="H7989" s="198" t="n">
        <v>0</v>
      </c>
    </row>
    <row r="7990" ht="15" customHeight="1" s="104">
      <c r="H7990" s="198" t="n">
        <v>0</v>
      </c>
    </row>
    <row r="7991" ht="15" customHeight="1" s="104">
      <c r="H7991" s="198" t="n">
        <v>0</v>
      </c>
    </row>
    <row r="7992" ht="15" customHeight="1" s="104">
      <c r="H7992" s="198" t="n">
        <v>0</v>
      </c>
    </row>
    <row r="7993" ht="15" customHeight="1" s="104">
      <c r="H7993" s="198" t="n">
        <v>0</v>
      </c>
    </row>
    <row r="7994" ht="15" customHeight="1" s="104">
      <c r="H7994" s="198" t="n">
        <v>0</v>
      </c>
    </row>
    <row r="7995" ht="15" customHeight="1" s="104">
      <c r="H7995" s="198" t="n">
        <v>0</v>
      </c>
    </row>
    <row r="7996" ht="15" customHeight="1" s="104">
      <c r="H7996" s="198" t="n">
        <v>0</v>
      </c>
    </row>
    <row r="7997" ht="15" customHeight="1" s="104">
      <c r="H7997" s="198" t="n">
        <v>0</v>
      </c>
    </row>
    <row r="7998" ht="15" customHeight="1" s="104">
      <c r="H7998" s="198" t="n">
        <v>0</v>
      </c>
    </row>
    <row r="7999" ht="15" customHeight="1" s="104">
      <c r="H7999" s="198" t="n">
        <v>0</v>
      </c>
    </row>
    <row r="8000" ht="15" customHeight="1" s="104">
      <c r="H8000" s="198" t="n">
        <v>0</v>
      </c>
    </row>
    <row r="8001" ht="15" customHeight="1" s="104">
      <c r="H8001" s="198" t="n">
        <v>0</v>
      </c>
    </row>
    <row r="8002" ht="15" customHeight="1" s="104">
      <c r="H8002" s="198" t="n">
        <v>0</v>
      </c>
    </row>
    <row r="8003" ht="15" customHeight="1" s="104">
      <c r="H8003" s="198" t="n">
        <v>0</v>
      </c>
    </row>
    <row r="8004" ht="15" customHeight="1" s="104">
      <c r="H8004" s="198" t="n">
        <v>0</v>
      </c>
    </row>
    <row r="8005" ht="15" customHeight="1" s="104">
      <c r="H8005" s="198" t="n">
        <v>0</v>
      </c>
    </row>
    <row r="8006" ht="15" customHeight="1" s="104">
      <c r="H8006" s="198" t="n">
        <v>0</v>
      </c>
    </row>
    <row r="8007" ht="15" customHeight="1" s="104">
      <c r="H8007" s="198" t="n">
        <v>0</v>
      </c>
    </row>
    <row r="8008" ht="15" customHeight="1" s="104">
      <c r="H8008" s="198" t="n">
        <v>0</v>
      </c>
    </row>
    <row r="8009" ht="15" customHeight="1" s="104">
      <c r="H8009" s="198" t="n">
        <v>0</v>
      </c>
    </row>
    <row r="8010" ht="15" customHeight="1" s="104">
      <c r="H8010" s="198" t="n">
        <v>0</v>
      </c>
    </row>
    <row r="8011" ht="15" customHeight="1" s="104">
      <c r="H8011" s="198" t="n">
        <v>0</v>
      </c>
    </row>
    <row r="8012" ht="15" customHeight="1" s="104">
      <c r="H8012" s="198" t="n">
        <v>0</v>
      </c>
    </row>
    <row r="8013" ht="15" customHeight="1" s="104">
      <c r="H8013" s="198" t="n">
        <v>0</v>
      </c>
    </row>
    <row r="8014" ht="15" customHeight="1" s="104">
      <c r="H8014" s="198" t="n">
        <v>0</v>
      </c>
    </row>
    <row r="8015" ht="15" customHeight="1" s="104">
      <c r="H8015" s="198" t="n">
        <v>0</v>
      </c>
    </row>
    <row r="8016" ht="15" customHeight="1" s="104">
      <c r="H8016" s="198" t="n">
        <v>0</v>
      </c>
    </row>
    <row r="8017" ht="15" customHeight="1" s="104">
      <c r="H8017" s="198" t="n">
        <v>0</v>
      </c>
    </row>
    <row r="8018" ht="15" customHeight="1" s="104">
      <c r="H8018" s="198" t="n">
        <v>0</v>
      </c>
    </row>
    <row r="8019" ht="15" customHeight="1" s="104">
      <c r="H8019" s="198" t="n">
        <v>0</v>
      </c>
    </row>
    <row r="8020" ht="15" customHeight="1" s="104">
      <c r="H8020" s="198" t="n">
        <v>0</v>
      </c>
    </row>
    <row r="8021" ht="15" customHeight="1" s="104">
      <c r="H8021" s="198" t="n">
        <v>0</v>
      </c>
    </row>
    <row r="8022" ht="15" customHeight="1" s="104">
      <c r="H8022" s="198" t="n">
        <v>0</v>
      </c>
    </row>
    <row r="8023" ht="15" customHeight="1" s="104">
      <c r="H8023" s="198" t="n">
        <v>0</v>
      </c>
    </row>
    <row r="8024" ht="15" customHeight="1" s="104">
      <c r="H8024" s="198" t="n">
        <v>0</v>
      </c>
    </row>
    <row r="8025" ht="15" customHeight="1" s="104">
      <c r="H8025" s="198" t="n">
        <v>0</v>
      </c>
    </row>
    <row r="8026" ht="15" customHeight="1" s="104">
      <c r="H8026" s="198" t="n">
        <v>0</v>
      </c>
    </row>
    <row r="8027" ht="15" customHeight="1" s="104">
      <c r="H8027" s="198" t="n">
        <v>0</v>
      </c>
    </row>
    <row r="8028" ht="15" customHeight="1" s="104">
      <c r="H8028" s="198" t="n">
        <v>0</v>
      </c>
    </row>
    <row r="8029" ht="15" customHeight="1" s="104">
      <c r="H8029" s="198" t="n">
        <v>0</v>
      </c>
    </row>
    <row r="8030" ht="15" customHeight="1" s="104">
      <c r="H8030" s="198" t="n">
        <v>0</v>
      </c>
    </row>
    <row r="8031" ht="15" customHeight="1" s="104">
      <c r="H8031" s="198" t="n">
        <v>0</v>
      </c>
    </row>
    <row r="8032" ht="15" customHeight="1" s="104">
      <c r="H8032" s="198" t="n">
        <v>0</v>
      </c>
    </row>
    <row r="8033" ht="15" customHeight="1" s="104">
      <c r="H8033" s="198" t="n">
        <v>0</v>
      </c>
    </row>
    <row r="8034" ht="15" customHeight="1" s="104">
      <c r="H8034" s="198" t="n">
        <v>0</v>
      </c>
    </row>
    <row r="8035" ht="15" customHeight="1" s="104">
      <c r="H8035" s="198" t="n">
        <v>0</v>
      </c>
    </row>
    <row r="8036" ht="15" customHeight="1" s="104">
      <c r="H8036" s="198" t="n">
        <v>0</v>
      </c>
    </row>
    <row r="8037" ht="15" customHeight="1" s="104">
      <c r="H8037" s="198" t="n">
        <v>0</v>
      </c>
    </row>
    <row r="8038" ht="15" customHeight="1" s="104">
      <c r="H8038" s="198" t="n">
        <v>0</v>
      </c>
    </row>
    <row r="8039" ht="15" customHeight="1" s="104">
      <c r="H8039" s="198" t="n">
        <v>0</v>
      </c>
    </row>
    <row r="8040" ht="15" customHeight="1" s="104">
      <c r="H8040" s="198" t="n">
        <v>0</v>
      </c>
    </row>
    <row r="8041" ht="15" customHeight="1" s="104">
      <c r="H8041" s="198" t="n">
        <v>0</v>
      </c>
    </row>
    <row r="8042" ht="15" customHeight="1" s="104">
      <c r="H8042" s="198" t="n">
        <v>0</v>
      </c>
    </row>
    <row r="8043" ht="15" customHeight="1" s="104">
      <c r="H8043" s="198" t="n">
        <v>0</v>
      </c>
    </row>
    <row r="8044" ht="15" customHeight="1" s="104">
      <c r="H8044" s="198" t="n">
        <v>0</v>
      </c>
    </row>
    <row r="8045" ht="15" customHeight="1" s="104">
      <c r="H8045" s="198" t="n">
        <v>0</v>
      </c>
    </row>
    <row r="8046" ht="15" customHeight="1" s="104">
      <c r="H8046" s="198" t="n">
        <v>0</v>
      </c>
    </row>
    <row r="8047" ht="15" customHeight="1" s="104">
      <c r="H8047" s="198" t="n">
        <v>0</v>
      </c>
    </row>
    <row r="8048" ht="15" customHeight="1" s="104">
      <c r="H8048" s="198" t="n">
        <v>0</v>
      </c>
    </row>
    <row r="8049" ht="15" customHeight="1" s="104">
      <c r="H8049" s="198" t="n">
        <v>0</v>
      </c>
    </row>
    <row r="8050" ht="15" customHeight="1" s="104">
      <c r="H8050" s="198" t="n">
        <v>0</v>
      </c>
    </row>
    <row r="8051" ht="15" customHeight="1" s="104">
      <c r="H8051" s="198" t="n">
        <v>0</v>
      </c>
    </row>
    <row r="8052" ht="15" customHeight="1" s="104">
      <c r="H8052" s="198" t="n">
        <v>0</v>
      </c>
    </row>
    <row r="8053" ht="15" customHeight="1" s="104">
      <c r="H8053" s="198" t="n">
        <v>0</v>
      </c>
    </row>
    <row r="8054" ht="15" customHeight="1" s="104">
      <c r="H8054" s="198" t="n">
        <v>0</v>
      </c>
    </row>
    <row r="8055" ht="15" customHeight="1" s="104">
      <c r="H8055" s="198" t="n">
        <v>0</v>
      </c>
    </row>
    <row r="8056" ht="15" customHeight="1" s="104">
      <c r="H8056" s="198" t="n">
        <v>0</v>
      </c>
    </row>
    <row r="8057" ht="15" customHeight="1" s="104">
      <c r="H8057" s="198" t="n">
        <v>0</v>
      </c>
    </row>
    <row r="8058" ht="15" customHeight="1" s="104">
      <c r="H8058" s="198" t="n">
        <v>0</v>
      </c>
    </row>
    <row r="8059" ht="15" customHeight="1" s="104">
      <c r="H8059" s="198" t="n">
        <v>0</v>
      </c>
    </row>
    <row r="8060" ht="15" customHeight="1" s="104">
      <c r="H8060" s="198" t="n">
        <v>0</v>
      </c>
    </row>
    <row r="8061" ht="15" customHeight="1" s="104">
      <c r="H8061" s="198" t="n">
        <v>0</v>
      </c>
    </row>
    <row r="8062" ht="15" customHeight="1" s="104">
      <c r="H8062" s="198" t="n">
        <v>0</v>
      </c>
    </row>
    <row r="8063" ht="15" customHeight="1" s="104">
      <c r="H8063" s="198" t="n">
        <v>0</v>
      </c>
    </row>
    <row r="8064" ht="15" customHeight="1" s="104">
      <c r="H8064" s="198" t="n">
        <v>0</v>
      </c>
    </row>
    <row r="8065" ht="15" customHeight="1" s="104">
      <c r="H8065" s="198" t="n">
        <v>0</v>
      </c>
    </row>
    <row r="8066" ht="15" customHeight="1" s="104">
      <c r="H8066" s="198" t="n">
        <v>0</v>
      </c>
    </row>
    <row r="8067" ht="15" customHeight="1" s="104">
      <c r="H8067" s="198" t="n">
        <v>0</v>
      </c>
    </row>
    <row r="8068" ht="15" customHeight="1" s="104">
      <c r="H8068" s="198" t="n">
        <v>0</v>
      </c>
    </row>
    <row r="8069" ht="15" customHeight="1" s="104">
      <c r="H8069" s="198" t="n">
        <v>0</v>
      </c>
    </row>
    <row r="8070" ht="15" customHeight="1" s="104">
      <c r="H8070" s="198" t="n">
        <v>0</v>
      </c>
    </row>
    <row r="8071" ht="15" customHeight="1" s="104">
      <c r="H8071" s="198" t="n">
        <v>0</v>
      </c>
    </row>
    <row r="8072" ht="15" customHeight="1" s="104">
      <c r="H8072" s="198" t="n">
        <v>0</v>
      </c>
    </row>
    <row r="8073" ht="15" customHeight="1" s="104">
      <c r="H8073" s="198" t="n">
        <v>0</v>
      </c>
    </row>
    <row r="8074" ht="15" customHeight="1" s="104">
      <c r="H8074" s="198" t="n">
        <v>0</v>
      </c>
    </row>
    <row r="8075" ht="15" customHeight="1" s="104">
      <c r="H8075" s="198" t="n">
        <v>0</v>
      </c>
    </row>
    <row r="8076" ht="15" customHeight="1" s="104">
      <c r="H8076" s="198" t="n">
        <v>0</v>
      </c>
    </row>
    <row r="8077" ht="15" customHeight="1" s="104">
      <c r="H8077" s="198" t="n">
        <v>0</v>
      </c>
    </row>
    <row r="8078" ht="15" customHeight="1" s="104">
      <c r="H8078" s="198" t="n">
        <v>0</v>
      </c>
    </row>
    <row r="8079" ht="15" customHeight="1" s="104">
      <c r="H8079" s="198" t="n">
        <v>0</v>
      </c>
    </row>
    <row r="8080" ht="15" customHeight="1" s="104">
      <c r="H8080" s="198" t="n">
        <v>0</v>
      </c>
    </row>
    <row r="8081" ht="15" customHeight="1" s="104">
      <c r="H8081" s="198" t="n">
        <v>0</v>
      </c>
    </row>
    <row r="8082" ht="15" customHeight="1" s="104">
      <c r="H8082" s="198" t="n">
        <v>0</v>
      </c>
    </row>
    <row r="8083" ht="15" customHeight="1" s="104">
      <c r="H8083" s="198" t="n">
        <v>0</v>
      </c>
    </row>
    <row r="8084" ht="15" customHeight="1" s="104">
      <c r="H8084" s="198" t="n">
        <v>0</v>
      </c>
    </row>
    <row r="8085" ht="15" customHeight="1" s="104">
      <c r="H8085" s="198" t="n">
        <v>0</v>
      </c>
    </row>
    <row r="8086" ht="15" customHeight="1" s="104">
      <c r="H8086" s="198" t="n">
        <v>0</v>
      </c>
    </row>
    <row r="8087" ht="15" customHeight="1" s="104">
      <c r="H8087" s="198" t="n">
        <v>0</v>
      </c>
    </row>
    <row r="8088" ht="15" customHeight="1" s="104">
      <c r="H8088" s="198" t="n">
        <v>0</v>
      </c>
    </row>
    <row r="8089" ht="15" customHeight="1" s="104">
      <c r="H8089" s="198" t="n">
        <v>0</v>
      </c>
    </row>
    <row r="8090" ht="15" customHeight="1" s="104">
      <c r="H8090" s="198" t="n">
        <v>0</v>
      </c>
    </row>
    <row r="8091" ht="15" customHeight="1" s="104">
      <c r="H8091" s="198" t="n">
        <v>0</v>
      </c>
    </row>
    <row r="8092" ht="15" customHeight="1" s="104">
      <c r="H8092" s="198" t="n">
        <v>0</v>
      </c>
    </row>
    <row r="8093" ht="15" customHeight="1" s="104">
      <c r="H8093" s="198" t="n">
        <v>0</v>
      </c>
    </row>
    <row r="8094" ht="15" customHeight="1" s="104">
      <c r="H8094" s="198" t="n">
        <v>0</v>
      </c>
    </row>
    <row r="8095" ht="15" customHeight="1" s="104">
      <c r="H8095" s="198" t="n">
        <v>0</v>
      </c>
    </row>
    <row r="8096" ht="15" customHeight="1" s="104">
      <c r="H8096" s="198" t="n">
        <v>0</v>
      </c>
    </row>
    <row r="8097" ht="15" customHeight="1" s="104">
      <c r="H8097" s="198" t="n">
        <v>0</v>
      </c>
    </row>
    <row r="8098" ht="15" customHeight="1" s="104">
      <c r="H8098" s="198" t="n">
        <v>0</v>
      </c>
    </row>
    <row r="8099" ht="15" customHeight="1" s="104">
      <c r="H8099" s="198" t="n">
        <v>0</v>
      </c>
    </row>
    <row r="8100" ht="15" customHeight="1" s="104">
      <c r="H8100" s="198" t="n">
        <v>0</v>
      </c>
    </row>
    <row r="8101" ht="15" customHeight="1" s="104">
      <c r="H8101" s="198" t="n">
        <v>0</v>
      </c>
    </row>
    <row r="8102" ht="15" customHeight="1" s="104">
      <c r="H8102" s="198" t="n">
        <v>0</v>
      </c>
    </row>
    <row r="8103" ht="15" customHeight="1" s="104">
      <c r="H8103" s="198" t="n">
        <v>0</v>
      </c>
    </row>
    <row r="8104" ht="15" customHeight="1" s="104">
      <c r="H8104" s="198" t="n">
        <v>0</v>
      </c>
    </row>
    <row r="8105" ht="15" customHeight="1" s="104">
      <c r="H8105" s="198" t="n">
        <v>0</v>
      </c>
    </row>
    <row r="8106" ht="15" customHeight="1" s="104">
      <c r="H8106" s="198" t="n">
        <v>0</v>
      </c>
    </row>
    <row r="8107" ht="15" customHeight="1" s="104">
      <c r="H8107" s="198" t="n">
        <v>0</v>
      </c>
    </row>
    <row r="8108" ht="15" customHeight="1" s="104">
      <c r="H8108" s="198" t="n">
        <v>0</v>
      </c>
    </row>
    <row r="8109" ht="15" customHeight="1" s="104">
      <c r="H8109" s="198" t="n">
        <v>0</v>
      </c>
    </row>
    <row r="8110" ht="15" customHeight="1" s="104">
      <c r="H8110" s="198" t="n">
        <v>0</v>
      </c>
    </row>
    <row r="8111" ht="15" customHeight="1" s="104">
      <c r="H8111" s="198" t="n">
        <v>0</v>
      </c>
    </row>
    <row r="8112" ht="15" customHeight="1" s="104">
      <c r="H8112" s="198" t="n">
        <v>0</v>
      </c>
    </row>
    <row r="8113" ht="15" customHeight="1" s="104">
      <c r="H8113" s="198" t="n">
        <v>0</v>
      </c>
    </row>
    <row r="8114" ht="15" customHeight="1" s="104">
      <c r="H8114" s="198" t="n">
        <v>0</v>
      </c>
    </row>
    <row r="8115" ht="15" customHeight="1" s="104">
      <c r="H8115" s="198" t="n">
        <v>0</v>
      </c>
    </row>
    <row r="8116" ht="15" customHeight="1" s="104">
      <c r="H8116" s="198" t="n">
        <v>0</v>
      </c>
    </row>
    <row r="8117" ht="15" customHeight="1" s="104">
      <c r="H8117" s="198" t="n">
        <v>0</v>
      </c>
    </row>
    <row r="8118" ht="15" customHeight="1" s="104">
      <c r="H8118" s="198" t="n">
        <v>0</v>
      </c>
    </row>
    <row r="8119" ht="15" customHeight="1" s="104">
      <c r="H8119" s="198" t="n">
        <v>0</v>
      </c>
    </row>
    <row r="8120" ht="15" customHeight="1" s="104">
      <c r="H8120" s="198" t="n">
        <v>0</v>
      </c>
    </row>
    <row r="8121" ht="15" customHeight="1" s="104">
      <c r="H8121" s="198" t="n">
        <v>0</v>
      </c>
    </row>
    <row r="8122" ht="15" customHeight="1" s="104">
      <c r="H8122" s="198" t="n">
        <v>0</v>
      </c>
    </row>
    <row r="8123" ht="15" customHeight="1" s="104">
      <c r="H8123" s="198" t="n">
        <v>0</v>
      </c>
    </row>
    <row r="8124" ht="15" customHeight="1" s="104">
      <c r="H8124" s="198" t="n">
        <v>0</v>
      </c>
    </row>
    <row r="8125" ht="15" customHeight="1" s="104">
      <c r="H8125" s="198" t="n">
        <v>0</v>
      </c>
    </row>
    <row r="8126" ht="15" customHeight="1" s="104">
      <c r="H8126" s="198" t="n">
        <v>0</v>
      </c>
    </row>
    <row r="8127" ht="15" customHeight="1" s="104">
      <c r="H8127" s="198" t="n">
        <v>0</v>
      </c>
    </row>
    <row r="8128" ht="15" customHeight="1" s="104">
      <c r="H8128" s="198" t="n">
        <v>0</v>
      </c>
    </row>
    <row r="8129" ht="15" customHeight="1" s="104">
      <c r="H8129" s="198" t="n">
        <v>0</v>
      </c>
    </row>
    <row r="8130" ht="15" customHeight="1" s="104">
      <c r="H8130" s="198" t="n">
        <v>0</v>
      </c>
    </row>
    <row r="8131" ht="15" customHeight="1" s="104">
      <c r="H8131" s="198" t="n">
        <v>0</v>
      </c>
    </row>
    <row r="8132" ht="15" customHeight="1" s="104">
      <c r="H8132" s="198" t="n">
        <v>0</v>
      </c>
    </row>
    <row r="8133" ht="15" customHeight="1" s="104">
      <c r="H8133" s="198" t="n">
        <v>0</v>
      </c>
    </row>
    <row r="8134" ht="15" customHeight="1" s="104">
      <c r="H8134" s="198" t="n">
        <v>0</v>
      </c>
    </row>
    <row r="8135" ht="15" customHeight="1" s="104">
      <c r="H8135" s="198" t="n">
        <v>0</v>
      </c>
    </row>
    <row r="8136" ht="15" customHeight="1" s="104">
      <c r="H8136" s="198" t="n">
        <v>0</v>
      </c>
    </row>
    <row r="8137" ht="15" customHeight="1" s="104">
      <c r="H8137" s="198" t="n">
        <v>0</v>
      </c>
    </row>
    <row r="8138" ht="15" customHeight="1" s="104">
      <c r="H8138" s="198" t="n">
        <v>0</v>
      </c>
    </row>
    <row r="8139" ht="15" customHeight="1" s="104">
      <c r="H8139" s="198" t="n">
        <v>0</v>
      </c>
    </row>
    <row r="8140" ht="15" customHeight="1" s="104">
      <c r="H8140" s="198" t="n">
        <v>0</v>
      </c>
    </row>
    <row r="8141" ht="15" customHeight="1" s="104">
      <c r="H8141" s="198" t="n">
        <v>0</v>
      </c>
    </row>
    <row r="8142" ht="15" customHeight="1" s="104">
      <c r="H8142" s="198" t="n">
        <v>0</v>
      </c>
    </row>
    <row r="8143" ht="15" customHeight="1" s="104">
      <c r="H8143" s="198" t="n">
        <v>0</v>
      </c>
    </row>
    <row r="8144" ht="15" customHeight="1" s="104">
      <c r="H8144" s="198" t="n">
        <v>0</v>
      </c>
    </row>
    <row r="8145" ht="15" customHeight="1" s="104">
      <c r="H8145" s="198" t="n">
        <v>0</v>
      </c>
    </row>
    <row r="8146" ht="15" customHeight="1" s="104">
      <c r="H8146" s="198" t="n">
        <v>0</v>
      </c>
    </row>
    <row r="8147" ht="15" customHeight="1" s="104">
      <c r="H8147" s="198" t="n">
        <v>0</v>
      </c>
    </row>
    <row r="8148" ht="15" customHeight="1" s="104">
      <c r="H8148" s="198" t="n">
        <v>0</v>
      </c>
    </row>
    <row r="8149" ht="15" customHeight="1" s="104">
      <c r="H8149" s="198" t="n">
        <v>0</v>
      </c>
    </row>
    <row r="8150" ht="15" customHeight="1" s="104">
      <c r="H8150" s="198" t="n">
        <v>0</v>
      </c>
    </row>
    <row r="8151" ht="15" customHeight="1" s="104">
      <c r="H8151" s="198" t="n">
        <v>0</v>
      </c>
    </row>
    <row r="8152" ht="15" customHeight="1" s="104">
      <c r="H8152" s="198" t="n">
        <v>0</v>
      </c>
    </row>
    <row r="8153" ht="15" customHeight="1" s="104">
      <c r="H8153" s="198" t="n">
        <v>0</v>
      </c>
    </row>
    <row r="8154" ht="15" customHeight="1" s="104">
      <c r="H8154" s="198" t="n">
        <v>0</v>
      </c>
    </row>
    <row r="8155" ht="15" customHeight="1" s="104">
      <c r="H8155" s="198" t="n">
        <v>0</v>
      </c>
    </row>
    <row r="8156" ht="15" customHeight="1" s="104">
      <c r="H8156" s="198" t="n">
        <v>0</v>
      </c>
    </row>
    <row r="8157" ht="15" customHeight="1" s="104">
      <c r="H8157" s="198" t="n">
        <v>0</v>
      </c>
    </row>
    <row r="8158" ht="15" customHeight="1" s="104">
      <c r="H8158" s="198" t="n">
        <v>0</v>
      </c>
    </row>
    <row r="8159" ht="15" customHeight="1" s="104">
      <c r="H8159" s="198" t="n">
        <v>0</v>
      </c>
    </row>
    <row r="8160" ht="15" customHeight="1" s="104">
      <c r="H8160" s="198" t="n">
        <v>0</v>
      </c>
    </row>
    <row r="8161" ht="15" customHeight="1" s="104">
      <c r="H8161" s="198" t="n">
        <v>0</v>
      </c>
    </row>
    <row r="8162" ht="15" customHeight="1" s="104">
      <c r="H8162" s="198" t="n">
        <v>0</v>
      </c>
    </row>
    <row r="8163" ht="15" customHeight="1" s="104">
      <c r="H8163" s="198" t="n">
        <v>0</v>
      </c>
    </row>
    <row r="8164" ht="15" customHeight="1" s="104">
      <c r="H8164" s="198" t="n">
        <v>0</v>
      </c>
    </row>
    <row r="8165" ht="15" customHeight="1" s="104">
      <c r="H8165" s="198" t="n">
        <v>0</v>
      </c>
    </row>
    <row r="8166" ht="15" customHeight="1" s="104">
      <c r="H8166" s="198" t="n">
        <v>0</v>
      </c>
    </row>
    <row r="8167" ht="15" customHeight="1" s="104">
      <c r="H8167" s="198" t="n">
        <v>0</v>
      </c>
    </row>
    <row r="8168" ht="15" customHeight="1" s="104">
      <c r="H8168" s="198" t="n">
        <v>0</v>
      </c>
    </row>
    <row r="8169" ht="15" customHeight="1" s="104">
      <c r="H8169" s="198" t="n">
        <v>0</v>
      </c>
    </row>
    <row r="8170" ht="15" customHeight="1" s="104">
      <c r="H8170" s="198" t="n">
        <v>0</v>
      </c>
    </row>
    <row r="8171" ht="15" customHeight="1" s="104">
      <c r="H8171" s="198" t="n">
        <v>0</v>
      </c>
    </row>
    <row r="8172" ht="15" customHeight="1" s="104">
      <c r="H8172" s="198" t="n">
        <v>0</v>
      </c>
    </row>
    <row r="8173" ht="15" customHeight="1" s="104">
      <c r="H8173" s="198" t="n">
        <v>0</v>
      </c>
    </row>
    <row r="8174" ht="15" customHeight="1" s="104">
      <c r="H8174" s="198" t="n">
        <v>0</v>
      </c>
    </row>
    <row r="8175" ht="15" customHeight="1" s="104">
      <c r="H8175" s="198" t="n">
        <v>0</v>
      </c>
    </row>
    <row r="8176" ht="15" customHeight="1" s="104">
      <c r="H8176" s="198" t="n">
        <v>0</v>
      </c>
    </row>
    <row r="8177" ht="15" customHeight="1" s="104">
      <c r="H8177" s="198" t="n">
        <v>0</v>
      </c>
    </row>
    <row r="8178" ht="15" customHeight="1" s="104">
      <c r="H8178" s="198" t="n">
        <v>0</v>
      </c>
    </row>
    <row r="8179" ht="15" customHeight="1" s="104">
      <c r="H8179" s="198" t="n">
        <v>0</v>
      </c>
    </row>
    <row r="8180" ht="15" customHeight="1" s="104">
      <c r="H8180" s="198" t="n">
        <v>0</v>
      </c>
    </row>
    <row r="8181" ht="15" customHeight="1" s="104">
      <c r="H8181" s="198" t="n">
        <v>0</v>
      </c>
    </row>
    <row r="8182" ht="15" customHeight="1" s="104">
      <c r="H8182" s="198" t="n">
        <v>0</v>
      </c>
    </row>
    <row r="8183" ht="15" customHeight="1" s="104">
      <c r="H8183" s="198" t="n">
        <v>0</v>
      </c>
    </row>
    <row r="8184" ht="15" customHeight="1" s="104">
      <c r="H8184" s="198" t="n">
        <v>0</v>
      </c>
    </row>
    <row r="8185" ht="15" customHeight="1" s="104">
      <c r="H8185" s="198" t="n">
        <v>0</v>
      </c>
    </row>
    <row r="8186" ht="15" customHeight="1" s="104">
      <c r="H8186" s="198" t="n">
        <v>0</v>
      </c>
    </row>
    <row r="8187" ht="15" customHeight="1" s="104">
      <c r="H8187" s="198" t="n">
        <v>0</v>
      </c>
    </row>
    <row r="8188" ht="15" customHeight="1" s="104">
      <c r="H8188" s="198" t="n">
        <v>0</v>
      </c>
    </row>
    <row r="8189" ht="15" customHeight="1" s="104">
      <c r="H8189" s="198" t="n">
        <v>0</v>
      </c>
    </row>
    <row r="8190" ht="15" customHeight="1" s="104">
      <c r="H8190" s="198" t="n">
        <v>0</v>
      </c>
    </row>
    <row r="8191" ht="15" customHeight="1" s="104">
      <c r="H8191" s="198" t="n">
        <v>0</v>
      </c>
    </row>
    <row r="8192" ht="15" customHeight="1" s="104">
      <c r="H8192" s="198" t="n">
        <v>0</v>
      </c>
    </row>
    <row r="8193" ht="15" customHeight="1" s="104">
      <c r="H8193" s="198" t="n">
        <v>0</v>
      </c>
    </row>
    <row r="8194" ht="15" customHeight="1" s="104">
      <c r="H8194" s="198" t="n">
        <v>0</v>
      </c>
    </row>
    <row r="8195" ht="15" customHeight="1" s="104">
      <c r="H8195" s="198" t="n">
        <v>0</v>
      </c>
    </row>
    <row r="8196" ht="15" customHeight="1" s="104">
      <c r="H8196" s="198" t="n">
        <v>0</v>
      </c>
    </row>
    <row r="8197" ht="15" customHeight="1" s="104">
      <c r="H8197" s="198" t="n">
        <v>0</v>
      </c>
    </row>
    <row r="8198" ht="15" customHeight="1" s="104">
      <c r="H8198" s="198" t="n">
        <v>0</v>
      </c>
    </row>
    <row r="8199" ht="15" customHeight="1" s="104">
      <c r="H8199" s="198" t="n">
        <v>0</v>
      </c>
    </row>
    <row r="8200" ht="15" customHeight="1" s="104">
      <c r="H8200" s="198" t="n">
        <v>0</v>
      </c>
    </row>
    <row r="8201" ht="15" customHeight="1" s="104">
      <c r="H8201" s="198" t="n">
        <v>0</v>
      </c>
    </row>
    <row r="8202" ht="15" customHeight="1" s="104">
      <c r="H8202" s="198" t="n">
        <v>0</v>
      </c>
    </row>
    <row r="8203" ht="15" customHeight="1" s="104">
      <c r="H8203" s="198" t="n">
        <v>0</v>
      </c>
    </row>
    <row r="8204" ht="15" customHeight="1" s="104">
      <c r="H8204" s="198" t="n">
        <v>0</v>
      </c>
    </row>
    <row r="8205" ht="15" customHeight="1" s="104">
      <c r="H8205" s="198" t="n">
        <v>0</v>
      </c>
    </row>
    <row r="8206" ht="15" customHeight="1" s="104">
      <c r="H8206" s="198" t="n">
        <v>0</v>
      </c>
    </row>
    <row r="8207" ht="15" customHeight="1" s="104">
      <c r="H8207" s="198" t="n">
        <v>0</v>
      </c>
    </row>
    <row r="8208" ht="15" customHeight="1" s="104">
      <c r="H8208" s="198" t="n">
        <v>0</v>
      </c>
    </row>
    <row r="8209" ht="15" customHeight="1" s="104">
      <c r="H8209" s="198" t="n">
        <v>0</v>
      </c>
    </row>
    <row r="8210" ht="15" customHeight="1" s="104">
      <c r="H8210" s="198" t="n">
        <v>0</v>
      </c>
    </row>
    <row r="8211" ht="15" customHeight="1" s="104">
      <c r="H8211" s="198" t="n">
        <v>0</v>
      </c>
    </row>
    <row r="8212" ht="15" customHeight="1" s="104">
      <c r="H8212" s="198" t="n">
        <v>0</v>
      </c>
    </row>
    <row r="8213" ht="15" customHeight="1" s="104">
      <c r="H8213" s="198" t="n">
        <v>0</v>
      </c>
    </row>
    <row r="8214" ht="15" customHeight="1" s="104">
      <c r="H8214" s="198" t="n">
        <v>0</v>
      </c>
    </row>
    <row r="8215" ht="15" customHeight="1" s="104">
      <c r="H8215" s="198" t="n">
        <v>0</v>
      </c>
    </row>
    <row r="8216" ht="15" customHeight="1" s="104">
      <c r="H8216" s="198" t="n">
        <v>0</v>
      </c>
    </row>
    <row r="8217" ht="15" customHeight="1" s="104">
      <c r="H8217" s="198" t="n">
        <v>0</v>
      </c>
    </row>
    <row r="8218" ht="15" customHeight="1" s="104">
      <c r="H8218" s="198" t="n">
        <v>0</v>
      </c>
    </row>
    <row r="8219" ht="15" customHeight="1" s="104">
      <c r="H8219" s="198" t="n">
        <v>0</v>
      </c>
    </row>
    <row r="8220" ht="15" customHeight="1" s="104">
      <c r="H8220" s="198" t="n">
        <v>0</v>
      </c>
    </row>
    <row r="8221" ht="15" customHeight="1" s="104">
      <c r="H8221" s="198" t="n">
        <v>0</v>
      </c>
    </row>
    <row r="8222" ht="15" customHeight="1" s="104">
      <c r="H8222" s="198" t="n">
        <v>0</v>
      </c>
    </row>
    <row r="8223" ht="15" customHeight="1" s="104">
      <c r="H8223" s="198" t="n">
        <v>0</v>
      </c>
    </row>
    <row r="8224" ht="15" customHeight="1" s="104">
      <c r="H8224" s="198" t="n">
        <v>0</v>
      </c>
    </row>
    <row r="8225" ht="15" customHeight="1" s="104">
      <c r="H8225" s="198" t="n">
        <v>0</v>
      </c>
    </row>
    <row r="8226" ht="15" customHeight="1" s="104">
      <c r="H8226" s="198" t="n">
        <v>0</v>
      </c>
    </row>
    <row r="8227" ht="15" customHeight="1" s="104">
      <c r="H8227" s="198" t="n">
        <v>0</v>
      </c>
    </row>
    <row r="8228" ht="15" customHeight="1" s="104">
      <c r="H8228" s="198" t="n">
        <v>0</v>
      </c>
    </row>
    <row r="8229" ht="15" customHeight="1" s="104">
      <c r="H8229" s="198" t="n">
        <v>0</v>
      </c>
    </row>
    <row r="8230" ht="15" customHeight="1" s="104">
      <c r="H8230" s="198" t="n">
        <v>0</v>
      </c>
    </row>
    <row r="8231" ht="15" customHeight="1" s="104">
      <c r="H8231" s="198" t="n">
        <v>0</v>
      </c>
    </row>
    <row r="8232" ht="15" customHeight="1" s="104">
      <c r="H8232" s="198" t="n">
        <v>0</v>
      </c>
    </row>
    <row r="8233" ht="15" customHeight="1" s="104">
      <c r="H8233" s="198" t="n">
        <v>0</v>
      </c>
    </row>
    <row r="8234" ht="15" customHeight="1" s="104">
      <c r="H8234" s="198" t="n">
        <v>0</v>
      </c>
    </row>
    <row r="8235" ht="15" customHeight="1" s="104">
      <c r="H8235" s="198" t="n">
        <v>0</v>
      </c>
    </row>
    <row r="8236" ht="15" customHeight="1" s="104">
      <c r="H8236" s="198" t="n">
        <v>0</v>
      </c>
    </row>
    <row r="8237" ht="15" customHeight="1" s="104">
      <c r="H8237" s="198" t="n">
        <v>0</v>
      </c>
    </row>
    <row r="8238" ht="15" customHeight="1" s="104">
      <c r="H8238" s="198" t="n">
        <v>0</v>
      </c>
    </row>
    <row r="8239" ht="15" customHeight="1" s="104">
      <c r="H8239" s="198" t="n">
        <v>0</v>
      </c>
    </row>
    <row r="8240" ht="15" customHeight="1" s="104">
      <c r="H8240" s="198" t="n">
        <v>0</v>
      </c>
    </row>
    <row r="8241" ht="15" customHeight="1" s="104">
      <c r="H8241" s="198" t="n">
        <v>0</v>
      </c>
    </row>
    <row r="8242" ht="15" customHeight="1" s="104">
      <c r="H8242" s="198" t="n">
        <v>0</v>
      </c>
    </row>
    <row r="8243" ht="15" customHeight="1" s="104">
      <c r="H8243" s="198" t="n">
        <v>0</v>
      </c>
    </row>
    <row r="8244" ht="15" customHeight="1" s="104">
      <c r="H8244" s="198" t="n">
        <v>0</v>
      </c>
    </row>
    <row r="8245" ht="15" customHeight="1" s="104">
      <c r="H8245" s="198" t="n">
        <v>0</v>
      </c>
    </row>
    <row r="8246" ht="15" customHeight="1" s="104">
      <c r="H8246" s="198" t="n">
        <v>0</v>
      </c>
    </row>
    <row r="8247" ht="15" customHeight="1" s="104">
      <c r="H8247" s="198" t="n">
        <v>0</v>
      </c>
    </row>
    <row r="8248" ht="15" customHeight="1" s="104">
      <c r="H8248" s="198" t="n">
        <v>0</v>
      </c>
    </row>
    <row r="8249" ht="15" customHeight="1" s="104">
      <c r="H8249" s="198" t="n">
        <v>0</v>
      </c>
    </row>
    <row r="8250" ht="15" customHeight="1" s="104">
      <c r="H8250" s="198" t="n">
        <v>0</v>
      </c>
    </row>
    <row r="8251" ht="15" customHeight="1" s="104">
      <c r="H8251" s="198" t="n">
        <v>0</v>
      </c>
    </row>
    <row r="8252" ht="15" customHeight="1" s="104">
      <c r="H8252" s="198" t="n">
        <v>0</v>
      </c>
    </row>
    <row r="8253" ht="15" customHeight="1" s="104">
      <c r="H8253" s="198" t="n">
        <v>0</v>
      </c>
    </row>
    <row r="8254" ht="15" customHeight="1" s="104">
      <c r="H8254" s="198" t="n">
        <v>0</v>
      </c>
    </row>
    <row r="8255" ht="15" customHeight="1" s="104">
      <c r="H8255" s="198" t="n">
        <v>0</v>
      </c>
    </row>
    <row r="8256" ht="15" customHeight="1" s="104">
      <c r="H8256" s="198" t="n">
        <v>0</v>
      </c>
    </row>
    <row r="8257" ht="15" customHeight="1" s="104">
      <c r="H8257" s="198" t="n">
        <v>0</v>
      </c>
    </row>
    <row r="8258" ht="15" customHeight="1" s="104">
      <c r="H8258" s="198" t="n">
        <v>0</v>
      </c>
    </row>
    <row r="8259" ht="15" customHeight="1" s="104">
      <c r="H8259" s="198" t="n">
        <v>0</v>
      </c>
    </row>
    <row r="8260" ht="15" customHeight="1" s="104">
      <c r="H8260" s="198" t="n">
        <v>0</v>
      </c>
    </row>
    <row r="8261" ht="15" customHeight="1" s="104">
      <c r="H8261" s="198" t="n">
        <v>0</v>
      </c>
    </row>
    <row r="8262" ht="15" customHeight="1" s="104">
      <c r="H8262" s="198" t="n">
        <v>0</v>
      </c>
    </row>
    <row r="8263" ht="15" customHeight="1" s="104">
      <c r="H8263" s="198" t="n">
        <v>0</v>
      </c>
    </row>
    <row r="8264" ht="15" customHeight="1" s="104">
      <c r="H8264" s="198" t="n">
        <v>0</v>
      </c>
    </row>
    <row r="8265" ht="15" customHeight="1" s="104">
      <c r="H8265" s="198" t="n">
        <v>0</v>
      </c>
    </row>
    <row r="8266" ht="15" customHeight="1" s="104">
      <c r="H8266" s="198" t="n">
        <v>0</v>
      </c>
    </row>
    <row r="8267" ht="15" customHeight="1" s="104">
      <c r="H8267" s="198" t="n">
        <v>0</v>
      </c>
    </row>
    <row r="8268" ht="15" customHeight="1" s="104">
      <c r="H8268" s="198" t="n">
        <v>0</v>
      </c>
    </row>
    <row r="8269" ht="15" customHeight="1" s="104">
      <c r="H8269" s="198" t="n">
        <v>0</v>
      </c>
    </row>
    <row r="8270" ht="15" customHeight="1" s="104">
      <c r="H8270" s="198" t="n">
        <v>0</v>
      </c>
    </row>
    <row r="8271" ht="15" customHeight="1" s="104">
      <c r="H8271" s="198" t="n">
        <v>0</v>
      </c>
    </row>
    <row r="8272" ht="15" customHeight="1" s="104">
      <c r="H8272" s="198" t="n">
        <v>0</v>
      </c>
    </row>
    <row r="8273" ht="15" customHeight="1" s="104">
      <c r="H8273" s="198" t="n">
        <v>0</v>
      </c>
    </row>
    <row r="8274" ht="15" customHeight="1" s="104">
      <c r="H8274" s="198" t="n">
        <v>0</v>
      </c>
    </row>
    <row r="8275" ht="15" customHeight="1" s="104">
      <c r="H8275" s="198" t="n">
        <v>0</v>
      </c>
    </row>
    <row r="8276" ht="15" customHeight="1" s="104">
      <c r="H8276" s="198" t="n">
        <v>0</v>
      </c>
    </row>
    <row r="8277" ht="15" customHeight="1" s="104">
      <c r="H8277" s="198" t="n">
        <v>0</v>
      </c>
    </row>
    <row r="8278" ht="15" customHeight="1" s="104">
      <c r="H8278" s="198" t="n">
        <v>0</v>
      </c>
    </row>
    <row r="8279" ht="15" customHeight="1" s="104">
      <c r="H8279" s="198" t="n">
        <v>0</v>
      </c>
    </row>
    <row r="8280" ht="15" customHeight="1" s="104">
      <c r="H8280" s="198" t="n">
        <v>0</v>
      </c>
    </row>
    <row r="8281" ht="15" customHeight="1" s="104">
      <c r="H8281" s="198" t="n">
        <v>0</v>
      </c>
    </row>
    <row r="8282" ht="15" customHeight="1" s="104">
      <c r="H8282" s="198" t="n">
        <v>0</v>
      </c>
    </row>
    <row r="8283" ht="15" customHeight="1" s="104">
      <c r="H8283" s="198" t="n">
        <v>0</v>
      </c>
    </row>
    <row r="8284" ht="15" customHeight="1" s="104">
      <c r="H8284" s="198" t="n">
        <v>0</v>
      </c>
    </row>
    <row r="8285" ht="15" customHeight="1" s="104">
      <c r="H8285" s="198" t="n">
        <v>0</v>
      </c>
    </row>
    <row r="8286" ht="15" customHeight="1" s="104">
      <c r="H8286" s="198" t="n">
        <v>0</v>
      </c>
    </row>
    <row r="8287" ht="15" customHeight="1" s="104">
      <c r="H8287" s="198" t="n">
        <v>0</v>
      </c>
    </row>
    <row r="8288" ht="15" customHeight="1" s="104">
      <c r="H8288" s="198" t="n">
        <v>0</v>
      </c>
    </row>
    <row r="8289" ht="15" customHeight="1" s="104">
      <c r="H8289" s="198" t="n">
        <v>0</v>
      </c>
    </row>
    <row r="8290" ht="15" customHeight="1" s="104">
      <c r="H8290" s="198" t="n">
        <v>0</v>
      </c>
    </row>
    <row r="8291" ht="15" customHeight="1" s="104">
      <c r="H8291" s="198" t="n">
        <v>0</v>
      </c>
    </row>
    <row r="8292" ht="15" customHeight="1" s="104">
      <c r="H8292" s="198" t="n">
        <v>0</v>
      </c>
    </row>
    <row r="8293" ht="15" customHeight="1" s="104">
      <c r="H8293" s="198" t="n">
        <v>0</v>
      </c>
    </row>
    <row r="8294" ht="15" customHeight="1" s="104">
      <c r="H8294" s="198" t="n">
        <v>0</v>
      </c>
    </row>
    <row r="8295" ht="15" customHeight="1" s="104">
      <c r="H8295" s="198" t="n">
        <v>0</v>
      </c>
    </row>
    <row r="8296" ht="15" customHeight="1" s="104">
      <c r="H8296" s="198" t="n">
        <v>0</v>
      </c>
    </row>
    <row r="8297" ht="15" customHeight="1" s="104">
      <c r="H8297" s="198" t="n">
        <v>0</v>
      </c>
    </row>
    <row r="8298" ht="15" customHeight="1" s="104">
      <c r="H8298" s="198" t="n">
        <v>0</v>
      </c>
    </row>
    <row r="8299" ht="15" customHeight="1" s="104">
      <c r="H8299" s="198" t="n">
        <v>0</v>
      </c>
    </row>
    <row r="8300" ht="15" customHeight="1" s="104">
      <c r="H8300" s="198" t="n">
        <v>0</v>
      </c>
    </row>
    <row r="8301" ht="15" customHeight="1" s="104">
      <c r="H8301" s="198" t="n">
        <v>0</v>
      </c>
    </row>
    <row r="8302" ht="15" customHeight="1" s="104">
      <c r="H8302" s="198" t="n">
        <v>0</v>
      </c>
    </row>
    <row r="8303" ht="15" customHeight="1" s="104">
      <c r="H8303" s="198" t="n">
        <v>0</v>
      </c>
    </row>
    <row r="8304" ht="15" customHeight="1" s="104">
      <c r="H8304" s="198" t="n">
        <v>0</v>
      </c>
    </row>
    <row r="8305" ht="15" customHeight="1" s="104">
      <c r="H8305" s="198" t="n">
        <v>0</v>
      </c>
    </row>
    <row r="8306" ht="15" customHeight="1" s="104">
      <c r="H8306" s="198" t="n">
        <v>0</v>
      </c>
    </row>
    <row r="8307" ht="15" customHeight="1" s="104">
      <c r="H8307" s="198" t="n">
        <v>0</v>
      </c>
    </row>
    <row r="8308" ht="15" customHeight="1" s="104">
      <c r="H8308" s="198" t="n">
        <v>0</v>
      </c>
    </row>
    <row r="8309" ht="15" customHeight="1" s="104">
      <c r="H8309" s="198" t="n">
        <v>0</v>
      </c>
    </row>
    <row r="8310" ht="15" customHeight="1" s="104">
      <c r="H8310" s="198" t="n">
        <v>0</v>
      </c>
    </row>
    <row r="8311" ht="15" customHeight="1" s="104">
      <c r="H8311" s="198" t="n">
        <v>0</v>
      </c>
    </row>
    <row r="8312" ht="15" customHeight="1" s="104">
      <c r="H8312" s="198" t="n">
        <v>0</v>
      </c>
    </row>
    <row r="8313" ht="15" customHeight="1" s="104">
      <c r="H8313" s="198" t="n">
        <v>0</v>
      </c>
    </row>
    <row r="8314" ht="15" customHeight="1" s="104">
      <c r="H8314" s="198" t="n">
        <v>0</v>
      </c>
    </row>
    <row r="8315" ht="15" customHeight="1" s="104">
      <c r="H8315" s="198" t="n">
        <v>0</v>
      </c>
    </row>
    <row r="8316" ht="15" customHeight="1" s="104">
      <c r="H8316" s="198" t="n">
        <v>0</v>
      </c>
    </row>
    <row r="8317" ht="15" customHeight="1" s="104">
      <c r="H8317" s="198" t="n">
        <v>0</v>
      </c>
    </row>
    <row r="8318" ht="15" customHeight="1" s="104">
      <c r="H8318" s="198" t="n">
        <v>0</v>
      </c>
    </row>
    <row r="8319" ht="15" customHeight="1" s="104">
      <c r="H8319" s="198" t="n">
        <v>0</v>
      </c>
    </row>
    <row r="8320" ht="15" customHeight="1" s="104">
      <c r="H8320" s="198" t="n">
        <v>0</v>
      </c>
    </row>
    <row r="8321" ht="15" customHeight="1" s="104">
      <c r="H8321" s="198" t="n">
        <v>0</v>
      </c>
    </row>
    <row r="8322" ht="15" customHeight="1" s="104">
      <c r="H8322" s="198" t="n">
        <v>0</v>
      </c>
    </row>
    <row r="8323" ht="15" customHeight="1" s="104">
      <c r="H8323" s="198" t="n">
        <v>0</v>
      </c>
    </row>
    <row r="8324" ht="15" customHeight="1" s="104">
      <c r="H8324" s="198" t="n">
        <v>0</v>
      </c>
    </row>
    <row r="8325" ht="15" customHeight="1" s="104">
      <c r="H8325" s="198" t="n">
        <v>0</v>
      </c>
    </row>
    <row r="8326" ht="15" customHeight="1" s="104">
      <c r="H8326" s="198" t="n">
        <v>0</v>
      </c>
    </row>
    <row r="8327" ht="15" customHeight="1" s="104">
      <c r="H8327" s="198" t="n">
        <v>0</v>
      </c>
    </row>
    <row r="8328" ht="15" customHeight="1" s="104">
      <c r="H8328" s="198" t="n">
        <v>0</v>
      </c>
    </row>
    <row r="8329" ht="15" customHeight="1" s="104">
      <c r="H8329" s="198" t="n">
        <v>0</v>
      </c>
    </row>
    <row r="8330" ht="15" customHeight="1" s="104">
      <c r="H8330" s="198" t="n">
        <v>0</v>
      </c>
    </row>
    <row r="8331" ht="15" customHeight="1" s="104">
      <c r="H8331" s="198" t="n">
        <v>0</v>
      </c>
    </row>
    <row r="8332" ht="15" customHeight="1" s="104">
      <c r="H8332" s="198" t="n">
        <v>0</v>
      </c>
    </row>
    <row r="8333" ht="15" customHeight="1" s="104">
      <c r="H8333" s="198" t="n">
        <v>0</v>
      </c>
    </row>
    <row r="8334" ht="15" customHeight="1" s="104">
      <c r="H8334" s="198" t="n">
        <v>0</v>
      </c>
    </row>
    <row r="8335" ht="15" customHeight="1" s="104">
      <c r="H8335" s="198" t="n">
        <v>0</v>
      </c>
    </row>
    <row r="8336" ht="15" customHeight="1" s="104">
      <c r="H8336" s="198" t="n">
        <v>0</v>
      </c>
    </row>
    <row r="8337" ht="15" customHeight="1" s="104">
      <c r="H8337" s="198" t="n">
        <v>0</v>
      </c>
    </row>
    <row r="8338" ht="15" customHeight="1" s="104">
      <c r="H8338" s="198" t="n">
        <v>0</v>
      </c>
    </row>
    <row r="8339" ht="15" customHeight="1" s="104">
      <c r="H8339" s="198" t="n">
        <v>0</v>
      </c>
    </row>
    <row r="8340" ht="15" customHeight="1" s="104">
      <c r="H8340" s="198" t="n">
        <v>0</v>
      </c>
    </row>
    <row r="8341" ht="15" customHeight="1" s="104">
      <c r="H8341" s="198" t="n">
        <v>0</v>
      </c>
    </row>
    <row r="8342" ht="15" customHeight="1" s="104">
      <c r="H8342" s="198" t="n">
        <v>0</v>
      </c>
    </row>
    <row r="8343" ht="15" customHeight="1" s="104">
      <c r="H8343" s="198" t="n">
        <v>0</v>
      </c>
    </row>
    <row r="8344" ht="15" customHeight="1" s="104">
      <c r="H8344" s="198" t="n">
        <v>0</v>
      </c>
    </row>
    <row r="8345" ht="15" customHeight="1" s="104">
      <c r="H8345" s="198" t="n">
        <v>0</v>
      </c>
    </row>
    <row r="8346" ht="15" customHeight="1" s="104">
      <c r="H8346" s="198" t="n">
        <v>0</v>
      </c>
    </row>
    <row r="8347" ht="15" customHeight="1" s="104">
      <c r="H8347" s="198" t="n">
        <v>0</v>
      </c>
    </row>
    <row r="8348" ht="15" customHeight="1" s="104">
      <c r="H8348" s="198" t="n">
        <v>0</v>
      </c>
    </row>
    <row r="8349" ht="15" customHeight="1" s="104">
      <c r="H8349" s="198" t="n">
        <v>0</v>
      </c>
    </row>
    <row r="8350" ht="15" customHeight="1" s="104">
      <c r="H8350" s="198" t="n">
        <v>0</v>
      </c>
    </row>
    <row r="8351" ht="15" customHeight="1" s="104">
      <c r="H8351" s="198" t="n">
        <v>0</v>
      </c>
    </row>
    <row r="8352" ht="15" customHeight="1" s="104">
      <c r="H8352" s="198" t="n">
        <v>0</v>
      </c>
    </row>
    <row r="8353" ht="15" customHeight="1" s="104">
      <c r="H8353" s="198" t="n">
        <v>0</v>
      </c>
    </row>
    <row r="8354" ht="15" customHeight="1" s="104">
      <c r="H8354" s="198" t="n">
        <v>0</v>
      </c>
    </row>
    <row r="8355" ht="15" customHeight="1" s="104">
      <c r="H8355" s="198" t="n">
        <v>0</v>
      </c>
    </row>
    <row r="8356" ht="15" customHeight="1" s="104">
      <c r="H8356" s="198" t="n">
        <v>0</v>
      </c>
    </row>
    <row r="8357" ht="15" customHeight="1" s="104">
      <c r="H8357" s="198" t="n">
        <v>0</v>
      </c>
    </row>
    <row r="8358" ht="15" customHeight="1" s="104">
      <c r="H8358" s="198" t="n">
        <v>0</v>
      </c>
    </row>
    <row r="8359" ht="15" customHeight="1" s="104">
      <c r="H8359" s="198" t="n">
        <v>0</v>
      </c>
    </row>
    <row r="8360" ht="15" customHeight="1" s="104">
      <c r="H8360" s="198" t="n">
        <v>0</v>
      </c>
    </row>
    <row r="8361" ht="15" customHeight="1" s="104">
      <c r="H8361" s="198" t="n">
        <v>0</v>
      </c>
    </row>
    <row r="8362" ht="15" customHeight="1" s="104">
      <c r="H8362" s="198" t="n">
        <v>0</v>
      </c>
    </row>
    <row r="8363" ht="15" customHeight="1" s="104">
      <c r="H8363" s="198" t="n">
        <v>0</v>
      </c>
    </row>
    <row r="8364" ht="15" customHeight="1" s="104">
      <c r="H8364" s="198" t="n">
        <v>0</v>
      </c>
    </row>
    <row r="8365" ht="15" customHeight="1" s="104">
      <c r="H8365" s="198" t="n">
        <v>0</v>
      </c>
    </row>
    <row r="8366" ht="15" customHeight="1" s="104">
      <c r="H8366" s="198" t="n">
        <v>0</v>
      </c>
    </row>
    <row r="8367" ht="15" customHeight="1" s="104">
      <c r="H8367" s="198" t="n">
        <v>0</v>
      </c>
    </row>
    <row r="8368" ht="15" customHeight="1" s="104">
      <c r="H8368" s="198" t="n">
        <v>0</v>
      </c>
    </row>
    <row r="8369" ht="15" customHeight="1" s="104">
      <c r="H8369" s="198" t="n">
        <v>0</v>
      </c>
    </row>
    <row r="8370" ht="15" customHeight="1" s="104">
      <c r="H8370" s="198" t="n">
        <v>0</v>
      </c>
    </row>
    <row r="8371" ht="15" customHeight="1" s="104">
      <c r="H8371" s="198" t="n">
        <v>0</v>
      </c>
    </row>
    <row r="8372" ht="15" customHeight="1" s="104">
      <c r="H8372" s="198" t="n">
        <v>0</v>
      </c>
    </row>
    <row r="8373" ht="15" customHeight="1" s="104">
      <c r="H8373" s="198" t="n">
        <v>0</v>
      </c>
    </row>
    <row r="8374" ht="15" customHeight="1" s="104">
      <c r="H8374" s="198" t="n">
        <v>0</v>
      </c>
    </row>
    <row r="8375" ht="15" customHeight="1" s="104">
      <c r="H8375" s="198" t="n">
        <v>0</v>
      </c>
    </row>
    <row r="8376" ht="15" customHeight="1" s="104">
      <c r="H8376" s="198" t="n">
        <v>0</v>
      </c>
    </row>
    <row r="8377" ht="15" customHeight="1" s="104">
      <c r="H8377" s="198" t="n">
        <v>0</v>
      </c>
    </row>
    <row r="8378" ht="15" customHeight="1" s="104">
      <c r="H8378" s="198" t="n">
        <v>0</v>
      </c>
    </row>
    <row r="8379" ht="15" customHeight="1" s="104">
      <c r="H8379" s="198" t="n">
        <v>0</v>
      </c>
    </row>
    <row r="8380" ht="15" customHeight="1" s="104">
      <c r="H8380" s="198" t="n">
        <v>0</v>
      </c>
    </row>
    <row r="8381" ht="15" customHeight="1" s="104">
      <c r="H8381" s="198" t="n">
        <v>0</v>
      </c>
    </row>
    <row r="8382" ht="15" customHeight="1" s="104">
      <c r="H8382" s="198" t="n">
        <v>0</v>
      </c>
    </row>
    <row r="8383" ht="15" customHeight="1" s="104">
      <c r="H8383" s="198" t="n">
        <v>0</v>
      </c>
    </row>
    <row r="8384" ht="15" customHeight="1" s="104">
      <c r="H8384" s="198" t="n">
        <v>0</v>
      </c>
    </row>
    <row r="8385" ht="15" customHeight="1" s="104">
      <c r="H8385" s="198" t="n">
        <v>0</v>
      </c>
    </row>
    <row r="8386" ht="15" customHeight="1" s="104">
      <c r="H8386" s="198" t="n">
        <v>0</v>
      </c>
    </row>
    <row r="8387" ht="15" customHeight="1" s="104">
      <c r="H8387" s="198" t="n">
        <v>0</v>
      </c>
    </row>
    <row r="8388" ht="15" customHeight="1" s="104">
      <c r="H8388" s="198" t="n">
        <v>0</v>
      </c>
    </row>
    <row r="8389" ht="15" customHeight="1" s="104">
      <c r="H8389" s="198" t="n">
        <v>0</v>
      </c>
    </row>
    <row r="8390" ht="15" customHeight="1" s="104">
      <c r="H8390" s="198" t="n">
        <v>0</v>
      </c>
    </row>
    <row r="8391" ht="15" customHeight="1" s="104">
      <c r="H8391" s="198" t="n">
        <v>0</v>
      </c>
    </row>
    <row r="8392" ht="15" customHeight="1" s="104">
      <c r="H8392" s="198" t="n">
        <v>0</v>
      </c>
    </row>
    <row r="8393" ht="15" customHeight="1" s="104">
      <c r="H8393" s="198" t="n">
        <v>0</v>
      </c>
    </row>
    <row r="8394" ht="15" customHeight="1" s="104">
      <c r="H8394" s="198" t="n">
        <v>0</v>
      </c>
    </row>
    <row r="8395" ht="15" customHeight="1" s="104">
      <c r="H8395" s="198" t="n">
        <v>0</v>
      </c>
    </row>
    <row r="8396" ht="15" customHeight="1" s="104">
      <c r="H8396" s="198" t="n">
        <v>0</v>
      </c>
    </row>
    <row r="8397" ht="15" customHeight="1" s="104">
      <c r="H8397" s="198" t="n">
        <v>0</v>
      </c>
    </row>
    <row r="8398" ht="15" customHeight="1" s="104">
      <c r="H8398" s="198" t="n">
        <v>0</v>
      </c>
    </row>
    <row r="8399" ht="15" customHeight="1" s="104">
      <c r="H8399" s="198" t="n">
        <v>0</v>
      </c>
    </row>
    <row r="8400" ht="15" customHeight="1" s="104">
      <c r="H8400" s="198" t="n">
        <v>0</v>
      </c>
    </row>
    <row r="8401" ht="15" customHeight="1" s="104">
      <c r="H8401" s="198" t="n">
        <v>0</v>
      </c>
    </row>
    <row r="8402" ht="15" customHeight="1" s="104">
      <c r="H8402" s="198" t="n">
        <v>0</v>
      </c>
    </row>
    <row r="8403" ht="15" customHeight="1" s="104">
      <c r="H8403" s="198" t="n">
        <v>0</v>
      </c>
    </row>
    <row r="8404" ht="15" customHeight="1" s="104">
      <c r="H8404" s="198" t="n">
        <v>0</v>
      </c>
    </row>
    <row r="8405" ht="15" customHeight="1" s="104">
      <c r="H8405" s="198" t="n">
        <v>0</v>
      </c>
    </row>
    <row r="8406" ht="15" customHeight="1" s="104">
      <c r="H8406" s="198" t="n">
        <v>0</v>
      </c>
    </row>
    <row r="8407" ht="15" customHeight="1" s="104">
      <c r="H8407" s="198" t="n">
        <v>0</v>
      </c>
    </row>
    <row r="8408" ht="15" customHeight="1" s="104">
      <c r="H8408" s="198" t="n">
        <v>0</v>
      </c>
    </row>
    <row r="8409" ht="15" customHeight="1" s="104">
      <c r="H8409" s="198" t="n">
        <v>0</v>
      </c>
    </row>
    <row r="8410" ht="15" customHeight="1" s="104">
      <c r="H8410" s="198" t="n">
        <v>0</v>
      </c>
    </row>
    <row r="8411" ht="15" customHeight="1" s="104">
      <c r="H8411" s="198" t="n">
        <v>0</v>
      </c>
    </row>
    <row r="8412" ht="15" customHeight="1" s="104">
      <c r="H8412" s="198" t="n">
        <v>0</v>
      </c>
    </row>
    <row r="8413" ht="15" customHeight="1" s="104">
      <c r="H8413" s="198" t="n">
        <v>0</v>
      </c>
    </row>
    <row r="8414" ht="15" customHeight="1" s="104">
      <c r="H8414" s="198" t="n">
        <v>0</v>
      </c>
    </row>
    <row r="8415" ht="15" customHeight="1" s="104">
      <c r="H8415" s="198" t="n">
        <v>0</v>
      </c>
    </row>
    <row r="8416" ht="15" customHeight="1" s="104">
      <c r="H8416" s="198" t="n">
        <v>0</v>
      </c>
    </row>
    <row r="8417" ht="15" customHeight="1" s="104">
      <c r="H8417" s="198" t="n">
        <v>0</v>
      </c>
    </row>
    <row r="8418" ht="15" customHeight="1" s="104">
      <c r="H8418" s="198" t="n">
        <v>0</v>
      </c>
    </row>
    <row r="8419" ht="15" customHeight="1" s="104">
      <c r="H8419" s="198" t="n">
        <v>0</v>
      </c>
    </row>
    <row r="8420" ht="15" customHeight="1" s="104">
      <c r="H8420" s="198" t="n">
        <v>0</v>
      </c>
    </row>
    <row r="8421" ht="15" customHeight="1" s="104">
      <c r="H8421" s="198" t="n">
        <v>0</v>
      </c>
    </row>
    <row r="8422" ht="15" customHeight="1" s="104">
      <c r="H8422" s="198" t="n">
        <v>0</v>
      </c>
    </row>
    <row r="8423" ht="15" customHeight="1" s="104">
      <c r="H8423" s="198" t="n">
        <v>0</v>
      </c>
    </row>
    <row r="8424" ht="15" customHeight="1" s="104">
      <c r="H8424" s="198" t="n">
        <v>0</v>
      </c>
    </row>
    <row r="8425" ht="15" customHeight="1" s="104">
      <c r="H8425" s="198" t="n">
        <v>0</v>
      </c>
    </row>
    <row r="8426" ht="15" customHeight="1" s="104">
      <c r="H8426" s="198" t="n">
        <v>0</v>
      </c>
    </row>
    <row r="8427" ht="15" customHeight="1" s="104">
      <c r="H8427" s="198" t="n">
        <v>0</v>
      </c>
    </row>
    <row r="8428" ht="15" customHeight="1" s="104">
      <c r="H8428" s="198" t="n">
        <v>0</v>
      </c>
    </row>
    <row r="8429" ht="15" customHeight="1" s="104">
      <c r="H8429" s="198" t="n">
        <v>0</v>
      </c>
    </row>
    <row r="8430" ht="15" customHeight="1" s="104">
      <c r="H8430" s="198" t="n">
        <v>0</v>
      </c>
    </row>
    <row r="8431" ht="15" customHeight="1" s="104">
      <c r="H8431" s="198" t="n">
        <v>0</v>
      </c>
    </row>
    <row r="8432" ht="15" customHeight="1" s="104">
      <c r="H8432" s="198" t="n">
        <v>0</v>
      </c>
    </row>
    <row r="8433" ht="15" customHeight="1" s="104">
      <c r="H8433" s="198" t="n">
        <v>0</v>
      </c>
    </row>
    <row r="8434" ht="15" customHeight="1" s="104">
      <c r="H8434" s="198" t="n">
        <v>0</v>
      </c>
    </row>
    <row r="8435" ht="15" customHeight="1" s="104">
      <c r="H8435" s="198" t="n">
        <v>0</v>
      </c>
    </row>
    <row r="8436" ht="15" customHeight="1" s="104">
      <c r="H8436" s="198" t="n">
        <v>0</v>
      </c>
    </row>
    <row r="8437" ht="15" customHeight="1" s="104">
      <c r="H8437" s="198" t="n">
        <v>0</v>
      </c>
    </row>
    <row r="8438" ht="15" customHeight="1" s="104">
      <c r="H8438" s="198" t="n">
        <v>0</v>
      </c>
    </row>
    <row r="8439" ht="15" customHeight="1" s="104">
      <c r="H8439" s="198" t="n">
        <v>0</v>
      </c>
    </row>
    <row r="8440" ht="15" customHeight="1" s="104">
      <c r="H8440" s="198" t="n">
        <v>0</v>
      </c>
    </row>
    <row r="8441" ht="15" customHeight="1" s="104">
      <c r="H8441" s="198" t="n">
        <v>0</v>
      </c>
    </row>
    <row r="8442" ht="15" customHeight="1" s="104">
      <c r="H8442" s="198" t="n">
        <v>0</v>
      </c>
    </row>
    <row r="8443" ht="15" customHeight="1" s="104">
      <c r="H8443" s="198" t="n">
        <v>0</v>
      </c>
    </row>
    <row r="8444" ht="15" customHeight="1" s="104">
      <c r="H8444" s="198" t="n">
        <v>0</v>
      </c>
    </row>
    <row r="8445" ht="15" customHeight="1" s="104">
      <c r="H8445" s="198" t="n">
        <v>0</v>
      </c>
    </row>
    <row r="8446" ht="15" customHeight="1" s="104">
      <c r="H8446" s="198" t="n">
        <v>0</v>
      </c>
    </row>
    <row r="8447" ht="15" customHeight="1" s="104">
      <c r="H8447" s="198" t="n">
        <v>0</v>
      </c>
    </row>
    <row r="8448" ht="15" customHeight="1" s="104">
      <c r="H8448" s="198" t="n">
        <v>0</v>
      </c>
    </row>
    <row r="8449" ht="15" customHeight="1" s="104">
      <c r="H8449" s="198" t="n">
        <v>0</v>
      </c>
    </row>
    <row r="8450" ht="15" customHeight="1" s="104">
      <c r="H8450" s="198" t="n">
        <v>0</v>
      </c>
    </row>
    <row r="8451" ht="15" customHeight="1" s="104">
      <c r="H8451" s="198" t="n">
        <v>0</v>
      </c>
    </row>
    <row r="8452" ht="15" customHeight="1" s="104">
      <c r="H8452" s="198" t="n">
        <v>0</v>
      </c>
    </row>
    <row r="8453" ht="15" customHeight="1" s="104">
      <c r="H8453" s="198" t="n">
        <v>0</v>
      </c>
    </row>
    <row r="8454" ht="15" customHeight="1" s="104">
      <c r="H8454" s="198" t="n">
        <v>0</v>
      </c>
    </row>
    <row r="8455" ht="15" customHeight="1" s="104">
      <c r="H8455" s="198" t="n">
        <v>0</v>
      </c>
    </row>
    <row r="8456" ht="15" customHeight="1" s="104">
      <c r="H8456" s="198" t="n">
        <v>0</v>
      </c>
    </row>
    <row r="8457" ht="15" customHeight="1" s="104">
      <c r="H8457" s="198" t="n">
        <v>0</v>
      </c>
    </row>
    <row r="8458" ht="15" customHeight="1" s="104">
      <c r="H8458" s="198" t="n">
        <v>0</v>
      </c>
    </row>
    <row r="8459" ht="15" customHeight="1" s="104">
      <c r="H8459" s="198" t="n">
        <v>0</v>
      </c>
    </row>
    <row r="8460" ht="15" customHeight="1" s="104">
      <c r="H8460" s="198" t="n">
        <v>0</v>
      </c>
    </row>
    <row r="8461" ht="15" customHeight="1" s="104">
      <c r="H8461" s="198" t="n">
        <v>0</v>
      </c>
    </row>
    <row r="8462" ht="15" customHeight="1" s="104">
      <c r="H8462" s="198" t="n">
        <v>0</v>
      </c>
    </row>
    <row r="8463" ht="15" customHeight="1" s="104">
      <c r="H8463" s="198" t="n">
        <v>0</v>
      </c>
    </row>
    <row r="8464" ht="15" customHeight="1" s="104">
      <c r="H8464" s="198" t="n">
        <v>0</v>
      </c>
    </row>
    <row r="8465" ht="15" customHeight="1" s="104">
      <c r="H8465" s="198" t="n">
        <v>0</v>
      </c>
    </row>
    <row r="8466" ht="15" customHeight="1" s="104">
      <c r="H8466" s="198" t="n">
        <v>0</v>
      </c>
    </row>
    <row r="8467" ht="15" customHeight="1" s="104">
      <c r="H8467" s="198" t="n">
        <v>0</v>
      </c>
    </row>
    <row r="8468" ht="15" customHeight="1" s="104">
      <c r="H8468" s="198" t="n">
        <v>0</v>
      </c>
    </row>
    <row r="8469" ht="15" customHeight="1" s="104">
      <c r="H8469" s="198" t="n">
        <v>0</v>
      </c>
    </row>
    <row r="8470" ht="15" customHeight="1" s="104">
      <c r="H8470" s="198" t="n">
        <v>0</v>
      </c>
    </row>
    <row r="8471" ht="15" customHeight="1" s="104">
      <c r="H8471" s="198" t="n">
        <v>0</v>
      </c>
    </row>
    <row r="8472" ht="15" customHeight="1" s="104">
      <c r="H8472" s="198" t="n">
        <v>0</v>
      </c>
    </row>
    <row r="8473" ht="15" customHeight="1" s="104">
      <c r="H8473" s="198" t="n">
        <v>0</v>
      </c>
    </row>
    <row r="8474" ht="15" customHeight="1" s="104">
      <c r="H8474" s="198" t="n">
        <v>0</v>
      </c>
    </row>
    <row r="8475" ht="15" customHeight="1" s="104">
      <c r="H8475" s="198" t="n">
        <v>0</v>
      </c>
    </row>
    <row r="8476" ht="15" customHeight="1" s="104">
      <c r="H8476" s="198" t="n">
        <v>0</v>
      </c>
    </row>
    <row r="8477" ht="15" customHeight="1" s="104">
      <c r="H8477" s="198" t="n">
        <v>0</v>
      </c>
    </row>
    <row r="8478" ht="15" customHeight="1" s="104">
      <c r="H8478" s="198" t="n">
        <v>0</v>
      </c>
    </row>
    <row r="8479" ht="15" customHeight="1" s="104">
      <c r="H8479" s="198" t="n">
        <v>0</v>
      </c>
    </row>
    <row r="8480" ht="15" customHeight="1" s="104">
      <c r="H8480" s="198" t="n">
        <v>0</v>
      </c>
    </row>
    <row r="8481" ht="15" customHeight="1" s="104">
      <c r="H8481" s="198" t="n">
        <v>0</v>
      </c>
    </row>
    <row r="8482" ht="15" customHeight="1" s="104">
      <c r="H8482" s="198" t="n">
        <v>0</v>
      </c>
    </row>
    <row r="8483" ht="15" customHeight="1" s="104">
      <c r="H8483" s="198" t="n">
        <v>0</v>
      </c>
    </row>
    <row r="8484" ht="15" customHeight="1" s="104">
      <c r="H8484" s="198" t="n">
        <v>0</v>
      </c>
    </row>
    <row r="8485" ht="15" customHeight="1" s="104">
      <c r="H8485" s="198" t="n">
        <v>0</v>
      </c>
    </row>
    <row r="8486" ht="15" customHeight="1" s="104">
      <c r="H8486" s="198" t="n">
        <v>0</v>
      </c>
    </row>
    <row r="8487" ht="15" customHeight="1" s="104">
      <c r="H8487" s="198" t="n">
        <v>0</v>
      </c>
    </row>
    <row r="8488" ht="15" customHeight="1" s="104">
      <c r="H8488" s="198" t="n">
        <v>0</v>
      </c>
    </row>
    <row r="8489" ht="15" customHeight="1" s="104">
      <c r="H8489" s="198" t="n">
        <v>0</v>
      </c>
    </row>
    <row r="8490" ht="15" customHeight="1" s="104">
      <c r="H8490" s="198" t="n">
        <v>0</v>
      </c>
    </row>
    <row r="8491" ht="15" customHeight="1" s="104">
      <c r="H8491" s="198" t="n">
        <v>0</v>
      </c>
    </row>
    <row r="8492" ht="15" customHeight="1" s="104">
      <c r="H8492" s="198" t="n">
        <v>0</v>
      </c>
    </row>
    <row r="8493" ht="15" customHeight="1" s="104">
      <c r="H8493" s="198" t="n">
        <v>0</v>
      </c>
    </row>
    <row r="8494" ht="15" customHeight="1" s="104">
      <c r="H8494" s="198" t="n">
        <v>0</v>
      </c>
    </row>
    <row r="8495" ht="15" customHeight="1" s="104">
      <c r="H8495" s="198" t="n">
        <v>0</v>
      </c>
    </row>
    <row r="8496" ht="15" customHeight="1" s="104">
      <c r="H8496" s="198" t="n">
        <v>0</v>
      </c>
    </row>
    <row r="8497" ht="15" customHeight="1" s="104">
      <c r="H8497" s="198" t="n">
        <v>0</v>
      </c>
    </row>
    <row r="8498" ht="15" customHeight="1" s="104">
      <c r="H8498" s="198" t="n">
        <v>0</v>
      </c>
    </row>
    <row r="8499" ht="15" customHeight="1" s="104">
      <c r="H8499" s="198" t="n">
        <v>0</v>
      </c>
    </row>
    <row r="8500" ht="15" customHeight="1" s="104">
      <c r="H8500" s="198" t="n">
        <v>0</v>
      </c>
    </row>
    <row r="8501" ht="15" customHeight="1" s="104">
      <c r="H8501" s="198" t="n">
        <v>0</v>
      </c>
    </row>
    <row r="8502" ht="15" customHeight="1" s="104">
      <c r="H8502" s="198" t="n">
        <v>0</v>
      </c>
    </row>
    <row r="8503" ht="15" customHeight="1" s="104">
      <c r="H8503" s="198" t="n">
        <v>0</v>
      </c>
    </row>
    <row r="8504" ht="15" customHeight="1" s="104">
      <c r="H8504" s="198" t="n">
        <v>0</v>
      </c>
    </row>
    <row r="8505" ht="15" customHeight="1" s="104">
      <c r="H8505" s="198" t="n">
        <v>0</v>
      </c>
    </row>
    <row r="8506" ht="15" customHeight="1" s="104">
      <c r="H8506" s="198" t="n">
        <v>0</v>
      </c>
    </row>
    <row r="8507" ht="15" customHeight="1" s="104">
      <c r="H8507" s="198" t="n">
        <v>0</v>
      </c>
    </row>
    <row r="8508" ht="15" customHeight="1" s="104">
      <c r="H8508" s="198" t="n">
        <v>0</v>
      </c>
    </row>
    <row r="8509" ht="15" customHeight="1" s="104">
      <c r="H8509" s="198" t="n">
        <v>0</v>
      </c>
    </row>
    <row r="8510" ht="15" customHeight="1" s="104">
      <c r="H8510" s="198" t="n">
        <v>0</v>
      </c>
    </row>
    <row r="8511" ht="15" customHeight="1" s="104">
      <c r="H8511" s="198" t="n">
        <v>0</v>
      </c>
    </row>
    <row r="8512" ht="15" customHeight="1" s="104">
      <c r="H8512" s="198" t="n">
        <v>0</v>
      </c>
    </row>
    <row r="8513" ht="15" customHeight="1" s="104">
      <c r="H8513" s="198" t="n">
        <v>0</v>
      </c>
    </row>
    <row r="8514" ht="15" customHeight="1" s="104">
      <c r="H8514" s="198" t="n">
        <v>0</v>
      </c>
    </row>
    <row r="8515" ht="15" customHeight="1" s="104">
      <c r="H8515" s="198" t="n">
        <v>0</v>
      </c>
    </row>
    <row r="8516" ht="15" customHeight="1" s="104">
      <c r="H8516" s="198" t="n">
        <v>0</v>
      </c>
    </row>
    <row r="8517" ht="15" customHeight="1" s="104">
      <c r="H8517" s="198" t="n">
        <v>0</v>
      </c>
    </row>
    <row r="8518" ht="15" customHeight="1" s="104">
      <c r="H8518" s="198" t="n">
        <v>0</v>
      </c>
    </row>
    <row r="8519" ht="15" customHeight="1" s="104">
      <c r="H8519" s="198" t="n">
        <v>0</v>
      </c>
    </row>
    <row r="8520" ht="15" customHeight="1" s="104">
      <c r="H8520" s="198" t="n">
        <v>0</v>
      </c>
    </row>
    <row r="8521" ht="15" customHeight="1" s="104">
      <c r="H8521" s="198" t="n">
        <v>0</v>
      </c>
    </row>
    <row r="8522" ht="15" customHeight="1" s="104">
      <c r="H8522" s="198" t="n">
        <v>0</v>
      </c>
    </row>
    <row r="8523" ht="15" customHeight="1" s="104">
      <c r="H8523" s="198" t="n">
        <v>0</v>
      </c>
    </row>
    <row r="8524" ht="15" customHeight="1" s="104">
      <c r="H8524" s="198" t="n">
        <v>0</v>
      </c>
    </row>
    <row r="8525" ht="15" customHeight="1" s="104">
      <c r="H8525" s="198" t="n">
        <v>0</v>
      </c>
    </row>
    <row r="8526" ht="15" customHeight="1" s="104">
      <c r="H8526" s="198" t="n">
        <v>0</v>
      </c>
    </row>
    <row r="8527" ht="15" customHeight="1" s="104">
      <c r="H8527" s="198" t="n">
        <v>0</v>
      </c>
    </row>
    <row r="8528" ht="15" customHeight="1" s="104">
      <c r="H8528" s="198" t="n">
        <v>0</v>
      </c>
    </row>
    <row r="8529" ht="15" customHeight="1" s="104">
      <c r="H8529" s="198" t="n">
        <v>0</v>
      </c>
    </row>
    <row r="8530" ht="15" customHeight="1" s="104">
      <c r="H8530" s="198" t="n">
        <v>0</v>
      </c>
    </row>
    <row r="8531" ht="15" customHeight="1" s="104">
      <c r="H8531" s="198" t="n">
        <v>0</v>
      </c>
    </row>
    <row r="8532" ht="15" customHeight="1" s="104">
      <c r="H8532" s="198" t="n">
        <v>0</v>
      </c>
    </row>
    <row r="8533" ht="15" customHeight="1" s="104">
      <c r="H8533" s="198" t="n">
        <v>0</v>
      </c>
    </row>
    <row r="8534" ht="15" customHeight="1" s="104">
      <c r="H8534" s="198" t="n">
        <v>0</v>
      </c>
    </row>
    <row r="8535" ht="15" customHeight="1" s="104">
      <c r="H8535" s="198" t="n">
        <v>0</v>
      </c>
    </row>
    <row r="8536" ht="15" customHeight="1" s="104">
      <c r="H8536" s="198" t="n">
        <v>0</v>
      </c>
    </row>
    <row r="8537" ht="15" customHeight="1" s="104">
      <c r="H8537" s="198" t="n">
        <v>0</v>
      </c>
    </row>
    <row r="8538" ht="15" customHeight="1" s="104">
      <c r="H8538" s="198" t="n">
        <v>0</v>
      </c>
    </row>
    <row r="8539" ht="15" customHeight="1" s="104">
      <c r="H8539" s="198" t="n">
        <v>0</v>
      </c>
    </row>
    <row r="8540" ht="15" customHeight="1" s="104">
      <c r="H8540" s="198" t="n">
        <v>0</v>
      </c>
    </row>
    <row r="8541" ht="15" customHeight="1" s="104">
      <c r="H8541" s="198" t="n">
        <v>0</v>
      </c>
    </row>
    <row r="8542" ht="15" customHeight="1" s="104">
      <c r="H8542" s="198" t="n">
        <v>0</v>
      </c>
    </row>
    <row r="8543" ht="15" customHeight="1" s="104">
      <c r="H8543" s="198" t="n">
        <v>0</v>
      </c>
    </row>
    <row r="8544" ht="15" customHeight="1" s="104">
      <c r="H8544" s="198" t="n">
        <v>0</v>
      </c>
    </row>
    <row r="8545" ht="15" customHeight="1" s="104">
      <c r="H8545" s="198" t="n">
        <v>0</v>
      </c>
    </row>
    <row r="8546" ht="15" customHeight="1" s="104">
      <c r="H8546" s="198" t="n">
        <v>0</v>
      </c>
    </row>
    <row r="8547" ht="15" customHeight="1" s="104">
      <c r="H8547" s="198" t="n">
        <v>0</v>
      </c>
    </row>
    <row r="8548" ht="15" customHeight="1" s="104">
      <c r="H8548" s="198" t="n">
        <v>0</v>
      </c>
    </row>
    <row r="8549" ht="15" customHeight="1" s="104">
      <c r="H8549" s="198" t="n">
        <v>0</v>
      </c>
    </row>
    <row r="8550" ht="15" customHeight="1" s="104">
      <c r="H8550" s="198" t="n">
        <v>0</v>
      </c>
    </row>
    <row r="8551" ht="15" customHeight="1" s="104">
      <c r="H8551" s="198" t="n">
        <v>0</v>
      </c>
    </row>
    <row r="8552" ht="15" customHeight="1" s="104">
      <c r="H8552" s="198" t="n">
        <v>0</v>
      </c>
    </row>
    <row r="8553" ht="15" customHeight="1" s="104">
      <c r="H8553" s="198" t="n">
        <v>0</v>
      </c>
    </row>
    <row r="8554" ht="15" customHeight="1" s="104">
      <c r="H8554" s="198" t="n">
        <v>0</v>
      </c>
    </row>
    <row r="8555" ht="15" customHeight="1" s="104">
      <c r="H8555" s="198" t="n">
        <v>0</v>
      </c>
    </row>
    <row r="8556" ht="15" customHeight="1" s="104">
      <c r="H8556" s="198" t="n">
        <v>0</v>
      </c>
    </row>
    <row r="8557" ht="15" customHeight="1" s="104">
      <c r="H8557" s="198" t="n">
        <v>0</v>
      </c>
    </row>
    <row r="8558" ht="15" customHeight="1" s="104">
      <c r="H8558" s="198" t="n">
        <v>0</v>
      </c>
    </row>
    <row r="8559" ht="15" customHeight="1" s="104">
      <c r="H8559" s="198" t="n">
        <v>0</v>
      </c>
    </row>
    <row r="8560" ht="15" customHeight="1" s="104">
      <c r="H8560" s="198" t="n">
        <v>0</v>
      </c>
    </row>
    <row r="8561" ht="15" customHeight="1" s="104">
      <c r="H8561" s="198" t="n">
        <v>0</v>
      </c>
    </row>
    <row r="8562" ht="15" customHeight="1" s="104">
      <c r="H8562" s="198" t="n">
        <v>0</v>
      </c>
    </row>
    <row r="8563" ht="15" customHeight="1" s="104">
      <c r="H8563" s="198" t="n">
        <v>0</v>
      </c>
    </row>
    <row r="8564" ht="15" customHeight="1" s="104">
      <c r="H8564" s="198" t="n">
        <v>0</v>
      </c>
    </row>
    <row r="8565" ht="15" customHeight="1" s="104">
      <c r="H8565" s="198" t="n">
        <v>0</v>
      </c>
    </row>
    <row r="8566" ht="15" customHeight="1" s="104">
      <c r="H8566" s="198" t="n">
        <v>0</v>
      </c>
    </row>
    <row r="8567" ht="15" customHeight="1" s="104">
      <c r="H8567" s="198" t="n">
        <v>0</v>
      </c>
    </row>
    <row r="8568" ht="15" customHeight="1" s="104">
      <c r="H8568" s="198" t="n">
        <v>0</v>
      </c>
    </row>
    <row r="8569" ht="15" customHeight="1" s="104">
      <c r="H8569" s="198" t="n">
        <v>0</v>
      </c>
    </row>
    <row r="8570" ht="15" customHeight="1" s="104">
      <c r="H8570" s="198" t="n">
        <v>0</v>
      </c>
    </row>
    <row r="8571" ht="15" customHeight="1" s="104">
      <c r="H8571" s="198" t="n">
        <v>0</v>
      </c>
    </row>
    <row r="8572" ht="15" customHeight="1" s="104">
      <c r="H8572" s="198" t="n">
        <v>0</v>
      </c>
    </row>
    <row r="8573" ht="15" customHeight="1" s="104">
      <c r="H8573" s="198" t="n">
        <v>0</v>
      </c>
    </row>
    <row r="8574" ht="15" customHeight="1" s="104">
      <c r="H8574" s="198" t="n">
        <v>0</v>
      </c>
    </row>
    <row r="8575" ht="15" customHeight="1" s="104">
      <c r="H8575" s="198" t="n">
        <v>0</v>
      </c>
    </row>
    <row r="8576" ht="15" customHeight="1" s="104">
      <c r="H8576" s="198" t="n">
        <v>0</v>
      </c>
    </row>
    <row r="8577" ht="15" customHeight="1" s="104">
      <c r="H8577" s="198" t="n">
        <v>0</v>
      </c>
    </row>
    <row r="8578" ht="15" customHeight="1" s="104">
      <c r="H8578" s="198" t="n">
        <v>0</v>
      </c>
    </row>
    <row r="8579" ht="15" customHeight="1" s="104">
      <c r="H8579" s="198" t="n">
        <v>0</v>
      </c>
    </row>
    <row r="8580" ht="15" customHeight="1" s="104">
      <c r="H8580" s="198" t="n">
        <v>0</v>
      </c>
    </row>
    <row r="8581" ht="15" customHeight="1" s="104">
      <c r="H8581" s="198" t="n">
        <v>0</v>
      </c>
    </row>
    <row r="8582" ht="15" customHeight="1" s="104">
      <c r="H8582" s="198" t="n">
        <v>0</v>
      </c>
    </row>
    <row r="8583" ht="15" customHeight="1" s="104">
      <c r="H8583" s="198" t="n">
        <v>0</v>
      </c>
    </row>
    <row r="8584" ht="15" customHeight="1" s="104">
      <c r="H8584" s="198" t="n">
        <v>0</v>
      </c>
    </row>
    <row r="8585" ht="15" customHeight="1" s="104">
      <c r="H8585" s="198" t="n">
        <v>0</v>
      </c>
    </row>
    <row r="8586" ht="15" customHeight="1" s="104">
      <c r="H8586" s="198" t="n">
        <v>0</v>
      </c>
    </row>
    <row r="8587" ht="15" customHeight="1" s="104">
      <c r="H8587" s="198" t="n">
        <v>0</v>
      </c>
    </row>
    <row r="8588" ht="15" customHeight="1" s="104">
      <c r="H8588" s="198" t="n">
        <v>0</v>
      </c>
    </row>
    <row r="8589" ht="15" customHeight="1" s="104">
      <c r="H8589" s="198" t="n">
        <v>0</v>
      </c>
    </row>
    <row r="8590" ht="15" customHeight="1" s="104">
      <c r="H8590" s="198" t="n">
        <v>0</v>
      </c>
    </row>
    <row r="8591" ht="15" customHeight="1" s="104">
      <c r="H8591" s="198" t="n">
        <v>0</v>
      </c>
    </row>
    <row r="8592" ht="15" customHeight="1" s="104">
      <c r="H8592" s="198" t="n">
        <v>0</v>
      </c>
    </row>
    <row r="8593" ht="15" customHeight="1" s="104">
      <c r="H8593" s="198" t="n">
        <v>0</v>
      </c>
    </row>
    <row r="8594" ht="15" customHeight="1" s="104">
      <c r="H8594" s="198" t="n">
        <v>0</v>
      </c>
    </row>
    <row r="8595" ht="15" customHeight="1" s="104">
      <c r="H8595" s="198" t="n">
        <v>0</v>
      </c>
    </row>
    <row r="8596" ht="15" customHeight="1" s="104">
      <c r="H8596" s="198" t="n">
        <v>0</v>
      </c>
    </row>
    <row r="8597" ht="15" customHeight="1" s="104">
      <c r="H8597" s="198" t="n">
        <v>0</v>
      </c>
    </row>
    <row r="8598" ht="15" customHeight="1" s="104">
      <c r="H8598" s="198" t="n">
        <v>0</v>
      </c>
    </row>
    <row r="8599" ht="15" customHeight="1" s="104">
      <c r="H8599" s="198" t="n">
        <v>0</v>
      </c>
    </row>
    <row r="8600" ht="15" customHeight="1" s="104">
      <c r="H8600" s="198" t="n">
        <v>0</v>
      </c>
    </row>
    <row r="8601" ht="15" customHeight="1" s="104">
      <c r="H8601" s="198" t="n">
        <v>0</v>
      </c>
    </row>
    <row r="8602" ht="15" customHeight="1" s="104">
      <c r="H8602" s="198" t="n">
        <v>0</v>
      </c>
    </row>
    <row r="8603" ht="15" customHeight="1" s="104">
      <c r="H8603" s="198" t="n">
        <v>0</v>
      </c>
    </row>
    <row r="8604" ht="15" customHeight="1" s="104">
      <c r="H8604" s="198" t="n">
        <v>0</v>
      </c>
    </row>
    <row r="8605" ht="15" customHeight="1" s="104">
      <c r="H8605" s="198" t="n">
        <v>0</v>
      </c>
    </row>
    <row r="8606" ht="15" customHeight="1" s="104">
      <c r="H8606" s="198" t="n">
        <v>0</v>
      </c>
    </row>
    <row r="8607" ht="15" customHeight="1" s="104">
      <c r="H8607" s="198" t="n">
        <v>0</v>
      </c>
    </row>
    <row r="8608" ht="15" customHeight="1" s="104">
      <c r="H8608" s="198" t="n">
        <v>0</v>
      </c>
    </row>
    <row r="8609" ht="15" customHeight="1" s="104">
      <c r="H8609" s="198" t="n">
        <v>0</v>
      </c>
    </row>
    <row r="8610" ht="15" customHeight="1" s="104">
      <c r="H8610" s="198" t="n">
        <v>0</v>
      </c>
    </row>
    <row r="8611" ht="15" customHeight="1" s="104">
      <c r="H8611" s="198" t="n">
        <v>0</v>
      </c>
    </row>
    <row r="8612" ht="15" customHeight="1" s="104">
      <c r="H8612" s="198" t="n">
        <v>0</v>
      </c>
    </row>
    <row r="8613" ht="15" customHeight="1" s="104">
      <c r="H8613" s="198" t="n">
        <v>0</v>
      </c>
    </row>
    <row r="8614" ht="15" customHeight="1" s="104">
      <c r="H8614" s="198" t="n">
        <v>0</v>
      </c>
    </row>
    <row r="8615" ht="15" customHeight="1" s="104">
      <c r="H8615" s="198" t="n">
        <v>0</v>
      </c>
    </row>
    <row r="8616" ht="15" customHeight="1" s="104">
      <c r="H8616" s="198" t="n">
        <v>0</v>
      </c>
    </row>
    <row r="8617" ht="15" customHeight="1" s="104">
      <c r="H8617" s="198" t="n">
        <v>0</v>
      </c>
    </row>
    <row r="8618" ht="15" customHeight="1" s="104">
      <c r="H8618" s="198" t="n">
        <v>0</v>
      </c>
    </row>
    <row r="8619" ht="15" customHeight="1" s="104">
      <c r="H8619" s="198" t="n">
        <v>0</v>
      </c>
    </row>
    <row r="8620" ht="15" customHeight="1" s="104">
      <c r="H8620" s="198" t="n">
        <v>0</v>
      </c>
    </row>
    <row r="8621" ht="15" customHeight="1" s="104">
      <c r="H8621" s="198" t="n">
        <v>0</v>
      </c>
    </row>
    <row r="8622" ht="15" customHeight="1" s="104">
      <c r="H8622" s="198" t="n">
        <v>0</v>
      </c>
    </row>
    <row r="8623" ht="15" customHeight="1" s="104">
      <c r="H8623" s="198" t="n">
        <v>0</v>
      </c>
    </row>
    <row r="8624" ht="15" customHeight="1" s="104">
      <c r="H8624" s="198" t="n">
        <v>0</v>
      </c>
    </row>
    <row r="8625" ht="15" customHeight="1" s="104">
      <c r="H8625" s="198" t="n">
        <v>0</v>
      </c>
    </row>
    <row r="8626" ht="15" customHeight="1" s="104">
      <c r="H8626" s="198" t="n">
        <v>0</v>
      </c>
    </row>
    <row r="8627" ht="15" customHeight="1" s="104">
      <c r="H8627" s="198" t="n">
        <v>0</v>
      </c>
    </row>
    <row r="8628" ht="15" customHeight="1" s="104">
      <c r="H8628" s="198" t="n">
        <v>0</v>
      </c>
    </row>
    <row r="8629" ht="15" customHeight="1" s="104">
      <c r="H8629" s="198" t="n">
        <v>0</v>
      </c>
    </row>
    <row r="8630" ht="15" customHeight="1" s="104">
      <c r="H8630" s="198" t="n">
        <v>0</v>
      </c>
    </row>
    <row r="8631" ht="15" customHeight="1" s="104">
      <c r="H8631" s="198" t="n">
        <v>0</v>
      </c>
    </row>
    <row r="8632" ht="15" customHeight="1" s="104">
      <c r="H8632" s="198" t="n">
        <v>0</v>
      </c>
    </row>
    <row r="8633" ht="15" customHeight="1" s="104">
      <c r="H8633" s="198" t="n">
        <v>0</v>
      </c>
    </row>
    <row r="8634" ht="15" customHeight="1" s="104">
      <c r="H8634" s="198" t="n">
        <v>0</v>
      </c>
    </row>
    <row r="8635" ht="15" customHeight="1" s="104">
      <c r="H8635" s="198" t="n">
        <v>0</v>
      </c>
    </row>
    <row r="8636" ht="15" customHeight="1" s="104">
      <c r="H8636" s="198" t="n">
        <v>0</v>
      </c>
    </row>
    <row r="8637" ht="15" customHeight="1" s="104">
      <c r="H8637" s="198" t="n">
        <v>0</v>
      </c>
    </row>
    <row r="8638" ht="15" customHeight="1" s="104">
      <c r="H8638" s="198" t="n">
        <v>0</v>
      </c>
    </row>
    <row r="8639" ht="15" customHeight="1" s="104">
      <c r="H8639" s="198" t="n">
        <v>0</v>
      </c>
    </row>
    <row r="8640" ht="15" customHeight="1" s="104">
      <c r="H8640" s="198" t="n">
        <v>0</v>
      </c>
    </row>
    <row r="8641" ht="15" customHeight="1" s="104">
      <c r="H8641" s="198" t="n">
        <v>0</v>
      </c>
    </row>
    <row r="8642" ht="15" customHeight="1" s="104">
      <c r="H8642" s="198" t="n">
        <v>0</v>
      </c>
    </row>
    <row r="8643" ht="15" customHeight="1" s="104">
      <c r="H8643" s="198" t="n">
        <v>0</v>
      </c>
    </row>
    <row r="8644" ht="15" customHeight="1" s="104">
      <c r="H8644" s="198" t="n">
        <v>0</v>
      </c>
    </row>
    <row r="8645" ht="15" customHeight="1" s="104">
      <c r="H8645" s="198" t="n">
        <v>0</v>
      </c>
    </row>
    <row r="8646" ht="15" customHeight="1" s="104">
      <c r="H8646" s="198" t="n">
        <v>0</v>
      </c>
    </row>
    <row r="8647" ht="15" customHeight="1" s="104">
      <c r="H8647" s="198" t="n">
        <v>0</v>
      </c>
    </row>
    <row r="8648" ht="15" customHeight="1" s="104">
      <c r="H8648" s="198" t="n">
        <v>0</v>
      </c>
    </row>
    <row r="8649" ht="15" customHeight="1" s="104">
      <c r="H8649" s="198" t="n">
        <v>0</v>
      </c>
    </row>
    <row r="8650" ht="15" customHeight="1" s="104">
      <c r="H8650" s="198" t="n">
        <v>0</v>
      </c>
    </row>
    <row r="8651" ht="15" customHeight="1" s="104">
      <c r="H8651" s="198" t="n">
        <v>0</v>
      </c>
    </row>
    <row r="8652" ht="15" customHeight="1" s="104">
      <c r="H8652" s="198" t="n">
        <v>0</v>
      </c>
    </row>
    <row r="8653" ht="15" customHeight="1" s="104">
      <c r="H8653" s="198" t="n">
        <v>0</v>
      </c>
    </row>
    <row r="8654" ht="15" customHeight="1" s="104">
      <c r="H8654" s="198" t="n">
        <v>0</v>
      </c>
    </row>
    <row r="8655" ht="15" customHeight="1" s="104">
      <c r="H8655" s="198" t="n">
        <v>0</v>
      </c>
    </row>
    <row r="8656" ht="15" customHeight="1" s="104">
      <c r="H8656" s="198" t="n">
        <v>0</v>
      </c>
    </row>
    <row r="8657" ht="15" customHeight="1" s="104">
      <c r="H8657" s="198" t="n">
        <v>0</v>
      </c>
    </row>
    <row r="8658" ht="15" customHeight="1" s="104">
      <c r="H8658" s="198" t="n">
        <v>0</v>
      </c>
    </row>
    <row r="8659" ht="15" customHeight="1" s="104">
      <c r="H8659" s="198" t="n">
        <v>0</v>
      </c>
    </row>
    <row r="8660" ht="15" customHeight="1" s="104">
      <c r="H8660" s="198" t="n">
        <v>0</v>
      </c>
    </row>
    <row r="8661" ht="15" customHeight="1" s="104">
      <c r="H8661" s="198" t="n">
        <v>0</v>
      </c>
    </row>
    <row r="8662" ht="15" customHeight="1" s="104">
      <c r="H8662" s="198" t="n">
        <v>0</v>
      </c>
    </row>
    <row r="8663" ht="15" customHeight="1" s="104">
      <c r="H8663" s="198" t="n">
        <v>0</v>
      </c>
    </row>
    <row r="8664" ht="15" customHeight="1" s="104">
      <c r="H8664" s="198" t="n">
        <v>0</v>
      </c>
    </row>
    <row r="8665" ht="15" customHeight="1" s="104">
      <c r="H8665" s="198" t="n">
        <v>0</v>
      </c>
    </row>
    <row r="8666" ht="15" customHeight="1" s="104">
      <c r="H8666" s="198" t="n">
        <v>0</v>
      </c>
    </row>
    <row r="8667" ht="15" customHeight="1" s="104">
      <c r="H8667" s="198" t="n">
        <v>0</v>
      </c>
    </row>
    <row r="8668" ht="15" customHeight="1" s="104">
      <c r="H8668" s="198" t="n">
        <v>0</v>
      </c>
    </row>
    <row r="8669" ht="15" customHeight="1" s="104">
      <c r="H8669" s="198" t="n">
        <v>0</v>
      </c>
    </row>
    <row r="8670" ht="15" customHeight="1" s="104">
      <c r="H8670" s="198" t="n">
        <v>0</v>
      </c>
    </row>
    <row r="8671" ht="15" customHeight="1" s="104">
      <c r="H8671" s="198" t="n">
        <v>0</v>
      </c>
    </row>
    <row r="8672" ht="15" customHeight="1" s="104">
      <c r="H8672" s="198" t="n">
        <v>0</v>
      </c>
    </row>
    <row r="8673" ht="15" customHeight="1" s="104">
      <c r="H8673" s="198" t="n">
        <v>0</v>
      </c>
    </row>
    <row r="8674" ht="15" customHeight="1" s="104">
      <c r="H8674" s="198" t="n">
        <v>0</v>
      </c>
    </row>
    <row r="8675" ht="15" customHeight="1" s="104">
      <c r="H8675" s="198" t="n">
        <v>0</v>
      </c>
    </row>
    <row r="8676" ht="15" customHeight="1" s="104">
      <c r="H8676" s="198" t="n">
        <v>0</v>
      </c>
    </row>
    <row r="8677" ht="15" customHeight="1" s="104">
      <c r="H8677" s="198" t="n">
        <v>0</v>
      </c>
    </row>
    <row r="8678" ht="15" customHeight="1" s="104">
      <c r="H8678" s="198" t="n">
        <v>0</v>
      </c>
    </row>
    <row r="8679" ht="15" customHeight="1" s="104">
      <c r="H8679" s="198" t="n">
        <v>0</v>
      </c>
    </row>
    <row r="8680" ht="15" customHeight="1" s="104">
      <c r="H8680" s="198" t="n">
        <v>0</v>
      </c>
    </row>
    <row r="8681" ht="15" customHeight="1" s="104">
      <c r="H8681" s="198" t="n">
        <v>0</v>
      </c>
    </row>
    <row r="8682" ht="15" customHeight="1" s="104">
      <c r="H8682" s="198" t="n">
        <v>0</v>
      </c>
    </row>
    <row r="8683" ht="15" customHeight="1" s="104">
      <c r="H8683" s="198" t="n">
        <v>0</v>
      </c>
    </row>
    <row r="8684" ht="15" customHeight="1" s="104">
      <c r="H8684" s="198" t="n">
        <v>0</v>
      </c>
    </row>
    <row r="8685" ht="15" customHeight="1" s="104">
      <c r="H8685" s="198" t="n">
        <v>0</v>
      </c>
    </row>
    <row r="8686" ht="15" customHeight="1" s="104">
      <c r="H8686" s="198" t="n">
        <v>0</v>
      </c>
    </row>
    <row r="8687" ht="15" customHeight="1" s="104">
      <c r="H8687" s="198" t="n">
        <v>0</v>
      </c>
    </row>
    <row r="8688" ht="15" customHeight="1" s="104">
      <c r="H8688" s="198" t="n">
        <v>0</v>
      </c>
    </row>
    <row r="8689" ht="15" customHeight="1" s="104">
      <c r="H8689" s="198" t="n">
        <v>0</v>
      </c>
    </row>
    <row r="8690" ht="15" customHeight="1" s="104">
      <c r="H8690" s="198" t="n">
        <v>0</v>
      </c>
    </row>
    <row r="8691" ht="15" customHeight="1" s="104">
      <c r="H8691" s="198" t="n">
        <v>0</v>
      </c>
    </row>
    <row r="8692" ht="15" customHeight="1" s="104">
      <c r="H8692" s="198" t="n">
        <v>0</v>
      </c>
    </row>
    <row r="8693" ht="15" customHeight="1" s="104">
      <c r="H8693" s="198" t="n">
        <v>0</v>
      </c>
    </row>
    <row r="8694" ht="15" customHeight="1" s="104">
      <c r="H8694" s="198" t="n">
        <v>0</v>
      </c>
    </row>
    <row r="8695" ht="15" customHeight="1" s="104">
      <c r="H8695" s="198" t="n">
        <v>0</v>
      </c>
    </row>
    <row r="8696" ht="15" customHeight="1" s="104">
      <c r="H8696" s="198" t="n">
        <v>0</v>
      </c>
    </row>
    <row r="8697" ht="15" customHeight="1" s="104">
      <c r="H8697" s="198" t="n">
        <v>0</v>
      </c>
    </row>
    <row r="8698" ht="15" customHeight="1" s="104">
      <c r="H8698" s="198" t="n">
        <v>0</v>
      </c>
    </row>
    <row r="8699" ht="15" customHeight="1" s="104">
      <c r="H8699" s="198" t="n">
        <v>0</v>
      </c>
    </row>
    <row r="8700" ht="15" customHeight="1" s="104">
      <c r="H8700" s="198" t="n">
        <v>0</v>
      </c>
    </row>
    <row r="8701" ht="15" customHeight="1" s="104">
      <c r="H8701" s="198" t="n">
        <v>0</v>
      </c>
    </row>
    <row r="8702" ht="15" customHeight="1" s="104">
      <c r="H8702" s="198" t="n">
        <v>0</v>
      </c>
    </row>
    <row r="8703" ht="15" customHeight="1" s="104">
      <c r="H8703" s="198" t="n">
        <v>0</v>
      </c>
    </row>
    <row r="8704" ht="15" customHeight="1" s="104">
      <c r="H8704" s="198" t="n">
        <v>0</v>
      </c>
    </row>
    <row r="8705" ht="15" customHeight="1" s="104">
      <c r="H8705" s="198" t="n">
        <v>0</v>
      </c>
    </row>
    <row r="8706" ht="15" customHeight="1" s="104">
      <c r="H8706" s="198" t="n">
        <v>0</v>
      </c>
    </row>
    <row r="8707" ht="15" customHeight="1" s="104">
      <c r="H8707" s="198" t="n">
        <v>0</v>
      </c>
    </row>
    <row r="8708" ht="15" customHeight="1" s="104">
      <c r="H8708" s="198" t="n">
        <v>0</v>
      </c>
    </row>
    <row r="8709" ht="15" customHeight="1" s="104">
      <c r="H8709" s="198" t="n">
        <v>0</v>
      </c>
    </row>
    <row r="8710" ht="15" customHeight="1" s="104">
      <c r="H8710" s="198" t="n">
        <v>0</v>
      </c>
    </row>
    <row r="8711" ht="15" customHeight="1" s="104">
      <c r="H8711" s="198" t="n">
        <v>0</v>
      </c>
    </row>
    <row r="8712" ht="15" customHeight="1" s="104">
      <c r="H8712" s="198" t="n">
        <v>0</v>
      </c>
    </row>
    <row r="8713" ht="15" customHeight="1" s="104">
      <c r="H8713" s="198" t="n">
        <v>0</v>
      </c>
    </row>
    <row r="8714" ht="15" customHeight="1" s="104">
      <c r="H8714" s="198" t="n">
        <v>0</v>
      </c>
    </row>
    <row r="8715" ht="15" customHeight="1" s="104">
      <c r="H8715" s="198" t="n">
        <v>0</v>
      </c>
    </row>
    <row r="8716" ht="15" customHeight="1" s="104">
      <c r="H8716" s="198" t="n">
        <v>0</v>
      </c>
    </row>
    <row r="8717" ht="15" customHeight="1" s="104">
      <c r="H8717" s="198" t="n">
        <v>0</v>
      </c>
    </row>
    <row r="8718" ht="15" customHeight="1" s="104">
      <c r="H8718" s="198" t="n">
        <v>0</v>
      </c>
    </row>
    <row r="8719" ht="15" customHeight="1" s="104">
      <c r="H8719" s="198" t="n">
        <v>0</v>
      </c>
    </row>
    <row r="8720" ht="15" customHeight="1" s="104">
      <c r="H8720" s="198" t="n">
        <v>0</v>
      </c>
    </row>
    <row r="8721" ht="15" customHeight="1" s="104">
      <c r="H8721" s="198" t="n">
        <v>0</v>
      </c>
    </row>
    <row r="8722" ht="15" customHeight="1" s="104">
      <c r="H8722" s="198" t="n">
        <v>0</v>
      </c>
    </row>
    <row r="8723" ht="15" customHeight="1" s="104">
      <c r="H8723" s="198" t="n">
        <v>0</v>
      </c>
    </row>
    <row r="8724" ht="15" customHeight="1" s="104">
      <c r="H8724" s="198" t="n">
        <v>0</v>
      </c>
    </row>
    <row r="8725" ht="15" customHeight="1" s="104">
      <c r="H8725" s="198" t="n">
        <v>0</v>
      </c>
    </row>
    <row r="8726" ht="15" customHeight="1" s="104">
      <c r="H8726" s="198" t="n">
        <v>0</v>
      </c>
    </row>
    <row r="8727" ht="15" customHeight="1" s="104">
      <c r="H8727" s="198" t="n">
        <v>0</v>
      </c>
    </row>
    <row r="8728" ht="15" customHeight="1" s="104">
      <c r="H8728" s="198" t="n">
        <v>0</v>
      </c>
    </row>
    <row r="8729" ht="15" customHeight="1" s="104">
      <c r="H8729" s="198" t="n">
        <v>0</v>
      </c>
    </row>
    <row r="8730" ht="15" customHeight="1" s="104">
      <c r="H8730" s="198" t="n">
        <v>0</v>
      </c>
    </row>
    <row r="8731" ht="15" customHeight="1" s="104">
      <c r="H8731" s="198" t="n">
        <v>0</v>
      </c>
    </row>
    <row r="8732" ht="15" customHeight="1" s="104">
      <c r="H8732" s="198" t="n">
        <v>0</v>
      </c>
    </row>
    <row r="8733" ht="15" customHeight="1" s="104">
      <c r="H8733" s="198" t="n">
        <v>0</v>
      </c>
    </row>
    <row r="8734" ht="15" customHeight="1" s="104">
      <c r="H8734" s="198" t="n">
        <v>0</v>
      </c>
    </row>
    <row r="8735" ht="15" customHeight="1" s="104">
      <c r="H8735" s="198" t="n">
        <v>0</v>
      </c>
    </row>
    <row r="8736" ht="15" customHeight="1" s="104">
      <c r="H8736" s="198" t="n">
        <v>0</v>
      </c>
    </row>
    <row r="8737" ht="15" customHeight="1" s="104">
      <c r="H8737" s="198" t="n">
        <v>0</v>
      </c>
    </row>
    <row r="8738" ht="15" customHeight="1" s="104">
      <c r="H8738" s="198" t="n">
        <v>0</v>
      </c>
    </row>
    <row r="8739" ht="15" customHeight="1" s="104">
      <c r="H8739" s="198" t="n">
        <v>0</v>
      </c>
    </row>
    <row r="8740" ht="15" customHeight="1" s="104">
      <c r="H8740" s="198" t="n">
        <v>0</v>
      </c>
    </row>
    <row r="8741" ht="15" customHeight="1" s="104">
      <c r="H8741" s="198" t="n">
        <v>0</v>
      </c>
    </row>
    <row r="8742" ht="15" customHeight="1" s="104">
      <c r="H8742" s="198" t="n">
        <v>0</v>
      </c>
    </row>
    <row r="8743" ht="15" customHeight="1" s="104">
      <c r="H8743" s="198" t="n">
        <v>0</v>
      </c>
    </row>
    <row r="8744" ht="15" customHeight="1" s="104">
      <c r="H8744" s="198" t="n">
        <v>0</v>
      </c>
    </row>
    <row r="8745" ht="15" customHeight="1" s="104">
      <c r="H8745" s="198" t="n">
        <v>0</v>
      </c>
    </row>
    <row r="8746" ht="15" customHeight="1" s="104">
      <c r="H8746" s="198" t="n">
        <v>0</v>
      </c>
    </row>
    <row r="8747" ht="15" customHeight="1" s="104">
      <c r="H8747" s="198" t="n">
        <v>0</v>
      </c>
    </row>
    <row r="8748" ht="15" customHeight="1" s="104">
      <c r="H8748" s="198" t="n">
        <v>0</v>
      </c>
    </row>
    <row r="8749" ht="15" customHeight="1" s="104">
      <c r="H8749" s="198" t="n">
        <v>0</v>
      </c>
    </row>
    <row r="8750" ht="15" customHeight="1" s="104">
      <c r="H8750" s="198" t="n">
        <v>0</v>
      </c>
    </row>
    <row r="8751" ht="15" customHeight="1" s="104">
      <c r="H8751" s="198" t="n">
        <v>0</v>
      </c>
    </row>
    <row r="8752" ht="15" customHeight="1" s="104">
      <c r="H8752" s="198" t="n">
        <v>0</v>
      </c>
    </row>
    <row r="8753" ht="15" customHeight="1" s="104">
      <c r="H8753" s="198" t="n">
        <v>0</v>
      </c>
    </row>
    <row r="8754" ht="15" customHeight="1" s="104">
      <c r="H8754" s="198" t="n">
        <v>0</v>
      </c>
    </row>
    <row r="8755" ht="15" customHeight="1" s="104">
      <c r="H8755" s="198" t="n">
        <v>0</v>
      </c>
    </row>
    <row r="8756" ht="15" customHeight="1" s="104">
      <c r="H8756" s="198" t="n">
        <v>0</v>
      </c>
    </row>
    <row r="8757" ht="15" customHeight="1" s="104">
      <c r="H8757" s="198" t="n">
        <v>0</v>
      </c>
    </row>
    <row r="8758" ht="15" customHeight="1" s="104">
      <c r="H8758" s="198" t="n">
        <v>0</v>
      </c>
    </row>
    <row r="8759" ht="15" customHeight="1" s="104">
      <c r="H8759" s="198" t="n">
        <v>0</v>
      </c>
    </row>
    <row r="8760" ht="15" customHeight="1" s="104">
      <c r="H8760" s="198" t="n">
        <v>0</v>
      </c>
    </row>
    <row r="8761" ht="15" customHeight="1" s="104">
      <c r="H8761" s="198" t="n">
        <v>0</v>
      </c>
    </row>
    <row r="8762" ht="15" customHeight="1" s="104">
      <c r="H8762" s="198" t="n">
        <v>0</v>
      </c>
    </row>
    <row r="8763" ht="15" customHeight="1" s="104">
      <c r="H8763" s="198" t="n">
        <v>0</v>
      </c>
    </row>
    <row r="8764" ht="15" customHeight="1" s="104">
      <c r="H8764" s="198" t="n">
        <v>0</v>
      </c>
    </row>
    <row r="8765" ht="15" customHeight="1" s="104">
      <c r="H8765" s="198" t="n">
        <v>0</v>
      </c>
    </row>
    <row r="8766" ht="15" customHeight="1" s="104">
      <c r="H8766" s="198" t="n">
        <v>0</v>
      </c>
    </row>
    <row r="8767" ht="15" customHeight="1" s="104">
      <c r="H8767" s="198" t="n">
        <v>0</v>
      </c>
    </row>
    <row r="8768" ht="15" customHeight="1" s="104">
      <c r="H8768" s="198" t="n">
        <v>0</v>
      </c>
    </row>
    <row r="8769" ht="15" customHeight="1" s="104">
      <c r="H8769" s="198" t="n">
        <v>0</v>
      </c>
    </row>
    <row r="8770" ht="15" customHeight="1" s="104">
      <c r="H8770" s="198" t="n">
        <v>0</v>
      </c>
    </row>
    <row r="8771" ht="15" customHeight="1" s="104">
      <c r="H8771" s="198" t="n">
        <v>0</v>
      </c>
    </row>
    <row r="8772" ht="15" customHeight="1" s="104">
      <c r="H8772" s="198" t="n">
        <v>0</v>
      </c>
    </row>
    <row r="8773" ht="15" customHeight="1" s="104">
      <c r="H8773" s="198" t="n">
        <v>0</v>
      </c>
    </row>
    <row r="8774" ht="15" customHeight="1" s="104">
      <c r="H8774" s="198" t="n">
        <v>0</v>
      </c>
    </row>
    <row r="8775" ht="15" customHeight="1" s="104">
      <c r="H8775" s="198" t="n">
        <v>0</v>
      </c>
    </row>
    <row r="8776" ht="15" customHeight="1" s="104">
      <c r="H8776" s="198" t="n">
        <v>0</v>
      </c>
    </row>
    <row r="8777" ht="15" customHeight="1" s="104">
      <c r="H8777" s="198" t="n">
        <v>0</v>
      </c>
    </row>
    <row r="8778" ht="15" customHeight="1" s="104">
      <c r="H8778" s="198" t="n">
        <v>0</v>
      </c>
    </row>
    <row r="8779" ht="15" customHeight="1" s="104">
      <c r="H8779" s="198" t="n">
        <v>0</v>
      </c>
    </row>
    <row r="8780" ht="15" customHeight="1" s="104">
      <c r="H8780" s="198" t="n">
        <v>0</v>
      </c>
    </row>
    <row r="8781" ht="15" customHeight="1" s="104">
      <c r="H8781" s="198" t="n">
        <v>0</v>
      </c>
    </row>
    <row r="8782" ht="15" customHeight="1" s="104">
      <c r="H8782" s="198" t="n">
        <v>0</v>
      </c>
    </row>
    <row r="8783" ht="15" customHeight="1" s="104">
      <c r="H8783" s="198" t="n">
        <v>0</v>
      </c>
    </row>
    <row r="8784" ht="15" customHeight="1" s="104">
      <c r="H8784" s="198" t="n">
        <v>0</v>
      </c>
    </row>
    <row r="8785" ht="15" customHeight="1" s="104">
      <c r="H8785" s="198" t="n">
        <v>0</v>
      </c>
    </row>
    <row r="8786" ht="15" customHeight="1" s="104">
      <c r="H8786" s="198" t="n">
        <v>0</v>
      </c>
    </row>
    <row r="8787" ht="15" customHeight="1" s="104">
      <c r="H8787" s="198" t="n">
        <v>0</v>
      </c>
    </row>
    <row r="8788" ht="15" customHeight="1" s="104">
      <c r="H8788" s="198" t="n">
        <v>0</v>
      </c>
    </row>
    <row r="8789" ht="15" customHeight="1" s="104">
      <c r="H8789" s="198" t="n">
        <v>0</v>
      </c>
    </row>
    <row r="8790" ht="15" customHeight="1" s="104">
      <c r="H8790" s="198" t="n">
        <v>0</v>
      </c>
    </row>
    <row r="8791" ht="15" customHeight="1" s="104">
      <c r="H8791" s="198" t="n">
        <v>0</v>
      </c>
    </row>
    <row r="8792" ht="15" customHeight="1" s="104">
      <c r="H8792" s="198" t="n">
        <v>0</v>
      </c>
    </row>
    <row r="8793" ht="15" customHeight="1" s="104">
      <c r="H8793" s="198" t="n">
        <v>0</v>
      </c>
    </row>
    <row r="8794" ht="15" customHeight="1" s="104">
      <c r="H8794" s="198" t="n">
        <v>0</v>
      </c>
    </row>
    <row r="8795" ht="15" customHeight="1" s="104">
      <c r="H8795" s="198" t="n">
        <v>0</v>
      </c>
    </row>
    <row r="8796" ht="15" customHeight="1" s="104">
      <c r="H8796" s="198" t="n">
        <v>0</v>
      </c>
    </row>
    <row r="8797" ht="15" customHeight="1" s="104">
      <c r="H8797" s="198" t="n">
        <v>0</v>
      </c>
    </row>
    <row r="8798" ht="15" customHeight="1" s="104">
      <c r="H8798" s="198" t="n">
        <v>0</v>
      </c>
    </row>
    <row r="8799" ht="15" customHeight="1" s="104">
      <c r="H8799" s="198" t="n">
        <v>0</v>
      </c>
    </row>
    <row r="8800" ht="15" customHeight="1" s="104">
      <c r="H8800" s="198" t="n">
        <v>0</v>
      </c>
    </row>
    <row r="8801" ht="15" customHeight="1" s="104">
      <c r="H8801" s="198" t="n">
        <v>0</v>
      </c>
    </row>
    <row r="8802" ht="15" customHeight="1" s="104">
      <c r="H8802" s="198" t="n">
        <v>0</v>
      </c>
    </row>
    <row r="8803" ht="15" customHeight="1" s="104">
      <c r="H8803" s="198" t="n">
        <v>0</v>
      </c>
    </row>
    <row r="8804" ht="15" customHeight="1" s="104">
      <c r="H8804" s="198" t="n">
        <v>0</v>
      </c>
    </row>
    <row r="8805" ht="15" customHeight="1" s="104">
      <c r="H8805" s="198" t="n">
        <v>0</v>
      </c>
    </row>
    <row r="8806" ht="15" customHeight="1" s="104">
      <c r="H8806" s="198" t="n">
        <v>0</v>
      </c>
    </row>
    <row r="8807" ht="15" customHeight="1" s="104">
      <c r="H8807" s="198" t="n">
        <v>0</v>
      </c>
    </row>
    <row r="8808" ht="15" customHeight="1" s="104">
      <c r="H8808" s="198" t="n">
        <v>0</v>
      </c>
    </row>
    <row r="8809" ht="15" customHeight="1" s="104">
      <c r="H8809" s="198" t="n">
        <v>0</v>
      </c>
    </row>
    <row r="8810" ht="15" customHeight="1" s="104">
      <c r="H8810" s="198" t="n">
        <v>0</v>
      </c>
    </row>
    <row r="8811" ht="15" customHeight="1" s="104">
      <c r="H8811" s="198" t="n">
        <v>0</v>
      </c>
    </row>
    <row r="8812" ht="15" customHeight="1" s="104">
      <c r="H8812" s="198" t="n">
        <v>0</v>
      </c>
    </row>
    <row r="8813" ht="15" customHeight="1" s="104">
      <c r="H8813" s="198" t="n">
        <v>0</v>
      </c>
    </row>
    <row r="8814" ht="15" customHeight="1" s="104">
      <c r="H8814" s="198" t="n">
        <v>0</v>
      </c>
    </row>
    <row r="8815" ht="15" customHeight="1" s="104">
      <c r="H8815" s="198" t="n">
        <v>0</v>
      </c>
    </row>
    <row r="8816" ht="15" customHeight="1" s="104">
      <c r="H8816" s="198" t="n">
        <v>0</v>
      </c>
    </row>
    <row r="8817" ht="15" customHeight="1" s="104">
      <c r="H8817" s="198" t="n">
        <v>0</v>
      </c>
    </row>
    <row r="8818" ht="15" customHeight="1" s="104">
      <c r="H8818" s="198" t="n">
        <v>0</v>
      </c>
    </row>
    <row r="8819" ht="15" customHeight="1" s="104">
      <c r="H8819" s="198" t="n">
        <v>0</v>
      </c>
    </row>
    <row r="8820" ht="15" customHeight="1" s="104">
      <c r="H8820" s="198" t="n">
        <v>0</v>
      </c>
    </row>
    <row r="8821" ht="15" customHeight="1" s="104">
      <c r="H8821" s="198" t="n">
        <v>0</v>
      </c>
    </row>
    <row r="8822" ht="15" customHeight="1" s="104">
      <c r="H8822" s="198" t="n">
        <v>0</v>
      </c>
    </row>
    <row r="8823" ht="15" customHeight="1" s="104">
      <c r="H8823" s="198" t="n">
        <v>0</v>
      </c>
    </row>
    <row r="8824" ht="15" customHeight="1" s="104">
      <c r="H8824" s="198" t="n">
        <v>0</v>
      </c>
    </row>
    <row r="8825" ht="15" customHeight="1" s="104">
      <c r="H8825" s="198" t="n">
        <v>0</v>
      </c>
    </row>
    <row r="8826" ht="15" customHeight="1" s="104">
      <c r="H8826" s="198" t="n">
        <v>0</v>
      </c>
    </row>
    <row r="8827" ht="15" customHeight="1" s="104">
      <c r="H8827" s="198" t="n">
        <v>0</v>
      </c>
    </row>
    <row r="8828" ht="15" customHeight="1" s="104">
      <c r="H8828" s="198" t="n">
        <v>0</v>
      </c>
    </row>
    <row r="8829" ht="15" customHeight="1" s="104">
      <c r="H8829" s="198" t="n">
        <v>0</v>
      </c>
    </row>
    <row r="8830" ht="15" customHeight="1" s="104">
      <c r="H8830" s="198" t="n">
        <v>0</v>
      </c>
    </row>
    <row r="8831" ht="15" customHeight="1" s="104">
      <c r="H8831" s="198" t="n">
        <v>0</v>
      </c>
    </row>
    <row r="8832" ht="15" customHeight="1" s="104">
      <c r="H8832" s="198" t="n">
        <v>0</v>
      </c>
    </row>
    <row r="8833" ht="15" customHeight="1" s="104">
      <c r="H8833" s="198" t="n">
        <v>0</v>
      </c>
    </row>
    <row r="8834" ht="15" customHeight="1" s="104">
      <c r="H8834" s="198" t="n">
        <v>0</v>
      </c>
    </row>
    <row r="8835" ht="15" customHeight="1" s="104">
      <c r="H8835" s="198" t="n">
        <v>0</v>
      </c>
    </row>
    <row r="8836" ht="15" customHeight="1" s="104">
      <c r="H8836" s="198" t="n">
        <v>0</v>
      </c>
    </row>
    <row r="8837" ht="15" customHeight="1" s="104">
      <c r="H8837" s="198" t="n">
        <v>0</v>
      </c>
    </row>
    <row r="8838" ht="15" customHeight="1" s="104">
      <c r="H8838" s="198" t="n">
        <v>0</v>
      </c>
    </row>
    <row r="8839" ht="15" customHeight="1" s="104">
      <c r="H8839" s="198" t="n">
        <v>0</v>
      </c>
    </row>
    <row r="8840" ht="15" customHeight="1" s="104">
      <c r="H8840" s="198" t="n">
        <v>0</v>
      </c>
    </row>
    <row r="8841" ht="15" customHeight="1" s="104">
      <c r="H8841" s="198" t="n">
        <v>0</v>
      </c>
    </row>
    <row r="8842" ht="15" customHeight="1" s="104">
      <c r="H8842" s="198" t="n">
        <v>0</v>
      </c>
    </row>
    <row r="8843" ht="15" customHeight="1" s="104">
      <c r="H8843" s="198" t="n">
        <v>0</v>
      </c>
    </row>
    <row r="8844" ht="15" customHeight="1" s="104">
      <c r="H8844" s="198" t="n">
        <v>0</v>
      </c>
    </row>
    <row r="8845" ht="15" customHeight="1" s="104">
      <c r="H8845" s="198" t="n">
        <v>0</v>
      </c>
    </row>
    <row r="8846" ht="15" customHeight="1" s="104">
      <c r="H8846" s="198" t="n">
        <v>0</v>
      </c>
    </row>
    <row r="8847" ht="15" customHeight="1" s="104">
      <c r="H8847" s="198" t="n">
        <v>0</v>
      </c>
    </row>
    <row r="8848" ht="15" customHeight="1" s="104">
      <c r="H8848" s="198" t="n">
        <v>0</v>
      </c>
    </row>
    <row r="8849" ht="15" customHeight="1" s="104">
      <c r="H8849" s="198" t="n">
        <v>0</v>
      </c>
    </row>
    <row r="8850" ht="15" customHeight="1" s="104">
      <c r="H8850" s="198" t="n">
        <v>0</v>
      </c>
    </row>
    <row r="8851" ht="15" customHeight="1" s="104">
      <c r="H8851" s="198" t="n">
        <v>0</v>
      </c>
    </row>
    <row r="8852" ht="15" customHeight="1" s="104">
      <c r="H8852" s="198" t="n">
        <v>0</v>
      </c>
    </row>
    <row r="8853" ht="15" customHeight="1" s="104">
      <c r="H8853" s="198" t="n">
        <v>0</v>
      </c>
    </row>
    <row r="8854" ht="15" customHeight="1" s="104">
      <c r="H8854" s="198" t="n">
        <v>0</v>
      </c>
    </row>
    <row r="8855" ht="15" customHeight="1" s="104">
      <c r="H8855" s="198" t="n">
        <v>0</v>
      </c>
    </row>
    <row r="8856" ht="15" customHeight="1" s="104">
      <c r="H8856" s="198" t="n">
        <v>0</v>
      </c>
    </row>
    <row r="8857" ht="15" customHeight="1" s="104">
      <c r="H8857" s="198" t="n">
        <v>0</v>
      </c>
    </row>
    <row r="8858" ht="15" customHeight="1" s="104">
      <c r="H8858" s="198" t="n">
        <v>0</v>
      </c>
    </row>
    <row r="8859" ht="15" customHeight="1" s="104">
      <c r="H8859" s="198" t="n">
        <v>0</v>
      </c>
    </row>
    <row r="8860" ht="15" customHeight="1" s="104">
      <c r="H8860" s="198" t="n">
        <v>0</v>
      </c>
    </row>
    <row r="8861" ht="15" customHeight="1" s="104">
      <c r="H8861" s="198" t="n">
        <v>0</v>
      </c>
    </row>
    <row r="8862" ht="15" customHeight="1" s="104">
      <c r="H8862" s="198" t="n">
        <v>0</v>
      </c>
    </row>
    <row r="8863" ht="15" customHeight="1" s="104">
      <c r="H8863" s="198" t="n">
        <v>0</v>
      </c>
    </row>
    <row r="8864" ht="15" customHeight="1" s="104">
      <c r="H8864" s="198" t="n">
        <v>0</v>
      </c>
    </row>
    <row r="8865" ht="15" customHeight="1" s="104">
      <c r="H8865" s="198" t="n">
        <v>0</v>
      </c>
    </row>
    <row r="8866" ht="15" customHeight="1" s="104">
      <c r="H8866" s="198" t="n">
        <v>0</v>
      </c>
    </row>
    <row r="8867" ht="15" customHeight="1" s="104">
      <c r="H8867" s="198" t="n">
        <v>0</v>
      </c>
    </row>
    <row r="8868" ht="15" customHeight="1" s="104">
      <c r="H8868" s="198" t="n">
        <v>0</v>
      </c>
    </row>
    <row r="8869" ht="15" customHeight="1" s="104">
      <c r="H8869" s="198" t="n">
        <v>0</v>
      </c>
    </row>
    <row r="8870" ht="15" customHeight="1" s="104">
      <c r="H8870" s="198" t="n">
        <v>0</v>
      </c>
    </row>
    <row r="8871" ht="15" customHeight="1" s="104">
      <c r="H8871" s="198" t="n">
        <v>0</v>
      </c>
    </row>
    <row r="8872" ht="15" customHeight="1" s="104">
      <c r="H8872" s="198" t="n">
        <v>0</v>
      </c>
    </row>
    <row r="8873" ht="15" customHeight="1" s="104">
      <c r="H8873" s="198" t="n">
        <v>0</v>
      </c>
    </row>
    <row r="8874" ht="15" customHeight="1" s="104">
      <c r="H8874" s="198" t="n">
        <v>0</v>
      </c>
    </row>
    <row r="8875" ht="15" customHeight="1" s="104">
      <c r="H8875" s="198" t="n">
        <v>0</v>
      </c>
    </row>
    <row r="8876" ht="15" customHeight="1" s="104">
      <c r="H8876" s="198" t="n">
        <v>0</v>
      </c>
    </row>
    <row r="8877" ht="15" customHeight="1" s="104">
      <c r="H8877" s="198" t="n">
        <v>0</v>
      </c>
    </row>
    <row r="8878" ht="15" customHeight="1" s="104">
      <c r="H8878" s="198" t="n">
        <v>0</v>
      </c>
    </row>
    <row r="8879" ht="15" customHeight="1" s="104">
      <c r="H8879" s="198" t="n">
        <v>0</v>
      </c>
    </row>
    <row r="8880" ht="15" customHeight="1" s="104">
      <c r="H8880" s="198" t="n">
        <v>0</v>
      </c>
    </row>
    <row r="8881" ht="15" customHeight="1" s="104">
      <c r="H8881" s="198" t="n">
        <v>0</v>
      </c>
    </row>
    <row r="8882" ht="15" customHeight="1" s="104">
      <c r="H8882" s="198" t="n">
        <v>0</v>
      </c>
    </row>
    <row r="8883" ht="15" customHeight="1" s="104">
      <c r="H8883" s="198" t="n">
        <v>0</v>
      </c>
    </row>
    <row r="8884" ht="15" customHeight="1" s="104">
      <c r="H8884" s="198" t="n">
        <v>0</v>
      </c>
    </row>
    <row r="8885" ht="15" customHeight="1" s="104">
      <c r="H8885" s="198" t="n">
        <v>0</v>
      </c>
    </row>
    <row r="8886" ht="15" customHeight="1" s="104">
      <c r="H8886" s="198" t="n">
        <v>0</v>
      </c>
    </row>
    <row r="8887" ht="15" customHeight="1" s="104">
      <c r="H8887" s="198" t="n">
        <v>0</v>
      </c>
    </row>
    <row r="8888" ht="15" customHeight="1" s="104">
      <c r="H8888" s="198" t="n">
        <v>0</v>
      </c>
    </row>
    <row r="8889" ht="15" customHeight="1" s="104">
      <c r="H8889" s="198" t="n">
        <v>0</v>
      </c>
    </row>
    <row r="8890" ht="15" customHeight="1" s="104">
      <c r="H8890" s="198" t="n">
        <v>0</v>
      </c>
    </row>
    <row r="8891" ht="15" customHeight="1" s="104">
      <c r="H8891" s="198" t="n">
        <v>0</v>
      </c>
    </row>
    <row r="8892" ht="15" customHeight="1" s="104">
      <c r="H8892" s="198" t="n">
        <v>0</v>
      </c>
    </row>
    <row r="8893" ht="15" customHeight="1" s="104">
      <c r="H8893" s="198" t="n">
        <v>0</v>
      </c>
    </row>
    <row r="8894" ht="15" customHeight="1" s="104">
      <c r="H8894" s="198" t="n">
        <v>0</v>
      </c>
    </row>
    <row r="8895" ht="15" customHeight="1" s="104">
      <c r="H8895" s="198" t="n">
        <v>0</v>
      </c>
    </row>
    <row r="8896" ht="15" customHeight="1" s="104">
      <c r="H8896" s="198" t="n">
        <v>0</v>
      </c>
    </row>
    <row r="8897" ht="15" customHeight="1" s="104">
      <c r="H8897" s="198" t="n">
        <v>0</v>
      </c>
    </row>
    <row r="8898" ht="15" customHeight="1" s="104">
      <c r="H8898" s="198" t="n">
        <v>0</v>
      </c>
    </row>
    <row r="8899" ht="15" customHeight="1" s="104">
      <c r="H8899" s="198" t="n">
        <v>0</v>
      </c>
    </row>
    <row r="8900" ht="15" customHeight="1" s="104">
      <c r="H8900" s="198" t="n">
        <v>0</v>
      </c>
    </row>
    <row r="8901" ht="15" customHeight="1" s="104">
      <c r="H8901" s="198" t="n">
        <v>0</v>
      </c>
    </row>
    <row r="8902" ht="15" customHeight="1" s="104">
      <c r="H8902" s="198" t="n">
        <v>0</v>
      </c>
    </row>
    <row r="8903" ht="15" customHeight="1" s="104">
      <c r="H8903" s="198" t="n">
        <v>0</v>
      </c>
    </row>
    <row r="8904" ht="15" customHeight="1" s="104">
      <c r="H8904" s="198" t="n">
        <v>0</v>
      </c>
    </row>
    <row r="8905" ht="15" customHeight="1" s="104">
      <c r="H8905" s="198" t="n">
        <v>0</v>
      </c>
    </row>
    <row r="8906" ht="15" customHeight="1" s="104">
      <c r="H8906" s="198" t="n">
        <v>0</v>
      </c>
    </row>
    <row r="8907" ht="15" customHeight="1" s="104">
      <c r="H8907" s="198" t="n">
        <v>0</v>
      </c>
    </row>
    <row r="8908" ht="15" customHeight="1" s="104">
      <c r="H8908" s="198" t="n">
        <v>0</v>
      </c>
    </row>
    <row r="8909" ht="15" customHeight="1" s="104">
      <c r="H8909" s="198" t="n">
        <v>0</v>
      </c>
    </row>
    <row r="8910" ht="15" customHeight="1" s="104">
      <c r="H8910" s="198" t="n">
        <v>0</v>
      </c>
    </row>
    <row r="8911" ht="15" customHeight="1" s="104">
      <c r="H8911" s="198" t="n">
        <v>0</v>
      </c>
    </row>
    <row r="8912" ht="15" customHeight="1" s="104">
      <c r="H8912" s="198" t="n">
        <v>0</v>
      </c>
    </row>
    <row r="8913" ht="15" customHeight="1" s="104">
      <c r="H8913" s="198" t="n">
        <v>0</v>
      </c>
    </row>
    <row r="8914" ht="15" customHeight="1" s="104">
      <c r="H8914" s="198" t="n">
        <v>0</v>
      </c>
    </row>
    <row r="8915" ht="15" customHeight="1" s="104">
      <c r="H8915" s="198" t="n">
        <v>0</v>
      </c>
    </row>
    <row r="8916" ht="15" customHeight="1" s="104">
      <c r="H8916" s="198" t="n">
        <v>0</v>
      </c>
    </row>
    <row r="8917" ht="15" customHeight="1" s="104">
      <c r="H8917" s="198" t="n">
        <v>0</v>
      </c>
    </row>
    <row r="8918" ht="15" customHeight="1" s="104">
      <c r="H8918" s="198" t="n">
        <v>0</v>
      </c>
    </row>
    <row r="8919" ht="15" customHeight="1" s="104">
      <c r="H8919" s="198" t="n">
        <v>0</v>
      </c>
    </row>
    <row r="8920" ht="15" customHeight="1" s="104">
      <c r="H8920" s="198" t="n">
        <v>0</v>
      </c>
    </row>
    <row r="8921" ht="15" customHeight="1" s="104">
      <c r="H8921" s="198" t="n">
        <v>0</v>
      </c>
    </row>
    <row r="8922" ht="15" customHeight="1" s="104">
      <c r="H8922" s="198" t="n">
        <v>0</v>
      </c>
    </row>
    <row r="8923" ht="15" customHeight="1" s="104">
      <c r="H8923" s="198" t="n">
        <v>0</v>
      </c>
    </row>
    <row r="8924" ht="15" customHeight="1" s="104">
      <c r="H8924" s="198" t="n">
        <v>0</v>
      </c>
    </row>
    <row r="8925" ht="15" customHeight="1" s="104">
      <c r="H8925" s="198" t="n">
        <v>0</v>
      </c>
    </row>
    <row r="8926" ht="15" customHeight="1" s="104">
      <c r="H8926" s="198" t="n">
        <v>0</v>
      </c>
    </row>
    <row r="8927" ht="15" customHeight="1" s="104">
      <c r="H8927" s="198" t="n">
        <v>0</v>
      </c>
    </row>
    <row r="8928" ht="15" customHeight="1" s="104">
      <c r="H8928" s="198" t="n">
        <v>0</v>
      </c>
    </row>
    <row r="8929" ht="15" customHeight="1" s="104">
      <c r="H8929" s="198" t="n">
        <v>0</v>
      </c>
    </row>
    <row r="8930" ht="15" customHeight="1" s="104">
      <c r="H8930" s="198" t="n">
        <v>0</v>
      </c>
    </row>
    <row r="8931" ht="15" customHeight="1" s="104">
      <c r="H8931" s="198" t="n">
        <v>0</v>
      </c>
    </row>
    <row r="8932" ht="15" customHeight="1" s="104">
      <c r="H8932" s="198" t="n">
        <v>0</v>
      </c>
    </row>
    <row r="8933" ht="15" customHeight="1" s="104">
      <c r="H8933" s="198" t="n">
        <v>0</v>
      </c>
    </row>
    <row r="8934" ht="15" customHeight="1" s="104">
      <c r="H8934" s="198" t="n">
        <v>0</v>
      </c>
    </row>
    <row r="8935" ht="15" customHeight="1" s="104">
      <c r="H8935" s="198" t="n">
        <v>0</v>
      </c>
    </row>
    <row r="8936" ht="15" customHeight="1" s="104">
      <c r="H8936" s="198" t="n">
        <v>0</v>
      </c>
    </row>
    <row r="8937" ht="15" customHeight="1" s="104">
      <c r="H8937" s="198" t="n">
        <v>0</v>
      </c>
    </row>
    <row r="8938" ht="15" customHeight="1" s="104">
      <c r="H8938" s="198" t="n">
        <v>0</v>
      </c>
    </row>
    <row r="8939" ht="15" customHeight="1" s="104">
      <c r="H8939" s="198" t="n">
        <v>0</v>
      </c>
    </row>
    <row r="8940" ht="15" customHeight="1" s="104">
      <c r="H8940" s="198" t="n">
        <v>0</v>
      </c>
    </row>
    <row r="8941" ht="15" customHeight="1" s="104">
      <c r="H8941" s="198" t="n">
        <v>0</v>
      </c>
    </row>
    <row r="8942" ht="15" customHeight="1" s="104">
      <c r="H8942" s="198" t="n">
        <v>0</v>
      </c>
    </row>
    <row r="8943" ht="15" customHeight="1" s="104">
      <c r="H8943" s="198" t="n">
        <v>0</v>
      </c>
    </row>
    <row r="8944" ht="15" customHeight="1" s="104">
      <c r="H8944" s="198" t="n">
        <v>0</v>
      </c>
    </row>
    <row r="8945" ht="15" customHeight="1" s="104">
      <c r="H8945" s="198" t="n">
        <v>0</v>
      </c>
    </row>
    <row r="8946" ht="15" customHeight="1" s="104">
      <c r="H8946" s="198" t="n">
        <v>0</v>
      </c>
    </row>
    <row r="8947" ht="15" customHeight="1" s="104">
      <c r="H8947" s="198" t="n">
        <v>0</v>
      </c>
    </row>
    <row r="8948" ht="15" customHeight="1" s="104">
      <c r="H8948" s="198" t="n">
        <v>0</v>
      </c>
    </row>
    <row r="8949" ht="15" customHeight="1" s="104">
      <c r="H8949" s="198" t="n">
        <v>0</v>
      </c>
    </row>
    <row r="8950" ht="15" customHeight="1" s="104">
      <c r="H8950" s="198" t="n">
        <v>0</v>
      </c>
    </row>
    <row r="8951" ht="15" customHeight="1" s="104">
      <c r="H8951" s="198" t="n">
        <v>0</v>
      </c>
    </row>
    <row r="8952" ht="15" customHeight="1" s="104">
      <c r="H8952" s="198" t="n">
        <v>0</v>
      </c>
    </row>
    <row r="8953" ht="15" customHeight="1" s="104">
      <c r="H8953" s="198" t="n">
        <v>0</v>
      </c>
    </row>
    <row r="8954" ht="15" customHeight="1" s="104">
      <c r="H8954" s="198" t="n">
        <v>0</v>
      </c>
    </row>
    <row r="8955" ht="15" customHeight="1" s="104">
      <c r="H8955" s="198" t="n">
        <v>0</v>
      </c>
    </row>
    <row r="8956" ht="15" customHeight="1" s="104">
      <c r="H8956" s="198" t="n">
        <v>0</v>
      </c>
    </row>
    <row r="8957" ht="15" customHeight="1" s="104">
      <c r="H8957" s="198" t="n">
        <v>0</v>
      </c>
    </row>
    <row r="8958" ht="15" customHeight="1" s="104">
      <c r="H8958" s="198" t="n">
        <v>0</v>
      </c>
    </row>
    <row r="8959" ht="15" customHeight="1" s="104">
      <c r="H8959" s="198" t="n">
        <v>0</v>
      </c>
    </row>
    <row r="8960" ht="15" customHeight="1" s="104">
      <c r="H8960" s="198" t="n">
        <v>0</v>
      </c>
    </row>
    <row r="8961" ht="15" customHeight="1" s="104">
      <c r="H8961" s="198" t="n">
        <v>0</v>
      </c>
    </row>
    <row r="8962" ht="15" customHeight="1" s="104">
      <c r="H8962" s="198" t="n">
        <v>0</v>
      </c>
    </row>
    <row r="8963" ht="15" customHeight="1" s="104">
      <c r="H8963" s="198" t="n">
        <v>0</v>
      </c>
    </row>
    <row r="8964" ht="15" customHeight="1" s="104">
      <c r="H8964" s="198" t="n">
        <v>0</v>
      </c>
    </row>
    <row r="8965" ht="15" customHeight="1" s="104">
      <c r="H8965" s="198" t="n">
        <v>0</v>
      </c>
    </row>
    <row r="8966" ht="15" customHeight="1" s="104">
      <c r="H8966" s="198" t="n">
        <v>0</v>
      </c>
    </row>
    <row r="8967" ht="15" customHeight="1" s="104">
      <c r="H8967" s="198" t="n">
        <v>0</v>
      </c>
    </row>
    <row r="8968" ht="15" customHeight="1" s="104">
      <c r="H8968" s="198" t="n">
        <v>0</v>
      </c>
    </row>
    <row r="8969" ht="15" customHeight="1" s="104">
      <c r="H8969" s="198" t="n">
        <v>0</v>
      </c>
    </row>
    <row r="8970" ht="15" customHeight="1" s="104">
      <c r="H8970" s="198" t="n">
        <v>0</v>
      </c>
    </row>
    <row r="8971" ht="15" customHeight="1" s="104">
      <c r="H8971" s="198" t="n">
        <v>0</v>
      </c>
    </row>
    <row r="8972" ht="15" customHeight="1" s="104">
      <c r="H8972" s="198" t="n">
        <v>0</v>
      </c>
    </row>
    <row r="8973" ht="15" customHeight="1" s="104">
      <c r="H8973" s="198" t="n">
        <v>0</v>
      </c>
    </row>
    <row r="8974" ht="15" customHeight="1" s="104">
      <c r="H8974" s="198" t="n">
        <v>0</v>
      </c>
    </row>
    <row r="8975" ht="15" customHeight="1" s="104">
      <c r="H8975" s="198" t="n">
        <v>0</v>
      </c>
    </row>
    <row r="8976" ht="15" customHeight="1" s="104">
      <c r="H8976" s="198" t="n">
        <v>0</v>
      </c>
    </row>
    <row r="8977" ht="15" customHeight="1" s="104">
      <c r="H8977" s="198" t="n">
        <v>0</v>
      </c>
    </row>
    <row r="8978" ht="15" customHeight="1" s="104">
      <c r="H8978" s="198" t="n">
        <v>0</v>
      </c>
    </row>
    <row r="8979" ht="15" customHeight="1" s="104">
      <c r="H8979" s="198" t="n">
        <v>0</v>
      </c>
    </row>
    <row r="8980" ht="15" customHeight="1" s="104">
      <c r="H8980" s="198" t="n">
        <v>0</v>
      </c>
    </row>
    <row r="8981" ht="15" customHeight="1" s="104">
      <c r="H8981" s="198" t="n">
        <v>0</v>
      </c>
    </row>
    <row r="8982" ht="15" customHeight="1" s="104">
      <c r="H8982" s="198" t="n">
        <v>0</v>
      </c>
    </row>
    <row r="8983" ht="15" customHeight="1" s="104">
      <c r="H8983" s="198" t="n">
        <v>0</v>
      </c>
    </row>
    <row r="8984" ht="15" customHeight="1" s="104">
      <c r="H8984" s="198" t="n">
        <v>0</v>
      </c>
    </row>
    <row r="8985" ht="15" customHeight="1" s="104">
      <c r="H8985" s="198" t="n">
        <v>0</v>
      </c>
    </row>
    <row r="8986" ht="15" customHeight="1" s="104">
      <c r="H8986" s="198" t="n">
        <v>0</v>
      </c>
    </row>
    <row r="8987" ht="15" customHeight="1" s="104">
      <c r="H8987" s="198" t="n">
        <v>0</v>
      </c>
    </row>
    <row r="8988" ht="15" customHeight="1" s="104">
      <c r="H8988" s="198" t="n">
        <v>0</v>
      </c>
    </row>
    <row r="8989" ht="15" customHeight="1" s="104">
      <c r="H8989" s="198" t="n">
        <v>0</v>
      </c>
    </row>
    <row r="8990" ht="15" customHeight="1" s="104">
      <c r="H8990" s="198" t="n">
        <v>0</v>
      </c>
    </row>
    <row r="8991" ht="15" customHeight="1" s="104">
      <c r="H8991" s="198" t="n">
        <v>0</v>
      </c>
    </row>
    <row r="8992" ht="15" customHeight="1" s="104">
      <c r="H8992" s="198" t="n">
        <v>0</v>
      </c>
    </row>
    <row r="8993" ht="15" customHeight="1" s="104">
      <c r="H8993" s="198" t="n">
        <v>0</v>
      </c>
    </row>
    <row r="8994" ht="15" customHeight="1" s="104">
      <c r="H8994" s="198" t="n">
        <v>0</v>
      </c>
    </row>
    <row r="8995" ht="15" customHeight="1" s="104">
      <c r="H8995" s="198" t="n">
        <v>0</v>
      </c>
    </row>
    <row r="8996" ht="15" customHeight="1" s="104">
      <c r="H8996" s="198" t="n">
        <v>0</v>
      </c>
    </row>
    <row r="8997" ht="15" customHeight="1" s="104">
      <c r="H8997" s="198" t="n">
        <v>0</v>
      </c>
    </row>
    <row r="8998" ht="15" customHeight="1" s="104">
      <c r="H8998" s="198" t="n">
        <v>0</v>
      </c>
    </row>
    <row r="8999" ht="15" customHeight="1" s="104">
      <c r="H8999" s="198" t="n">
        <v>0</v>
      </c>
    </row>
    <row r="9000" ht="15" customHeight="1" s="104">
      <c r="H9000" s="198" t="n">
        <v>0</v>
      </c>
    </row>
    <row r="9001" ht="15" customHeight="1" s="104">
      <c r="H9001" s="198" t="n">
        <v>0</v>
      </c>
    </row>
    <row r="9002" ht="15" customHeight="1" s="104">
      <c r="H9002" s="198" t="n">
        <v>0</v>
      </c>
    </row>
    <row r="9003" ht="15" customHeight="1" s="104">
      <c r="H9003" s="198" t="n">
        <v>0</v>
      </c>
    </row>
    <row r="9004" ht="15" customHeight="1" s="104">
      <c r="H9004" s="198" t="n">
        <v>0</v>
      </c>
    </row>
    <row r="9005" ht="15" customHeight="1" s="104">
      <c r="H9005" s="198" t="n">
        <v>0</v>
      </c>
    </row>
    <row r="9006" ht="15" customHeight="1" s="104">
      <c r="H9006" s="198" t="n">
        <v>0</v>
      </c>
    </row>
    <row r="9007" ht="15" customHeight="1" s="104">
      <c r="H9007" s="198" t="n">
        <v>0</v>
      </c>
    </row>
    <row r="9008" ht="15" customHeight="1" s="104">
      <c r="H9008" s="198" t="n">
        <v>0</v>
      </c>
    </row>
    <row r="9009" ht="15" customHeight="1" s="104">
      <c r="H9009" s="198" t="n">
        <v>0</v>
      </c>
    </row>
    <row r="9010" ht="15" customHeight="1" s="104">
      <c r="H9010" s="198" t="n">
        <v>0</v>
      </c>
    </row>
    <row r="9011" ht="15" customHeight="1" s="104">
      <c r="H9011" s="198" t="n">
        <v>0</v>
      </c>
    </row>
    <row r="9012" ht="15" customHeight="1" s="104">
      <c r="H9012" s="198" t="n">
        <v>0</v>
      </c>
    </row>
    <row r="9013" ht="15" customHeight="1" s="104">
      <c r="H9013" s="198" t="n">
        <v>0</v>
      </c>
    </row>
    <row r="9014" ht="15" customHeight="1" s="104">
      <c r="H9014" s="198" t="n">
        <v>0</v>
      </c>
    </row>
    <row r="9015" ht="15" customHeight="1" s="104">
      <c r="H9015" s="198" t="n">
        <v>0</v>
      </c>
    </row>
    <row r="9016" ht="15" customHeight="1" s="104">
      <c r="H9016" s="198" t="n">
        <v>0</v>
      </c>
    </row>
    <row r="9017" ht="15" customHeight="1" s="104">
      <c r="H9017" s="198" t="n">
        <v>0</v>
      </c>
    </row>
    <row r="9018" ht="15" customHeight="1" s="104">
      <c r="H9018" s="198" t="n">
        <v>0</v>
      </c>
    </row>
    <row r="9019" ht="15" customHeight="1" s="104">
      <c r="H9019" s="198" t="n">
        <v>0</v>
      </c>
    </row>
    <row r="9020" ht="15" customHeight="1" s="104">
      <c r="H9020" s="198" t="n">
        <v>0</v>
      </c>
    </row>
    <row r="9021" ht="15" customHeight="1" s="104">
      <c r="H9021" s="198" t="n">
        <v>0</v>
      </c>
    </row>
    <row r="9022" ht="15" customHeight="1" s="104">
      <c r="H9022" s="198" t="n">
        <v>0</v>
      </c>
    </row>
    <row r="9023" ht="15" customHeight="1" s="104">
      <c r="H9023" s="198" t="n">
        <v>0</v>
      </c>
    </row>
    <row r="9024" ht="15" customHeight="1" s="104">
      <c r="H9024" s="198" t="n">
        <v>0</v>
      </c>
    </row>
    <row r="9025" ht="15" customHeight="1" s="104">
      <c r="H9025" s="198" t="n">
        <v>0</v>
      </c>
    </row>
    <row r="9026" ht="15" customHeight="1" s="104">
      <c r="H9026" s="198" t="n">
        <v>0</v>
      </c>
    </row>
    <row r="9027" ht="15" customHeight="1" s="104">
      <c r="H9027" s="198" t="n">
        <v>0</v>
      </c>
    </row>
    <row r="9028" ht="15" customHeight="1" s="104">
      <c r="H9028" s="198" t="n">
        <v>0</v>
      </c>
    </row>
    <row r="9029" ht="15" customHeight="1" s="104">
      <c r="H9029" s="198" t="n">
        <v>0</v>
      </c>
    </row>
    <row r="9030" ht="15" customHeight="1" s="104">
      <c r="H9030" s="198" t="n">
        <v>0</v>
      </c>
    </row>
    <row r="9031" ht="15" customHeight="1" s="104">
      <c r="H9031" s="198" t="n">
        <v>0</v>
      </c>
    </row>
    <row r="9032" ht="15" customHeight="1" s="104">
      <c r="H9032" s="198" t="n">
        <v>0</v>
      </c>
    </row>
    <row r="9033" ht="15" customHeight="1" s="104">
      <c r="H9033" s="198" t="n">
        <v>0</v>
      </c>
    </row>
    <row r="9034" ht="15" customHeight="1" s="104">
      <c r="H9034" s="198" t="n">
        <v>0</v>
      </c>
    </row>
    <row r="9035" ht="15" customHeight="1" s="104">
      <c r="H9035" s="198" t="n">
        <v>0</v>
      </c>
    </row>
    <row r="9036" ht="15" customHeight="1" s="104">
      <c r="H9036" s="198" t="n">
        <v>0</v>
      </c>
    </row>
    <row r="9037" ht="15" customHeight="1" s="104">
      <c r="H9037" s="198" t="n">
        <v>0</v>
      </c>
    </row>
    <row r="9038" ht="15" customHeight="1" s="104">
      <c r="H9038" s="198" t="n">
        <v>0</v>
      </c>
    </row>
    <row r="9039" ht="15" customHeight="1" s="104">
      <c r="H9039" s="198" t="n">
        <v>0</v>
      </c>
    </row>
    <row r="9040" ht="15" customHeight="1" s="104">
      <c r="H9040" s="198" t="n">
        <v>0</v>
      </c>
    </row>
    <row r="9041" ht="15" customHeight="1" s="104">
      <c r="H9041" s="198" t="n">
        <v>0</v>
      </c>
    </row>
    <row r="9042" ht="15" customHeight="1" s="104">
      <c r="H9042" s="198" t="n">
        <v>0</v>
      </c>
    </row>
    <row r="9043" ht="15" customHeight="1" s="104">
      <c r="H9043" s="198" t="n">
        <v>0</v>
      </c>
    </row>
    <row r="9044" ht="15" customHeight="1" s="104">
      <c r="H9044" s="198" t="n">
        <v>0</v>
      </c>
    </row>
    <row r="9045" ht="15" customHeight="1" s="104">
      <c r="H9045" s="198" t="n">
        <v>0</v>
      </c>
    </row>
    <row r="9046" ht="15" customHeight="1" s="104">
      <c r="H9046" s="198" t="n">
        <v>0</v>
      </c>
    </row>
    <row r="9047" ht="15" customHeight="1" s="104">
      <c r="H9047" s="198" t="n">
        <v>0</v>
      </c>
    </row>
    <row r="9048" ht="15" customHeight="1" s="104">
      <c r="H9048" s="198" t="n">
        <v>0</v>
      </c>
    </row>
    <row r="9049" ht="15" customHeight="1" s="104">
      <c r="H9049" s="198" t="n">
        <v>0</v>
      </c>
    </row>
    <row r="9050" ht="15" customHeight="1" s="104">
      <c r="H9050" s="198" t="n">
        <v>0</v>
      </c>
    </row>
    <row r="9051" ht="15" customHeight="1" s="104">
      <c r="H9051" s="198" t="n">
        <v>0</v>
      </c>
    </row>
    <row r="9052" ht="15" customHeight="1" s="104">
      <c r="H9052" s="198" t="n">
        <v>0</v>
      </c>
    </row>
    <row r="9053" ht="15" customHeight="1" s="104">
      <c r="H9053" s="198" t="n">
        <v>0</v>
      </c>
    </row>
    <row r="9054" ht="15" customHeight="1" s="104">
      <c r="H9054" s="198" t="n">
        <v>0</v>
      </c>
    </row>
    <row r="9055" ht="15" customHeight="1" s="104">
      <c r="H9055" s="198" t="n">
        <v>0</v>
      </c>
    </row>
    <row r="9056" ht="15" customHeight="1" s="104">
      <c r="H9056" s="198" t="n">
        <v>0</v>
      </c>
    </row>
    <row r="9057" ht="15" customHeight="1" s="104">
      <c r="H9057" s="198" t="n">
        <v>0</v>
      </c>
    </row>
    <row r="9058" ht="15" customHeight="1" s="104">
      <c r="H9058" s="198" t="n">
        <v>0</v>
      </c>
    </row>
    <row r="9059" ht="15" customHeight="1" s="104">
      <c r="H9059" s="198" t="n">
        <v>0</v>
      </c>
    </row>
    <row r="9060" ht="15" customHeight="1" s="104">
      <c r="H9060" s="198" t="n">
        <v>0</v>
      </c>
    </row>
    <row r="9061" ht="15" customHeight="1" s="104">
      <c r="H9061" s="198" t="n">
        <v>0</v>
      </c>
    </row>
    <row r="9062" ht="15" customHeight="1" s="104">
      <c r="H9062" s="198" t="n">
        <v>0</v>
      </c>
    </row>
    <row r="9063" ht="15" customHeight="1" s="104">
      <c r="H9063" s="198" t="n">
        <v>0</v>
      </c>
    </row>
    <row r="9064" ht="15" customHeight="1" s="104">
      <c r="H9064" s="198" t="n">
        <v>0</v>
      </c>
    </row>
    <row r="9065" ht="15" customHeight="1" s="104">
      <c r="H9065" s="198" t="n">
        <v>0</v>
      </c>
    </row>
    <row r="9066" ht="15" customHeight="1" s="104">
      <c r="H9066" s="198" t="n">
        <v>0</v>
      </c>
    </row>
    <row r="9067" ht="15" customHeight="1" s="104">
      <c r="H9067" s="198" t="n">
        <v>0</v>
      </c>
    </row>
    <row r="9068" ht="15" customHeight="1" s="104">
      <c r="H9068" s="198" t="n">
        <v>0</v>
      </c>
    </row>
    <row r="9069" ht="15" customHeight="1" s="104">
      <c r="H9069" s="198" t="n">
        <v>0</v>
      </c>
    </row>
    <row r="9070" ht="15" customHeight="1" s="104">
      <c r="H9070" s="198" t="n">
        <v>0</v>
      </c>
    </row>
    <row r="9071" ht="15" customHeight="1" s="104">
      <c r="H9071" s="198" t="n">
        <v>0</v>
      </c>
    </row>
    <row r="9072" ht="15" customHeight="1" s="104">
      <c r="H9072" s="198" t="n">
        <v>0</v>
      </c>
    </row>
    <row r="9073" ht="15" customHeight="1" s="104">
      <c r="H9073" s="198" t="n">
        <v>0</v>
      </c>
    </row>
    <row r="9074" ht="15" customHeight="1" s="104">
      <c r="H9074" s="198" t="n">
        <v>0</v>
      </c>
    </row>
    <row r="9075" ht="15" customHeight="1" s="104">
      <c r="H9075" s="198" t="n">
        <v>0</v>
      </c>
    </row>
    <row r="9076" ht="15" customHeight="1" s="104">
      <c r="H9076" s="198" t="n">
        <v>0</v>
      </c>
    </row>
    <row r="9077" ht="15" customHeight="1" s="104">
      <c r="H9077" s="198" t="n">
        <v>0</v>
      </c>
    </row>
    <row r="9078" ht="15" customHeight="1" s="104">
      <c r="H9078" s="198" t="n">
        <v>0</v>
      </c>
    </row>
    <row r="9079" ht="15" customHeight="1" s="104">
      <c r="H9079" s="198" t="n">
        <v>0</v>
      </c>
    </row>
    <row r="9080" ht="15" customHeight="1" s="104">
      <c r="H9080" s="198" t="n">
        <v>0</v>
      </c>
    </row>
    <row r="9081" ht="15" customHeight="1" s="104">
      <c r="H9081" s="198" t="n">
        <v>0</v>
      </c>
    </row>
    <row r="9082" ht="15" customHeight="1" s="104">
      <c r="H9082" s="198" t="n">
        <v>0</v>
      </c>
    </row>
    <row r="9083" ht="15" customHeight="1" s="104">
      <c r="H9083" s="198" t="n">
        <v>0</v>
      </c>
    </row>
    <row r="9084" ht="15" customHeight="1" s="104">
      <c r="H9084" s="198" t="n">
        <v>0</v>
      </c>
    </row>
    <row r="9085" ht="15" customHeight="1" s="104">
      <c r="H9085" s="198" t="n">
        <v>0</v>
      </c>
    </row>
    <row r="9086" ht="15" customHeight="1" s="104">
      <c r="H9086" s="198" t="n">
        <v>0</v>
      </c>
    </row>
    <row r="9087" ht="15" customHeight="1" s="104">
      <c r="H9087" s="198" t="n">
        <v>0</v>
      </c>
    </row>
    <row r="9088" ht="15" customHeight="1" s="104">
      <c r="H9088" s="198" t="n">
        <v>0</v>
      </c>
    </row>
    <row r="9089" ht="15" customHeight="1" s="104">
      <c r="H9089" s="198" t="n">
        <v>0</v>
      </c>
    </row>
    <row r="9090" ht="15" customHeight="1" s="104">
      <c r="H9090" s="198" t="n">
        <v>0</v>
      </c>
    </row>
    <row r="9091" ht="15" customHeight="1" s="104">
      <c r="H9091" s="198" t="n">
        <v>0</v>
      </c>
    </row>
    <row r="9092" ht="15" customHeight="1" s="104">
      <c r="H9092" s="198" t="n">
        <v>0</v>
      </c>
    </row>
    <row r="9093" ht="15" customHeight="1" s="104">
      <c r="H9093" s="198" t="n">
        <v>0</v>
      </c>
    </row>
    <row r="9094" ht="15" customHeight="1" s="104">
      <c r="H9094" s="198" t="n">
        <v>0</v>
      </c>
    </row>
    <row r="9095" ht="15" customHeight="1" s="104">
      <c r="H9095" s="198" t="n">
        <v>0</v>
      </c>
    </row>
    <row r="9096" ht="15" customHeight="1" s="104">
      <c r="H9096" s="198" t="n">
        <v>0</v>
      </c>
    </row>
    <row r="9097" ht="15" customHeight="1" s="104">
      <c r="H9097" s="198" t="n">
        <v>0</v>
      </c>
    </row>
    <row r="9098" ht="15" customHeight="1" s="104">
      <c r="H9098" s="198" t="n">
        <v>0</v>
      </c>
    </row>
    <row r="9099" ht="15" customHeight="1" s="104">
      <c r="H9099" s="198" t="n">
        <v>0</v>
      </c>
    </row>
    <row r="9100" ht="15" customHeight="1" s="104">
      <c r="H9100" s="198" t="n">
        <v>0</v>
      </c>
    </row>
    <row r="9101" ht="15" customHeight="1" s="104">
      <c r="H9101" s="198" t="n">
        <v>0</v>
      </c>
    </row>
    <row r="9102" ht="15" customHeight="1" s="104">
      <c r="H9102" s="198" t="n">
        <v>0</v>
      </c>
    </row>
    <row r="9103" ht="15" customHeight="1" s="104">
      <c r="H9103" s="198" t="n">
        <v>0</v>
      </c>
    </row>
    <row r="9104" ht="15" customHeight="1" s="104">
      <c r="H9104" s="198" t="n">
        <v>0</v>
      </c>
    </row>
    <row r="9105" ht="15" customHeight="1" s="104">
      <c r="H9105" s="198" t="n">
        <v>0</v>
      </c>
    </row>
    <row r="9106" ht="15" customHeight="1" s="104">
      <c r="H9106" s="198" t="n">
        <v>0</v>
      </c>
    </row>
    <row r="9107" ht="15" customHeight="1" s="104">
      <c r="H9107" s="198" t="n">
        <v>0</v>
      </c>
    </row>
    <row r="9108" ht="15" customHeight="1" s="104">
      <c r="H9108" s="198" t="n">
        <v>0</v>
      </c>
    </row>
    <row r="9109" ht="15" customHeight="1" s="104">
      <c r="H9109" s="198" t="n">
        <v>0</v>
      </c>
    </row>
    <row r="9110" ht="15" customHeight="1" s="104">
      <c r="H9110" s="198" t="n">
        <v>0</v>
      </c>
    </row>
    <row r="9111" ht="15" customHeight="1" s="104">
      <c r="H9111" s="198" t="n">
        <v>0</v>
      </c>
    </row>
    <row r="9112" ht="15" customHeight="1" s="104">
      <c r="H9112" s="198" t="n">
        <v>0</v>
      </c>
    </row>
    <row r="9113" ht="15" customHeight="1" s="104">
      <c r="H9113" s="198" t="n">
        <v>0</v>
      </c>
    </row>
    <row r="9114" ht="15" customHeight="1" s="104">
      <c r="H9114" s="198" t="n">
        <v>0</v>
      </c>
    </row>
    <row r="9115" ht="15" customHeight="1" s="104">
      <c r="H9115" s="198" t="n">
        <v>0</v>
      </c>
    </row>
    <row r="9116" ht="15" customHeight="1" s="104">
      <c r="H9116" s="198" t="n">
        <v>0</v>
      </c>
    </row>
    <row r="9117" ht="15" customHeight="1" s="104">
      <c r="H9117" s="198" t="n">
        <v>0</v>
      </c>
    </row>
    <row r="9118" ht="15" customHeight="1" s="104">
      <c r="H9118" s="198" t="n">
        <v>0</v>
      </c>
    </row>
    <row r="9119" ht="15" customHeight="1" s="104">
      <c r="H9119" s="198" t="n">
        <v>0</v>
      </c>
    </row>
    <row r="9120" ht="15" customHeight="1" s="104">
      <c r="H9120" s="198" t="n">
        <v>0</v>
      </c>
    </row>
    <row r="9121" ht="15" customHeight="1" s="104">
      <c r="H9121" s="198" t="n">
        <v>0</v>
      </c>
    </row>
    <row r="9122" ht="15" customHeight="1" s="104">
      <c r="H9122" s="198" t="n">
        <v>0</v>
      </c>
    </row>
    <row r="9123" ht="15" customHeight="1" s="104">
      <c r="H9123" s="198" t="n">
        <v>0</v>
      </c>
    </row>
    <row r="9124" ht="15" customHeight="1" s="104">
      <c r="H9124" s="198" t="n">
        <v>0</v>
      </c>
    </row>
    <row r="9125" ht="15" customHeight="1" s="104">
      <c r="H9125" s="198" t="n">
        <v>0</v>
      </c>
    </row>
    <row r="9126" ht="15" customHeight="1" s="104">
      <c r="H9126" s="198" t="n">
        <v>0</v>
      </c>
    </row>
    <row r="9127" ht="15" customHeight="1" s="104">
      <c r="H9127" s="198" t="n">
        <v>0</v>
      </c>
    </row>
    <row r="9128" ht="15" customHeight="1" s="104">
      <c r="H9128" s="198" t="n">
        <v>0</v>
      </c>
    </row>
    <row r="9129" ht="15" customHeight="1" s="104">
      <c r="H9129" s="198" t="n">
        <v>0</v>
      </c>
    </row>
    <row r="9130" ht="15" customHeight="1" s="104">
      <c r="H9130" s="198" t="n">
        <v>0</v>
      </c>
    </row>
    <row r="9131" ht="15" customHeight="1" s="104">
      <c r="H9131" s="198" t="n">
        <v>0</v>
      </c>
    </row>
    <row r="9132" ht="15" customHeight="1" s="104">
      <c r="H9132" s="198" t="n">
        <v>0</v>
      </c>
    </row>
    <row r="9133" ht="15" customHeight="1" s="104">
      <c r="H9133" s="198" t="n">
        <v>0</v>
      </c>
    </row>
    <row r="9134" ht="15" customHeight="1" s="104">
      <c r="H9134" s="198" t="n">
        <v>0</v>
      </c>
    </row>
    <row r="9135" ht="15" customHeight="1" s="104">
      <c r="H9135" s="198" t="n">
        <v>0</v>
      </c>
    </row>
    <row r="9136" ht="15" customHeight="1" s="104">
      <c r="H9136" s="198" t="n">
        <v>0</v>
      </c>
    </row>
    <row r="9137" ht="15" customHeight="1" s="104">
      <c r="H9137" s="198" t="n">
        <v>0</v>
      </c>
    </row>
    <row r="9138" ht="15" customHeight="1" s="104">
      <c r="H9138" s="198" t="n">
        <v>0</v>
      </c>
    </row>
    <row r="9139" ht="15" customHeight="1" s="104">
      <c r="H9139" s="198" t="n">
        <v>0</v>
      </c>
    </row>
    <row r="9140" ht="15" customHeight="1" s="104">
      <c r="H9140" s="198" t="n">
        <v>0</v>
      </c>
    </row>
    <row r="9141" ht="15" customHeight="1" s="104">
      <c r="H9141" s="198" t="n">
        <v>0</v>
      </c>
    </row>
    <row r="9142" ht="15" customHeight="1" s="104">
      <c r="H9142" s="198" t="n">
        <v>0</v>
      </c>
    </row>
    <row r="9143" ht="15" customHeight="1" s="104">
      <c r="H9143" s="198" t="n">
        <v>0</v>
      </c>
    </row>
    <row r="9144" ht="15" customHeight="1" s="104">
      <c r="H9144" s="198" t="n">
        <v>0</v>
      </c>
    </row>
    <row r="9145" ht="15" customHeight="1" s="104">
      <c r="H9145" s="198" t="n">
        <v>0</v>
      </c>
    </row>
    <row r="9146" ht="15" customHeight="1" s="104">
      <c r="H9146" s="198" t="n">
        <v>0</v>
      </c>
    </row>
    <row r="9147" ht="15" customHeight="1" s="104">
      <c r="H9147" s="198" t="n">
        <v>0</v>
      </c>
    </row>
    <row r="9148" ht="15" customHeight="1" s="104">
      <c r="H9148" s="198" t="n">
        <v>0</v>
      </c>
    </row>
    <row r="9149" ht="15" customHeight="1" s="104">
      <c r="H9149" s="198" t="n">
        <v>0</v>
      </c>
    </row>
    <row r="9150" ht="15" customHeight="1" s="104">
      <c r="H9150" s="198" t="n">
        <v>0</v>
      </c>
    </row>
    <row r="9151" ht="15" customHeight="1" s="104">
      <c r="H9151" s="198" t="n">
        <v>0</v>
      </c>
    </row>
    <row r="9152" ht="15" customHeight="1" s="104">
      <c r="H9152" s="198" t="n">
        <v>0</v>
      </c>
    </row>
    <row r="9153" ht="15" customHeight="1" s="104">
      <c r="H9153" s="198" t="n">
        <v>0</v>
      </c>
    </row>
    <row r="9154" ht="15" customHeight="1" s="104">
      <c r="H9154" s="198" t="n">
        <v>0</v>
      </c>
    </row>
    <row r="9155" ht="15" customHeight="1" s="104">
      <c r="H9155" s="198" t="n">
        <v>0</v>
      </c>
    </row>
    <row r="9156" ht="15" customHeight="1" s="104">
      <c r="H9156" s="198" t="n">
        <v>0</v>
      </c>
    </row>
    <row r="9157" ht="15" customHeight="1" s="104">
      <c r="H9157" s="198" t="n">
        <v>0</v>
      </c>
    </row>
    <row r="9158" ht="15" customHeight="1" s="104">
      <c r="H9158" s="198" t="n">
        <v>0</v>
      </c>
    </row>
    <row r="9159" ht="15" customHeight="1" s="104">
      <c r="H9159" s="198" t="n">
        <v>0</v>
      </c>
    </row>
    <row r="9160" ht="15" customHeight="1" s="104">
      <c r="H9160" s="198" t="n">
        <v>0</v>
      </c>
    </row>
    <row r="9161" ht="15" customHeight="1" s="104">
      <c r="H9161" s="198" t="n">
        <v>0</v>
      </c>
    </row>
    <row r="9162" ht="15" customHeight="1" s="104">
      <c r="H9162" s="198" t="n">
        <v>0</v>
      </c>
    </row>
    <row r="9163" ht="15" customHeight="1" s="104">
      <c r="H9163" s="198" t="n">
        <v>0</v>
      </c>
    </row>
    <row r="9164" ht="15" customHeight="1" s="104">
      <c r="H9164" s="198" t="n">
        <v>0</v>
      </c>
    </row>
    <row r="9165" ht="15" customHeight="1" s="104">
      <c r="H9165" s="198" t="n">
        <v>0</v>
      </c>
    </row>
    <row r="9166" ht="15" customHeight="1" s="104">
      <c r="H9166" s="198" t="n">
        <v>0</v>
      </c>
    </row>
    <row r="9167" ht="15" customHeight="1" s="104">
      <c r="H9167" s="198" t="n">
        <v>0</v>
      </c>
    </row>
    <row r="9168" ht="15" customHeight="1" s="104">
      <c r="H9168" s="198" t="n">
        <v>0</v>
      </c>
    </row>
    <row r="9169" ht="15" customHeight="1" s="104">
      <c r="H9169" s="198" t="n">
        <v>0</v>
      </c>
    </row>
    <row r="9170" ht="15" customHeight="1" s="104">
      <c r="H9170" s="198" t="n">
        <v>0</v>
      </c>
    </row>
    <row r="9171" ht="15" customHeight="1" s="104">
      <c r="H9171" s="198" t="n">
        <v>0</v>
      </c>
    </row>
    <row r="9172" ht="15" customHeight="1" s="104">
      <c r="H9172" s="198" t="n">
        <v>0</v>
      </c>
    </row>
    <row r="9173" ht="15" customHeight="1" s="104">
      <c r="H9173" s="198" t="n">
        <v>0</v>
      </c>
    </row>
    <row r="9174" ht="15" customHeight="1" s="104">
      <c r="H9174" s="198" t="n">
        <v>0</v>
      </c>
    </row>
    <row r="9175" ht="15" customHeight="1" s="104">
      <c r="H9175" s="198" t="n">
        <v>0</v>
      </c>
    </row>
    <row r="9176" ht="15" customHeight="1" s="104">
      <c r="H9176" s="198" t="n">
        <v>0</v>
      </c>
    </row>
    <row r="9177" ht="15" customHeight="1" s="104">
      <c r="H9177" s="198" t="n">
        <v>0</v>
      </c>
    </row>
    <row r="9178" ht="15" customHeight="1" s="104">
      <c r="H9178" s="198" t="n">
        <v>0</v>
      </c>
    </row>
    <row r="9179" ht="15" customHeight="1" s="104">
      <c r="H9179" s="198" t="n">
        <v>0</v>
      </c>
    </row>
    <row r="9180" ht="15" customHeight="1" s="104">
      <c r="H9180" s="198" t="n">
        <v>0</v>
      </c>
    </row>
    <row r="9181" ht="15" customHeight="1" s="104">
      <c r="H9181" s="198" t="n">
        <v>0</v>
      </c>
    </row>
    <row r="9182" ht="15" customHeight="1" s="104">
      <c r="H9182" s="198" t="n">
        <v>0</v>
      </c>
    </row>
    <row r="9183" ht="15" customHeight="1" s="104">
      <c r="H9183" s="198" t="n">
        <v>0</v>
      </c>
    </row>
    <row r="9184" ht="15" customHeight="1" s="104">
      <c r="H9184" s="198" t="n">
        <v>0</v>
      </c>
    </row>
    <row r="9185" ht="15" customHeight="1" s="104">
      <c r="H9185" s="198" t="n">
        <v>0</v>
      </c>
    </row>
    <row r="9186" ht="15" customHeight="1" s="104">
      <c r="H9186" s="198" t="n">
        <v>0</v>
      </c>
    </row>
    <row r="9187" ht="15" customHeight="1" s="104">
      <c r="H9187" s="198" t="n">
        <v>0</v>
      </c>
    </row>
    <row r="9188" ht="15" customHeight="1" s="104">
      <c r="H9188" s="198" t="n">
        <v>0</v>
      </c>
    </row>
    <row r="9189" ht="15" customHeight="1" s="104">
      <c r="H9189" s="198" t="n">
        <v>0</v>
      </c>
    </row>
    <row r="9190" ht="15" customHeight="1" s="104">
      <c r="H9190" s="198" t="n">
        <v>0</v>
      </c>
    </row>
    <row r="9191" ht="15" customHeight="1" s="104">
      <c r="H9191" s="198" t="n">
        <v>0</v>
      </c>
    </row>
    <row r="9192" ht="15" customHeight="1" s="104">
      <c r="H9192" s="198" t="n">
        <v>0</v>
      </c>
    </row>
    <row r="9193" ht="15" customHeight="1" s="104">
      <c r="H9193" s="198" t="n">
        <v>0</v>
      </c>
    </row>
    <row r="9194" ht="15" customHeight="1" s="104">
      <c r="H9194" s="198" t="n">
        <v>0</v>
      </c>
    </row>
    <row r="9195" ht="15" customHeight="1" s="104">
      <c r="H9195" s="198" t="n">
        <v>0</v>
      </c>
    </row>
    <row r="9196" ht="15" customHeight="1" s="104">
      <c r="H9196" s="198" t="n">
        <v>0</v>
      </c>
    </row>
    <row r="9197" ht="15" customHeight="1" s="104">
      <c r="H9197" s="198" t="n">
        <v>0</v>
      </c>
    </row>
    <row r="9198" ht="15" customHeight="1" s="104">
      <c r="H9198" s="198" t="n">
        <v>0</v>
      </c>
    </row>
    <row r="9199" ht="15" customHeight="1" s="104">
      <c r="H9199" s="198" t="n">
        <v>0</v>
      </c>
    </row>
    <row r="9200" ht="15" customHeight="1" s="104">
      <c r="H9200" s="198" t="n">
        <v>0</v>
      </c>
    </row>
    <row r="9201" ht="15" customHeight="1" s="104">
      <c r="H9201" s="198" t="n">
        <v>0</v>
      </c>
    </row>
    <row r="9202" ht="15" customHeight="1" s="104">
      <c r="H9202" s="198" t="n">
        <v>0</v>
      </c>
    </row>
    <row r="9203" ht="15" customHeight="1" s="104">
      <c r="H9203" s="198" t="n">
        <v>0</v>
      </c>
    </row>
    <row r="9204" ht="15" customHeight="1" s="104">
      <c r="H9204" s="198" t="n">
        <v>0</v>
      </c>
    </row>
    <row r="9205" ht="15" customHeight="1" s="104">
      <c r="H9205" s="198" t="n">
        <v>0</v>
      </c>
    </row>
    <row r="9206" ht="15" customHeight="1" s="104">
      <c r="H9206" s="198" t="n">
        <v>0</v>
      </c>
    </row>
    <row r="9207" ht="15" customHeight="1" s="104">
      <c r="H9207" s="198" t="n">
        <v>0</v>
      </c>
    </row>
    <row r="9208" ht="15" customHeight="1" s="104">
      <c r="H9208" s="198" t="n">
        <v>0</v>
      </c>
    </row>
    <row r="9209" ht="15" customHeight="1" s="104">
      <c r="H9209" s="198" t="n">
        <v>0</v>
      </c>
    </row>
    <row r="9210" ht="15" customHeight="1" s="104">
      <c r="H9210" s="198" t="n">
        <v>0</v>
      </c>
    </row>
    <row r="9211" ht="15" customHeight="1" s="104">
      <c r="H9211" s="198" t="n">
        <v>0</v>
      </c>
    </row>
    <row r="9212" ht="15" customHeight="1" s="104">
      <c r="H9212" s="198" t="n">
        <v>0</v>
      </c>
    </row>
    <row r="9213" ht="15" customHeight="1" s="104">
      <c r="H9213" s="198" t="n">
        <v>0</v>
      </c>
    </row>
    <row r="9214" ht="15" customHeight="1" s="104">
      <c r="H9214" s="198" t="n">
        <v>0</v>
      </c>
    </row>
    <row r="9215" ht="15" customHeight="1" s="104">
      <c r="H9215" s="198" t="n">
        <v>0</v>
      </c>
    </row>
    <row r="9216" ht="15" customHeight="1" s="104">
      <c r="H9216" s="198" t="n">
        <v>0</v>
      </c>
    </row>
    <row r="9217" ht="15" customHeight="1" s="104">
      <c r="H9217" s="198" t="n">
        <v>0</v>
      </c>
    </row>
    <row r="9218" ht="15" customHeight="1" s="104">
      <c r="H9218" s="198" t="n">
        <v>0</v>
      </c>
    </row>
    <row r="9219" ht="15" customHeight="1" s="104">
      <c r="H9219" s="198" t="n">
        <v>0</v>
      </c>
    </row>
    <row r="9220" ht="15" customHeight="1" s="104">
      <c r="H9220" s="198" t="n">
        <v>0</v>
      </c>
    </row>
    <row r="9221" ht="15" customHeight="1" s="104">
      <c r="H9221" s="198" t="n">
        <v>0</v>
      </c>
    </row>
    <row r="9222" ht="15" customHeight="1" s="104">
      <c r="H9222" s="198" t="n">
        <v>0</v>
      </c>
    </row>
    <row r="9223" ht="15" customHeight="1" s="104">
      <c r="H9223" s="198" t="n">
        <v>0</v>
      </c>
    </row>
    <row r="9224" ht="15" customHeight="1" s="104">
      <c r="H9224" s="198" t="n">
        <v>0</v>
      </c>
    </row>
    <row r="9225" ht="15" customHeight="1" s="104">
      <c r="H9225" s="198" t="n">
        <v>0</v>
      </c>
    </row>
    <row r="9226" ht="15" customHeight="1" s="104">
      <c r="H9226" s="198" t="n">
        <v>0</v>
      </c>
    </row>
    <row r="9227" ht="15" customHeight="1" s="104">
      <c r="H9227" s="198" t="n">
        <v>0</v>
      </c>
    </row>
    <row r="9228" ht="15" customHeight="1" s="104">
      <c r="H9228" s="198" t="n">
        <v>0</v>
      </c>
    </row>
    <row r="9229" ht="15" customHeight="1" s="104">
      <c r="H9229" s="198" t="n">
        <v>0</v>
      </c>
    </row>
    <row r="9230" ht="15" customHeight="1" s="104">
      <c r="H9230" s="198" t="n">
        <v>0</v>
      </c>
    </row>
    <row r="9231" ht="15" customHeight="1" s="104">
      <c r="H9231" s="198" t="n">
        <v>0</v>
      </c>
    </row>
    <row r="9232" ht="15" customHeight="1" s="104">
      <c r="H9232" s="198" t="n">
        <v>0</v>
      </c>
    </row>
    <row r="9233" ht="15" customHeight="1" s="104">
      <c r="H9233" s="198" t="n">
        <v>0</v>
      </c>
    </row>
    <row r="9234" ht="15" customHeight="1" s="104">
      <c r="H9234" s="198" t="n">
        <v>0</v>
      </c>
    </row>
    <row r="9235" ht="15" customHeight="1" s="104">
      <c r="H9235" s="198" t="n">
        <v>0</v>
      </c>
    </row>
    <row r="9236" ht="15" customHeight="1" s="104">
      <c r="H9236" s="198" t="n">
        <v>0</v>
      </c>
    </row>
    <row r="9237" ht="15" customHeight="1" s="104">
      <c r="H9237" s="198" t="n">
        <v>0</v>
      </c>
    </row>
    <row r="9238" ht="15" customHeight="1" s="104">
      <c r="H9238" s="198" t="n">
        <v>0</v>
      </c>
    </row>
    <row r="9239" ht="15" customHeight="1" s="104">
      <c r="H9239" s="198" t="n">
        <v>0</v>
      </c>
    </row>
    <row r="9240" ht="15" customHeight="1" s="104">
      <c r="H9240" s="198" t="n">
        <v>0</v>
      </c>
    </row>
    <row r="9241" ht="15" customHeight="1" s="104">
      <c r="H9241" s="198" t="n">
        <v>0</v>
      </c>
    </row>
    <row r="9242" ht="15" customHeight="1" s="104">
      <c r="H9242" s="198" t="n">
        <v>0</v>
      </c>
    </row>
    <row r="9243" ht="15" customHeight="1" s="104">
      <c r="H9243" s="198" t="n">
        <v>0</v>
      </c>
    </row>
    <row r="9244" ht="15" customHeight="1" s="104">
      <c r="H9244" s="198" t="n">
        <v>0</v>
      </c>
    </row>
    <row r="9245" ht="15" customHeight="1" s="104">
      <c r="H9245" s="198" t="n">
        <v>0</v>
      </c>
    </row>
    <row r="9246" ht="15" customHeight="1" s="104">
      <c r="H9246" s="198" t="n">
        <v>0</v>
      </c>
    </row>
    <row r="9247" ht="15" customHeight="1" s="104">
      <c r="H9247" s="198" t="n">
        <v>0</v>
      </c>
    </row>
    <row r="9248" ht="15" customHeight="1" s="104">
      <c r="H9248" s="198" t="n">
        <v>0</v>
      </c>
    </row>
    <row r="9249" ht="15" customHeight="1" s="104">
      <c r="H9249" s="198" t="n">
        <v>0</v>
      </c>
    </row>
    <row r="9250" ht="15" customHeight="1" s="104">
      <c r="H9250" s="198" t="n">
        <v>0</v>
      </c>
    </row>
    <row r="9251" ht="15" customHeight="1" s="104">
      <c r="H9251" s="198" t="n">
        <v>0</v>
      </c>
    </row>
    <row r="9252" ht="15" customHeight="1" s="104">
      <c r="H9252" s="198" t="n">
        <v>0</v>
      </c>
    </row>
    <row r="9253" ht="15" customHeight="1" s="104">
      <c r="H9253" s="198" t="n">
        <v>0</v>
      </c>
    </row>
    <row r="9254" ht="15" customHeight="1" s="104">
      <c r="H9254" s="198" t="n">
        <v>0</v>
      </c>
    </row>
    <row r="9255" ht="15" customHeight="1" s="104">
      <c r="H9255" s="198" t="n">
        <v>0</v>
      </c>
    </row>
    <row r="9256" ht="15" customHeight="1" s="104">
      <c r="H9256" s="198" t="n">
        <v>0</v>
      </c>
    </row>
    <row r="9257" ht="15" customHeight="1" s="104">
      <c r="H9257" s="198" t="n">
        <v>0</v>
      </c>
    </row>
    <row r="9258" ht="15" customHeight="1" s="104">
      <c r="H9258" s="198" t="n">
        <v>0</v>
      </c>
    </row>
    <row r="9259" ht="15" customHeight="1" s="104">
      <c r="H9259" s="198" t="n">
        <v>0</v>
      </c>
    </row>
    <row r="9260" ht="15" customHeight="1" s="104">
      <c r="H9260" s="198" t="n">
        <v>0</v>
      </c>
    </row>
    <row r="9261" ht="15" customHeight="1" s="104">
      <c r="H9261" s="198" t="n">
        <v>0</v>
      </c>
    </row>
    <row r="9262" ht="15" customHeight="1" s="104">
      <c r="H9262" s="198" t="n">
        <v>0</v>
      </c>
    </row>
    <row r="9263" ht="15" customHeight="1" s="104">
      <c r="H9263" s="198" t="n">
        <v>0</v>
      </c>
    </row>
    <row r="9264" ht="15" customHeight="1" s="104">
      <c r="H9264" s="198" t="n">
        <v>0</v>
      </c>
    </row>
    <row r="9265" ht="15" customHeight="1" s="104">
      <c r="H9265" s="198" t="n">
        <v>0</v>
      </c>
    </row>
    <row r="9266" ht="15" customHeight="1" s="104">
      <c r="H9266" s="198" t="n">
        <v>0</v>
      </c>
    </row>
    <row r="9267" ht="15" customHeight="1" s="104">
      <c r="H9267" s="198" t="n">
        <v>0</v>
      </c>
    </row>
    <row r="9268" ht="15" customHeight="1" s="104">
      <c r="H9268" s="198" t="n">
        <v>0</v>
      </c>
    </row>
    <row r="9269" ht="15" customHeight="1" s="104">
      <c r="H9269" s="198" t="n">
        <v>0</v>
      </c>
    </row>
    <row r="9270" ht="15" customHeight="1" s="104">
      <c r="H9270" s="198" t="n">
        <v>0</v>
      </c>
    </row>
    <row r="9271" ht="15" customHeight="1" s="104">
      <c r="H9271" s="198" t="n">
        <v>0</v>
      </c>
    </row>
    <row r="9272" ht="15" customHeight="1" s="104">
      <c r="H9272" s="198" t="n">
        <v>0</v>
      </c>
    </row>
    <row r="9273" ht="15" customHeight="1" s="104">
      <c r="H9273" s="198" t="n">
        <v>0</v>
      </c>
    </row>
    <row r="9274" ht="15" customHeight="1" s="104">
      <c r="H9274" s="198" t="n">
        <v>0</v>
      </c>
    </row>
    <row r="9275" ht="15" customHeight="1" s="104">
      <c r="H9275" s="198" t="n">
        <v>0</v>
      </c>
    </row>
    <row r="9276" ht="15" customHeight="1" s="104">
      <c r="H9276" s="198" t="n">
        <v>0</v>
      </c>
    </row>
    <row r="9277" ht="15" customHeight="1" s="104">
      <c r="H9277" s="198" t="n">
        <v>0</v>
      </c>
    </row>
    <row r="9278" ht="15" customHeight="1" s="104">
      <c r="H9278" s="198" t="n">
        <v>0</v>
      </c>
    </row>
    <row r="9279" ht="15" customHeight="1" s="104">
      <c r="H9279" s="198" t="n">
        <v>0</v>
      </c>
    </row>
    <row r="9280" ht="15" customHeight="1" s="104">
      <c r="H9280" s="198" t="n">
        <v>0</v>
      </c>
    </row>
    <row r="9281" ht="15" customHeight="1" s="104">
      <c r="H9281" s="198" t="n">
        <v>0</v>
      </c>
    </row>
    <row r="9282" ht="15" customHeight="1" s="104">
      <c r="H9282" s="198" t="n">
        <v>0</v>
      </c>
    </row>
    <row r="9283" ht="15" customHeight="1" s="104">
      <c r="H9283" s="198" t="n">
        <v>0</v>
      </c>
    </row>
    <row r="9284" ht="15" customHeight="1" s="104">
      <c r="H9284" s="198" t="n">
        <v>0</v>
      </c>
    </row>
    <row r="9285" ht="15" customHeight="1" s="104">
      <c r="H9285" s="198" t="n">
        <v>0</v>
      </c>
    </row>
    <row r="9286" ht="15" customHeight="1" s="104">
      <c r="H9286" s="198" t="n">
        <v>0</v>
      </c>
    </row>
    <row r="9287" ht="15" customHeight="1" s="104">
      <c r="H9287" s="198" t="n">
        <v>0</v>
      </c>
    </row>
    <row r="9288" ht="15" customHeight="1" s="104">
      <c r="H9288" s="198" t="n">
        <v>0</v>
      </c>
    </row>
    <row r="9289" ht="15" customHeight="1" s="104">
      <c r="H9289" s="198" t="n">
        <v>0</v>
      </c>
    </row>
    <row r="9290" ht="15" customHeight="1" s="104">
      <c r="H9290" s="198" t="n">
        <v>0</v>
      </c>
    </row>
    <row r="9291" ht="15" customHeight="1" s="104">
      <c r="H9291" s="198" t="n">
        <v>0</v>
      </c>
    </row>
    <row r="9292" ht="15" customHeight="1" s="104">
      <c r="H9292" s="198" t="n">
        <v>0</v>
      </c>
    </row>
    <row r="9293" ht="15" customHeight="1" s="104">
      <c r="H9293" s="198" t="n">
        <v>0</v>
      </c>
    </row>
    <row r="9294" ht="15" customHeight="1" s="104">
      <c r="H9294" s="198" t="n">
        <v>0</v>
      </c>
    </row>
    <row r="9295" ht="15" customHeight="1" s="104">
      <c r="H9295" s="198" t="n">
        <v>0</v>
      </c>
    </row>
    <row r="9296" ht="15" customHeight="1" s="104">
      <c r="H9296" s="198" t="n">
        <v>0</v>
      </c>
    </row>
    <row r="9297" ht="15" customHeight="1" s="104">
      <c r="H9297" s="198" t="n">
        <v>0</v>
      </c>
    </row>
    <row r="9298" ht="15" customHeight="1" s="104">
      <c r="H9298" s="198" t="n">
        <v>0</v>
      </c>
    </row>
    <row r="9299" ht="15" customHeight="1" s="104">
      <c r="H9299" s="198" t="n">
        <v>0</v>
      </c>
    </row>
    <row r="9300" ht="15" customHeight="1" s="104">
      <c r="H9300" s="198" t="n">
        <v>0</v>
      </c>
    </row>
    <row r="9301" ht="15" customHeight="1" s="104">
      <c r="H9301" s="198" t="n">
        <v>0</v>
      </c>
    </row>
    <row r="9302" ht="15" customHeight="1" s="104">
      <c r="H9302" s="198" t="n">
        <v>0</v>
      </c>
    </row>
    <row r="9303" ht="15" customHeight="1" s="104">
      <c r="H9303" s="198" t="n">
        <v>0</v>
      </c>
    </row>
    <row r="9304" ht="15" customHeight="1" s="104">
      <c r="H9304" s="198" t="n">
        <v>0</v>
      </c>
    </row>
    <row r="9305" ht="15" customHeight="1" s="104">
      <c r="H9305" s="198" t="n">
        <v>0</v>
      </c>
    </row>
    <row r="9306" ht="15" customHeight="1" s="104">
      <c r="H9306" s="198" t="n">
        <v>0</v>
      </c>
    </row>
    <row r="9307" ht="15" customHeight="1" s="104">
      <c r="H9307" s="198" t="n">
        <v>0</v>
      </c>
    </row>
    <row r="9308" ht="15" customHeight="1" s="104">
      <c r="H9308" s="198" t="n">
        <v>0</v>
      </c>
    </row>
    <row r="9309" ht="15" customHeight="1" s="104">
      <c r="H9309" s="198" t="n">
        <v>0</v>
      </c>
    </row>
    <row r="9310" ht="15" customHeight="1" s="104">
      <c r="H9310" s="198" t="n">
        <v>0</v>
      </c>
    </row>
    <row r="9311" ht="15" customHeight="1" s="104">
      <c r="H9311" s="198" t="n">
        <v>0</v>
      </c>
    </row>
    <row r="9312" ht="15" customHeight="1" s="104">
      <c r="H9312" s="198" t="n">
        <v>0</v>
      </c>
    </row>
    <row r="9313" ht="15" customHeight="1" s="104">
      <c r="H9313" s="198" t="n">
        <v>0</v>
      </c>
    </row>
    <row r="9314" ht="15" customHeight="1" s="104">
      <c r="H9314" s="198" t="n">
        <v>0</v>
      </c>
    </row>
    <row r="9315" ht="15" customHeight="1" s="104">
      <c r="H9315" s="198" t="n">
        <v>0</v>
      </c>
    </row>
    <row r="9316" ht="15" customHeight="1" s="104">
      <c r="H9316" s="198" t="n">
        <v>0</v>
      </c>
    </row>
    <row r="9317" ht="15" customHeight="1" s="104">
      <c r="H9317" s="198" t="n">
        <v>0</v>
      </c>
    </row>
    <row r="9318" ht="15" customHeight="1" s="104">
      <c r="H9318" s="198" t="n">
        <v>0</v>
      </c>
    </row>
    <row r="9319" ht="15" customHeight="1" s="104">
      <c r="H9319" s="198" t="n">
        <v>0</v>
      </c>
    </row>
    <row r="9320" ht="15" customHeight="1" s="104">
      <c r="H9320" s="198" t="n">
        <v>0</v>
      </c>
    </row>
    <row r="9321" ht="15" customHeight="1" s="104">
      <c r="H9321" s="198" t="n">
        <v>0</v>
      </c>
    </row>
    <row r="9322" ht="15" customHeight="1" s="104">
      <c r="H9322" s="198" t="n">
        <v>0</v>
      </c>
    </row>
    <row r="9323" ht="15" customHeight="1" s="104">
      <c r="H9323" s="198" t="n">
        <v>0</v>
      </c>
    </row>
    <row r="9324" ht="15" customHeight="1" s="104">
      <c r="H9324" s="198" t="n">
        <v>0</v>
      </c>
    </row>
    <row r="9325" ht="15" customHeight="1" s="104">
      <c r="H9325" s="198" t="n">
        <v>0</v>
      </c>
    </row>
    <row r="9326" ht="15" customHeight="1" s="104">
      <c r="H9326" s="198" t="n">
        <v>0</v>
      </c>
    </row>
    <row r="9327" ht="15" customHeight="1" s="104">
      <c r="H9327" s="198" t="n">
        <v>0</v>
      </c>
    </row>
    <row r="9328" ht="15" customHeight="1" s="104">
      <c r="H9328" s="198" t="n">
        <v>0</v>
      </c>
    </row>
    <row r="9329" ht="15" customHeight="1" s="104">
      <c r="H9329" s="198" t="n">
        <v>0</v>
      </c>
    </row>
    <row r="9330" ht="15" customHeight="1" s="104">
      <c r="H9330" s="198" t="n">
        <v>0</v>
      </c>
    </row>
    <row r="9331" ht="15" customHeight="1" s="104">
      <c r="H9331" s="198" t="n">
        <v>0</v>
      </c>
    </row>
    <row r="9332" ht="15" customHeight="1" s="104">
      <c r="H9332" s="198" t="n">
        <v>0</v>
      </c>
    </row>
    <row r="9333" ht="15" customHeight="1" s="104">
      <c r="H9333" s="198" t="n">
        <v>0</v>
      </c>
    </row>
    <row r="9334" ht="15" customHeight="1" s="104">
      <c r="H9334" s="198" t="n">
        <v>0</v>
      </c>
    </row>
    <row r="9335" ht="15" customHeight="1" s="104">
      <c r="H9335" s="198" t="n">
        <v>0</v>
      </c>
    </row>
    <row r="9336" ht="15" customHeight="1" s="104">
      <c r="H9336" s="198" t="n">
        <v>0</v>
      </c>
    </row>
    <row r="9337" ht="15" customHeight="1" s="104">
      <c r="H9337" s="198" t="n">
        <v>0</v>
      </c>
    </row>
    <row r="9338" ht="15" customHeight="1" s="104">
      <c r="H9338" s="198" t="n">
        <v>0</v>
      </c>
    </row>
    <row r="9339" ht="15" customHeight="1" s="104">
      <c r="H9339" s="198" t="n">
        <v>0</v>
      </c>
    </row>
    <row r="9340" ht="15" customHeight="1" s="104">
      <c r="H9340" s="198" t="n">
        <v>0</v>
      </c>
    </row>
    <row r="9341" ht="15" customHeight="1" s="104">
      <c r="H9341" s="198" t="n">
        <v>0</v>
      </c>
    </row>
    <row r="9342" ht="15" customHeight="1" s="104">
      <c r="H9342" s="198" t="n">
        <v>0</v>
      </c>
    </row>
    <row r="9343" ht="15" customHeight="1" s="104">
      <c r="H9343" s="198" t="n">
        <v>0</v>
      </c>
    </row>
    <row r="9344" ht="15" customHeight="1" s="104">
      <c r="H9344" s="198" t="n">
        <v>0</v>
      </c>
    </row>
    <row r="9345" ht="15" customHeight="1" s="104">
      <c r="H9345" s="198" t="n">
        <v>0</v>
      </c>
    </row>
    <row r="9346" ht="15" customHeight="1" s="104">
      <c r="H9346" s="198" t="n">
        <v>0</v>
      </c>
    </row>
    <row r="9347" ht="15" customHeight="1" s="104">
      <c r="H9347" s="198" t="n">
        <v>0</v>
      </c>
    </row>
    <row r="9348" ht="15" customHeight="1" s="104">
      <c r="H9348" s="198" t="n">
        <v>0</v>
      </c>
    </row>
    <row r="9349" ht="15" customHeight="1" s="104">
      <c r="H9349" s="198" t="n">
        <v>0</v>
      </c>
    </row>
    <row r="9350" ht="15" customHeight="1" s="104">
      <c r="H9350" s="198" t="n">
        <v>0</v>
      </c>
    </row>
    <row r="9351" ht="15" customHeight="1" s="104">
      <c r="H9351" s="198" t="n">
        <v>0</v>
      </c>
    </row>
    <row r="9352" ht="15" customHeight="1" s="104">
      <c r="H9352" s="198" t="n">
        <v>0</v>
      </c>
    </row>
    <row r="9353" ht="15" customHeight="1" s="104">
      <c r="H9353" s="198" t="n">
        <v>0</v>
      </c>
    </row>
    <row r="9354" ht="15" customHeight="1" s="104">
      <c r="H9354" s="198" t="n">
        <v>0</v>
      </c>
    </row>
    <row r="9355" ht="15" customHeight="1" s="104">
      <c r="H9355" s="198" t="n">
        <v>0</v>
      </c>
    </row>
    <row r="9356" ht="15" customHeight="1" s="104">
      <c r="H9356" s="198" t="n">
        <v>0</v>
      </c>
    </row>
    <row r="9357" ht="15" customHeight="1" s="104">
      <c r="H9357" s="198" t="n">
        <v>0</v>
      </c>
    </row>
    <row r="9358" ht="15" customHeight="1" s="104">
      <c r="H9358" s="198" t="n">
        <v>0</v>
      </c>
    </row>
    <row r="9359" ht="15" customHeight="1" s="104">
      <c r="H9359" s="198" t="n">
        <v>0</v>
      </c>
    </row>
    <row r="9360" ht="15" customHeight="1" s="104">
      <c r="H9360" s="198" t="n">
        <v>0</v>
      </c>
    </row>
    <row r="9361" ht="15" customHeight="1" s="104">
      <c r="H9361" s="198" t="n">
        <v>0</v>
      </c>
    </row>
    <row r="9362" ht="15" customHeight="1" s="104">
      <c r="H9362" s="198" t="n">
        <v>0</v>
      </c>
    </row>
    <row r="9363" ht="15" customHeight="1" s="104">
      <c r="H9363" s="198" t="n">
        <v>0</v>
      </c>
    </row>
    <row r="9364" ht="15" customHeight="1" s="104">
      <c r="H9364" s="198" t="n">
        <v>0</v>
      </c>
    </row>
    <row r="9365" ht="15" customHeight="1" s="104">
      <c r="H9365" s="198" t="n">
        <v>0</v>
      </c>
    </row>
    <row r="9366" ht="15" customHeight="1" s="104">
      <c r="H9366" s="198" t="n">
        <v>0</v>
      </c>
    </row>
    <row r="9367" ht="15" customHeight="1" s="104">
      <c r="H9367" s="198" t="n">
        <v>0</v>
      </c>
    </row>
    <row r="9368" ht="15" customHeight="1" s="104">
      <c r="H9368" s="198" t="n">
        <v>0</v>
      </c>
    </row>
    <row r="9369" ht="15" customHeight="1" s="104">
      <c r="H9369" s="198" t="n">
        <v>0</v>
      </c>
    </row>
    <row r="9370" ht="15" customHeight="1" s="104">
      <c r="H9370" s="198" t="n">
        <v>0</v>
      </c>
    </row>
    <row r="9371" ht="15" customHeight="1" s="104">
      <c r="H9371" s="198" t="n">
        <v>0</v>
      </c>
    </row>
    <row r="9372" ht="15" customHeight="1" s="104">
      <c r="H9372" s="198" t="n">
        <v>0</v>
      </c>
    </row>
    <row r="9373" ht="15" customHeight="1" s="104">
      <c r="H9373" s="198" t="n">
        <v>0</v>
      </c>
    </row>
    <row r="9374" ht="15" customHeight="1" s="104">
      <c r="H9374" s="198" t="n">
        <v>0</v>
      </c>
    </row>
    <row r="9375" ht="15" customHeight="1" s="104">
      <c r="H9375" s="198" t="n">
        <v>0</v>
      </c>
    </row>
    <row r="9376" ht="15" customHeight="1" s="104">
      <c r="H9376" s="198" t="n">
        <v>0</v>
      </c>
    </row>
    <row r="9377" ht="15" customHeight="1" s="104">
      <c r="H9377" s="198" t="n">
        <v>0</v>
      </c>
    </row>
    <row r="9378" ht="15" customHeight="1" s="104">
      <c r="H9378" s="198" t="n">
        <v>0</v>
      </c>
    </row>
    <row r="9379" ht="15" customHeight="1" s="104">
      <c r="H9379" s="198" t="n">
        <v>0</v>
      </c>
    </row>
    <row r="9380" ht="15" customHeight="1" s="104">
      <c r="H9380" s="198" t="n">
        <v>0</v>
      </c>
    </row>
    <row r="9381" ht="15" customHeight="1" s="104">
      <c r="H9381" s="198" t="n">
        <v>0</v>
      </c>
    </row>
    <row r="9382" ht="15" customHeight="1" s="104">
      <c r="H9382" s="198" t="n">
        <v>0</v>
      </c>
    </row>
    <row r="9383" ht="15" customHeight="1" s="104">
      <c r="H9383" s="198" t="n">
        <v>0</v>
      </c>
    </row>
    <row r="9384" ht="15" customHeight="1" s="104">
      <c r="H9384" s="198" t="n">
        <v>0</v>
      </c>
    </row>
    <row r="9385" ht="15" customHeight="1" s="104">
      <c r="H9385" s="198" t="n">
        <v>0</v>
      </c>
    </row>
    <row r="9386" ht="15" customHeight="1" s="104">
      <c r="H9386" s="198" t="n">
        <v>0</v>
      </c>
    </row>
    <row r="9387" ht="15" customHeight="1" s="104">
      <c r="H9387" s="198" t="n">
        <v>0</v>
      </c>
    </row>
    <row r="9388" ht="15" customHeight="1" s="104">
      <c r="H9388" s="198" t="n">
        <v>0</v>
      </c>
    </row>
    <row r="9389" ht="15" customHeight="1" s="104">
      <c r="H9389" s="198" t="n">
        <v>0</v>
      </c>
    </row>
    <row r="9390" ht="15" customHeight="1" s="104">
      <c r="H9390" s="198" t="n">
        <v>0</v>
      </c>
    </row>
    <row r="9391" ht="15" customHeight="1" s="104">
      <c r="H9391" s="198" t="n">
        <v>0</v>
      </c>
    </row>
    <row r="9392" ht="15" customHeight="1" s="104">
      <c r="H9392" s="198" t="n">
        <v>0</v>
      </c>
    </row>
    <row r="9393" ht="15" customHeight="1" s="104">
      <c r="H9393" s="198" t="n">
        <v>0</v>
      </c>
    </row>
    <row r="9394" ht="15" customHeight="1" s="104">
      <c r="H9394" s="198" t="n">
        <v>0</v>
      </c>
    </row>
    <row r="9395" ht="15" customHeight="1" s="104">
      <c r="H9395" s="198" t="n">
        <v>0</v>
      </c>
    </row>
    <row r="9396" ht="15" customHeight="1" s="104">
      <c r="H9396" s="198" t="n">
        <v>0</v>
      </c>
    </row>
    <row r="9397" ht="15" customHeight="1" s="104">
      <c r="H9397" s="198" t="n">
        <v>0</v>
      </c>
    </row>
    <row r="9398" ht="15" customHeight="1" s="104">
      <c r="H9398" s="198" t="n">
        <v>0</v>
      </c>
    </row>
    <row r="9399" ht="15" customHeight="1" s="104">
      <c r="H9399" s="198" t="n">
        <v>0</v>
      </c>
    </row>
    <row r="9400" ht="15" customHeight="1" s="104">
      <c r="H9400" s="198" t="n">
        <v>0</v>
      </c>
    </row>
    <row r="9401" ht="15" customHeight="1" s="104">
      <c r="H9401" s="198" t="n">
        <v>0</v>
      </c>
    </row>
    <row r="9402" ht="15" customHeight="1" s="104">
      <c r="H9402" s="198" t="n">
        <v>0</v>
      </c>
    </row>
    <row r="9403" ht="15" customHeight="1" s="104">
      <c r="H9403" s="198" t="n">
        <v>0</v>
      </c>
    </row>
    <row r="9404" ht="15" customHeight="1" s="104">
      <c r="H9404" s="198" t="n">
        <v>0</v>
      </c>
    </row>
    <row r="9405" ht="15" customHeight="1" s="104">
      <c r="H9405" s="198" t="n">
        <v>0</v>
      </c>
    </row>
    <row r="9406" ht="15" customHeight="1" s="104">
      <c r="H9406" s="198" t="n">
        <v>0</v>
      </c>
    </row>
    <row r="9407" ht="15" customHeight="1" s="104">
      <c r="H9407" s="198" t="n">
        <v>0</v>
      </c>
    </row>
    <row r="9408" ht="15" customHeight="1" s="104">
      <c r="H9408" s="198" t="n">
        <v>0</v>
      </c>
    </row>
    <row r="9409" ht="15" customHeight="1" s="104">
      <c r="H9409" s="198" t="n">
        <v>0</v>
      </c>
    </row>
    <row r="9410" ht="15" customHeight="1" s="104">
      <c r="H9410" s="198" t="n">
        <v>0</v>
      </c>
    </row>
    <row r="9411" ht="15" customHeight="1" s="104">
      <c r="H9411" s="198" t="n">
        <v>0</v>
      </c>
    </row>
    <row r="9412" ht="15" customHeight="1" s="104">
      <c r="H9412" s="198" t="n">
        <v>0</v>
      </c>
    </row>
    <row r="9413" ht="15" customHeight="1" s="104">
      <c r="H9413" s="198" t="n">
        <v>0</v>
      </c>
    </row>
    <row r="9414" ht="15" customHeight="1" s="104">
      <c r="H9414" s="198" t="n">
        <v>0</v>
      </c>
    </row>
    <row r="9415" ht="15" customHeight="1" s="104">
      <c r="H9415" s="198" t="n">
        <v>0</v>
      </c>
    </row>
    <row r="9416" ht="15" customHeight="1" s="104">
      <c r="H9416" s="198" t="n">
        <v>0</v>
      </c>
    </row>
    <row r="9417" ht="15" customHeight="1" s="104">
      <c r="H9417" s="198" t="n">
        <v>0</v>
      </c>
    </row>
    <row r="9418" ht="15" customHeight="1" s="104">
      <c r="H9418" s="198" t="n">
        <v>0</v>
      </c>
    </row>
    <row r="9419" ht="15" customHeight="1" s="104">
      <c r="H9419" s="198" t="n">
        <v>0</v>
      </c>
    </row>
    <row r="9420" ht="15" customHeight="1" s="104">
      <c r="H9420" s="198" t="n">
        <v>0</v>
      </c>
    </row>
    <row r="9421" ht="15" customHeight="1" s="104">
      <c r="H9421" s="198" t="n">
        <v>0</v>
      </c>
    </row>
    <row r="9422" ht="15" customHeight="1" s="104">
      <c r="H9422" s="198" t="n">
        <v>0</v>
      </c>
    </row>
    <row r="9423" ht="15" customHeight="1" s="104">
      <c r="H9423" s="198" t="n">
        <v>0</v>
      </c>
    </row>
    <row r="9424" ht="15" customHeight="1" s="104">
      <c r="H9424" s="198" t="n">
        <v>0</v>
      </c>
    </row>
    <row r="9425" ht="15" customHeight="1" s="104">
      <c r="H9425" s="198" t="n">
        <v>0</v>
      </c>
    </row>
    <row r="9426" ht="15" customHeight="1" s="104">
      <c r="H9426" s="198" t="n">
        <v>0</v>
      </c>
    </row>
    <row r="9427" ht="15" customHeight="1" s="104">
      <c r="H9427" s="198" t="n">
        <v>0</v>
      </c>
    </row>
    <row r="9428" ht="15" customHeight="1" s="104">
      <c r="H9428" s="198" t="n">
        <v>0</v>
      </c>
    </row>
    <row r="9429" ht="15" customHeight="1" s="104">
      <c r="H9429" s="198" t="n">
        <v>0</v>
      </c>
    </row>
    <row r="9430" ht="15" customHeight="1" s="104">
      <c r="H9430" s="198" t="n">
        <v>0</v>
      </c>
    </row>
    <row r="9431" ht="15" customHeight="1" s="104">
      <c r="H9431" s="198" t="n">
        <v>0</v>
      </c>
    </row>
    <row r="9432" ht="15" customHeight="1" s="104">
      <c r="H9432" s="198" t="n">
        <v>0</v>
      </c>
    </row>
    <row r="9433" ht="15" customHeight="1" s="104">
      <c r="H9433" s="198" t="n">
        <v>0</v>
      </c>
    </row>
    <row r="9434" ht="15" customHeight="1" s="104">
      <c r="H9434" s="198" t="n">
        <v>0</v>
      </c>
    </row>
    <row r="9435" ht="15" customHeight="1" s="104">
      <c r="H9435" s="198" t="n">
        <v>0</v>
      </c>
    </row>
    <row r="9436" ht="15" customHeight="1" s="104">
      <c r="H9436" s="198" t="n">
        <v>0</v>
      </c>
    </row>
    <row r="9437" ht="15" customHeight="1" s="104">
      <c r="H9437" s="198" t="n">
        <v>0</v>
      </c>
    </row>
    <row r="9438" ht="15" customHeight="1" s="104">
      <c r="H9438" s="198" t="n">
        <v>0</v>
      </c>
    </row>
    <row r="9439" ht="15" customHeight="1" s="104">
      <c r="H9439" s="198" t="n">
        <v>0</v>
      </c>
    </row>
    <row r="9440" ht="15" customHeight="1" s="104">
      <c r="H9440" s="198" t="n">
        <v>0</v>
      </c>
    </row>
    <row r="9441" ht="15" customHeight="1" s="104">
      <c r="H9441" s="198" t="n">
        <v>0</v>
      </c>
    </row>
    <row r="9442" ht="15" customHeight="1" s="104">
      <c r="H9442" s="198" t="n">
        <v>0</v>
      </c>
    </row>
    <row r="9443" ht="15" customHeight="1" s="104">
      <c r="H9443" s="198" t="n">
        <v>0</v>
      </c>
    </row>
    <row r="9444" ht="15" customHeight="1" s="104">
      <c r="H9444" s="198" t="n">
        <v>0</v>
      </c>
    </row>
    <row r="9445" ht="15" customHeight="1" s="104">
      <c r="H9445" s="198" t="n">
        <v>0</v>
      </c>
    </row>
    <row r="9446" ht="15" customHeight="1" s="104">
      <c r="H9446" s="198" t="n">
        <v>0</v>
      </c>
    </row>
    <row r="9447" ht="15" customHeight="1" s="104">
      <c r="H9447" s="198" t="n">
        <v>0</v>
      </c>
    </row>
    <row r="9448" ht="15" customHeight="1" s="104">
      <c r="H9448" s="198" t="n">
        <v>0</v>
      </c>
    </row>
    <row r="9449" ht="15" customHeight="1" s="104">
      <c r="H9449" s="198" t="n">
        <v>0</v>
      </c>
    </row>
    <row r="9450" ht="15" customHeight="1" s="104">
      <c r="H9450" s="198" t="n">
        <v>0</v>
      </c>
    </row>
    <row r="9451" ht="15" customHeight="1" s="104">
      <c r="H9451" s="198" t="n">
        <v>0</v>
      </c>
    </row>
    <row r="9452" ht="15" customHeight="1" s="104">
      <c r="H9452" s="198" t="n">
        <v>0</v>
      </c>
    </row>
    <row r="9453" ht="15" customHeight="1" s="104">
      <c r="H9453" s="198" t="n">
        <v>0</v>
      </c>
    </row>
    <row r="9454" ht="15" customHeight="1" s="104">
      <c r="H9454" s="198" t="n">
        <v>0</v>
      </c>
    </row>
    <row r="9455" ht="15" customHeight="1" s="104">
      <c r="H9455" s="198" t="n">
        <v>0</v>
      </c>
    </row>
    <row r="9456" ht="15" customHeight="1" s="104">
      <c r="H9456" s="198" t="n">
        <v>0</v>
      </c>
    </row>
    <row r="9457" ht="15" customHeight="1" s="104">
      <c r="H9457" s="198" t="n">
        <v>0</v>
      </c>
    </row>
    <row r="9458" ht="15" customHeight="1" s="104">
      <c r="H9458" s="198" t="n">
        <v>0</v>
      </c>
    </row>
    <row r="9459" ht="15" customHeight="1" s="104">
      <c r="H9459" s="198" t="n">
        <v>0</v>
      </c>
    </row>
    <row r="9460" ht="15" customHeight="1" s="104">
      <c r="H9460" s="198" t="n">
        <v>0</v>
      </c>
    </row>
    <row r="9461" ht="15" customHeight="1" s="104">
      <c r="H9461" s="198" t="n">
        <v>0</v>
      </c>
    </row>
    <row r="9462" ht="15" customHeight="1" s="104">
      <c r="H9462" s="198" t="n">
        <v>0</v>
      </c>
    </row>
    <row r="9463" ht="15" customHeight="1" s="104">
      <c r="H9463" s="198" t="n">
        <v>0</v>
      </c>
    </row>
    <row r="9464" ht="15" customHeight="1" s="104">
      <c r="H9464" s="198" t="n">
        <v>0</v>
      </c>
    </row>
    <row r="9465" ht="15" customHeight="1" s="104">
      <c r="H9465" s="198" t="n">
        <v>0</v>
      </c>
    </row>
    <row r="9466" ht="15" customHeight="1" s="104">
      <c r="H9466" s="198" t="n">
        <v>0</v>
      </c>
    </row>
    <row r="9467" ht="15" customHeight="1" s="104">
      <c r="H9467" s="198" t="n">
        <v>0</v>
      </c>
    </row>
    <row r="9468" ht="15" customHeight="1" s="104">
      <c r="H9468" s="198" t="n">
        <v>0</v>
      </c>
    </row>
    <row r="9469" ht="15" customHeight="1" s="104">
      <c r="H9469" s="198" t="n">
        <v>0</v>
      </c>
    </row>
    <row r="9470" ht="15" customHeight="1" s="104">
      <c r="H9470" s="198" t="n">
        <v>0</v>
      </c>
    </row>
    <row r="9471" ht="15" customHeight="1" s="104">
      <c r="H9471" s="198" t="n">
        <v>0</v>
      </c>
    </row>
    <row r="9472" ht="15" customHeight="1" s="104">
      <c r="H9472" s="198" t="n">
        <v>0</v>
      </c>
    </row>
    <row r="9473" ht="15" customHeight="1" s="104">
      <c r="H9473" s="198" t="n">
        <v>0</v>
      </c>
    </row>
    <row r="9474" ht="15" customHeight="1" s="104">
      <c r="H9474" s="198" t="n">
        <v>0</v>
      </c>
    </row>
    <row r="9475" ht="15" customHeight="1" s="104">
      <c r="H9475" s="198" t="n">
        <v>0</v>
      </c>
    </row>
    <row r="9476" ht="15" customHeight="1" s="104">
      <c r="H9476" s="198" t="n">
        <v>0</v>
      </c>
    </row>
    <row r="9477" ht="15" customHeight="1" s="104">
      <c r="H9477" s="198" t="n">
        <v>0</v>
      </c>
    </row>
    <row r="9478" ht="15" customHeight="1" s="104">
      <c r="H9478" s="198" t="n">
        <v>0</v>
      </c>
    </row>
    <row r="9479" ht="15" customHeight="1" s="104">
      <c r="H9479" s="198" t="n">
        <v>0</v>
      </c>
    </row>
    <row r="9480" ht="15" customHeight="1" s="104">
      <c r="H9480" s="198" t="n">
        <v>0</v>
      </c>
    </row>
    <row r="9481" ht="15" customHeight="1" s="104">
      <c r="H9481" s="198" t="n">
        <v>0</v>
      </c>
    </row>
    <row r="9482" ht="15" customHeight="1" s="104">
      <c r="H9482" s="198" t="n">
        <v>0</v>
      </c>
    </row>
    <row r="9483" ht="15" customHeight="1" s="104">
      <c r="H9483" s="198" t="n">
        <v>0</v>
      </c>
    </row>
    <row r="9484" ht="15" customHeight="1" s="104">
      <c r="H9484" s="198" t="n">
        <v>0</v>
      </c>
    </row>
    <row r="9485" ht="15" customHeight="1" s="104">
      <c r="H9485" s="198" t="n">
        <v>0</v>
      </c>
    </row>
    <row r="9486" ht="15" customHeight="1" s="104">
      <c r="H9486" s="198" t="n">
        <v>0</v>
      </c>
    </row>
    <row r="9487" ht="15" customHeight="1" s="104">
      <c r="H9487" s="198" t="n">
        <v>0</v>
      </c>
    </row>
    <row r="9488" ht="15" customHeight="1" s="104">
      <c r="H9488" s="198" t="n">
        <v>0</v>
      </c>
    </row>
    <row r="9489" ht="15" customHeight="1" s="104">
      <c r="H9489" s="198" t="n">
        <v>0</v>
      </c>
    </row>
    <row r="9490" ht="15" customHeight="1" s="104">
      <c r="H9490" s="198" t="n">
        <v>0</v>
      </c>
    </row>
    <row r="9491" ht="15" customHeight="1" s="104">
      <c r="H9491" s="198" t="n">
        <v>0</v>
      </c>
    </row>
    <row r="9492" ht="15" customHeight="1" s="104">
      <c r="H9492" s="198" t="n">
        <v>0</v>
      </c>
    </row>
    <row r="9493" ht="15" customHeight="1" s="104">
      <c r="H9493" s="198" t="n">
        <v>0</v>
      </c>
    </row>
    <row r="9494" ht="15" customHeight="1" s="104">
      <c r="H9494" s="198" t="n">
        <v>0</v>
      </c>
    </row>
    <row r="9495" ht="15" customHeight="1" s="104">
      <c r="H9495" s="198" t="n">
        <v>0</v>
      </c>
    </row>
    <row r="9496" ht="15" customHeight="1" s="104">
      <c r="H9496" s="198" t="n">
        <v>0</v>
      </c>
    </row>
    <row r="9497" ht="15" customHeight="1" s="104">
      <c r="H9497" s="198" t="n">
        <v>0</v>
      </c>
    </row>
    <row r="9498" ht="15" customHeight="1" s="104">
      <c r="H9498" s="198" t="n">
        <v>0</v>
      </c>
    </row>
    <row r="9499" ht="15" customHeight="1" s="104">
      <c r="H9499" s="198" t="n">
        <v>0</v>
      </c>
    </row>
    <row r="9500" ht="15" customHeight="1" s="104">
      <c r="H9500" s="198" t="n">
        <v>0</v>
      </c>
    </row>
    <row r="9501" ht="15" customHeight="1" s="104">
      <c r="H9501" s="198" t="n">
        <v>0</v>
      </c>
    </row>
    <row r="9502" ht="15" customHeight="1" s="104">
      <c r="H9502" s="198" t="n">
        <v>0</v>
      </c>
    </row>
    <row r="9503" ht="15" customHeight="1" s="104">
      <c r="H9503" s="198" t="n">
        <v>0</v>
      </c>
    </row>
    <row r="9504" ht="15" customHeight="1" s="104">
      <c r="H9504" s="198" t="n">
        <v>0</v>
      </c>
    </row>
    <row r="9505" ht="15" customHeight="1" s="104">
      <c r="H9505" s="198" t="n">
        <v>0</v>
      </c>
    </row>
    <row r="9506" ht="15" customHeight="1" s="104">
      <c r="H9506" s="198" t="n">
        <v>0</v>
      </c>
    </row>
    <row r="9507" ht="15" customHeight="1" s="104">
      <c r="H9507" s="198" t="n">
        <v>0</v>
      </c>
    </row>
    <row r="9508" ht="15" customHeight="1" s="104">
      <c r="H9508" s="198" t="n">
        <v>0</v>
      </c>
    </row>
    <row r="9509" ht="15" customHeight="1" s="104">
      <c r="H9509" s="198" t="n">
        <v>0</v>
      </c>
    </row>
    <row r="9510" ht="15" customHeight="1" s="104">
      <c r="H9510" s="198" t="n">
        <v>0</v>
      </c>
    </row>
    <row r="9511" ht="15" customHeight="1" s="104">
      <c r="H9511" s="198" t="n">
        <v>0</v>
      </c>
    </row>
    <row r="9512" ht="15" customHeight="1" s="104">
      <c r="H9512" s="198" t="n">
        <v>0</v>
      </c>
    </row>
    <row r="9513" ht="15" customHeight="1" s="104">
      <c r="H9513" s="198" t="n">
        <v>0</v>
      </c>
    </row>
    <row r="9514" ht="15" customHeight="1" s="104">
      <c r="H9514" s="198" t="n">
        <v>0</v>
      </c>
    </row>
    <row r="9515" ht="15" customHeight="1" s="104">
      <c r="H9515" s="198" t="n">
        <v>0</v>
      </c>
    </row>
    <row r="9516" ht="15" customHeight="1" s="104">
      <c r="H9516" s="198" t="n">
        <v>0</v>
      </c>
    </row>
    <row r="9517" ht="15" customHeight="1" s="104">
      <c r="H9517" s="198" t="n">
        <v>0</v>
      </c>
    </row>
    <row r="9518" ht="15" customHeight="1" s="104">
      <c r="H9518" s="198" t="n">
        <v>0</v>
      </c>
    </row>
    <row r="9519" ht="15" customHeight="1" s="104">
      <c r="H9519" s="198" t="n">
        <v>0</v>
      </c>
    </row>
    <row r="9520" ht="15" customHeight="1" s="104">
      <c r="H9520" s="198" t="n">
        <v>0</v>
      </c>
    </row>
    <row r="9521" ht="15" customHeight="1" s="104">
      <c r="H9521" s="198" t="n">
        <v>0</v>
      </c>
    </row>
    <row r="9522" ht="15" customHeight="1" s="104">
      <c r="H9522" s="198" t="n">
        <v>0</v>
      </c>
    </row>
    <row r="9523" ht="15" customHeight="1" s="104">
      <c r="H9523" s="198" t="n">
        <v>0</v>
      </c>
    </row>
    <row r="9524" ht="15" customHeight="1" s="104">
      <c r="H9524" s="198" t="n">
        <v>0</v>
      </c>
    </row>
    <row r="9525" ht="15" customHeight="1" s="104">
      <c r="H9525" s="198" t="n">
        <v>0</v>
      </c>
    </row>
    <row r="9526" ht="15" customHeight="1" s="104">
      <c r="H9526" s="198" t="n">
        <v>0</v>
      </c>
    </row>
    <row r="9527" ht="15" customHeight="1" s="104">
      <c r="H9527" s="198" t="n">
        <v>0</v>
      </c>
    </row>
    <row r="9528" ht="15" customHeight="1" s="104">
      <c r="H9528" s="198" t="n">
        <v>0</v>
      </c>
    </row>
    <row r="9529" ht="15" customHeight="1" s="104">
      <c r="H9529" s="198" t="n">
        <v>0</v>
      </c>
    </row>
    <row r="9530" ht="15" customHeight="1" s="104">
      <c r="H9530" s="198" t="n">
        <v>0</v>
      </c>
    </row>
    <row r="9531" ht="15" customHeight="1" s="104">
      <c r="H9531" s="198" t="n">
        <v>0</v>
      </c>
    </row>
    <row r="9532" ht="15" customHeight="1" s="104">
      <c r="H9532" s="198" t="n">
        <v>0</v>
      </c>
    </row>
    <row r="9533" ht="15" customHeight="1" s="104">
      <c r="H9533" s="198" t="n">
        <v>0</v>
      </c>
    </row>
    <row r="9534" ht="15" customHeight="1" s="104">
      <c r="H9534" s="198" t="n">
        <v>0</v>
      </c>
    </row>
    <row r="9535" ht="15" customHeight="1" s="104">
      <c r="H9535" s="198" t="n">
        <v>0</v>
      </c>
    </row>
    <row r="9536" ht="15" customHeight="1" s="104">
      <c r="H9536" s="198" t="n">
        <v>0</v>
      </c>
    </row>
    <row r="9537" ht="15" customHeight="1" s="104">
      <c r="H9537" s="198" t="n">
        <v>0</v>
      </c>
    </row>
    <row r="9538" ht="15" customHeight="1" s="104">
      <c r="H9538" s="198" t="n">
        <v>0</v>
      </c>
    </row>
    <row r="9539" ht="15" customHeight="1" s="104">
      <c r="H9539" s="198" t="n">
        <v>0</v>
      </c>
    </row>
    <row r="9540" ht="15" customHeight="1" s="104">
      <c r="H9540" s="198" t="n">
        <v>0</v>
      </c>
    </row>
    <row r="9541" ht="15" customHeight="1" s="104">
      <c r="H9541" s="198" t="n">
        <v>0</v>
      </c>
    </row>
    <row r="9542" ht="15" customHeight="1" s="104">
      <c r="H9542" s="198" t="n">
        <v>0</v>
      </c>
    </row>
    <row r="9543" ht="15" customHeight="1" s="104">
      <c r="H9543" s="198" t="n">
        <v>0</v>
      </c>
    </row>
    <row r="9544" ht="15" customHeight="1" s="104">
      <c r="H9544" s="198" t="n">
        <v>0</v>
      </c>
    </row>
    <row r="9545" ht="15" customHeight="1" s="104">
      <c r="H9545" s="198" t="n">
        <v>0</v>
      </c>
    </row>
    <row r="9546" ht="15" customHeight="1" s="104">
      <c r="H9546" s="198" t="n">
        <v>0</v>
      </c>
    </row>
    <row r="9547" ht="15" customHeight="1" s="104">
      <c r="H9547" s="198" t="n">
        <v>0</v>
      </c>
    </row>
    <row r="9548" ht="15" customHeight="1" s="104">
      <c r="H9548" s="198" t="n">
        <v>0</v>
      </c>
    </row>
    <row r="9549" ht="15" customHeight="1" s="104">
      <c r="H9549" s="198" t="n">
        <v>0</v>
      </c>
    </row>
    <row r="9550" ht="15" customHeight="1" s="104">
      <c r="H9550" s="198" t="n">
        <v>0</v>
      </c>
    </row>
    <row r="9551" ht="15" customHeight="1" s="104">
      <c r="H9551" s="198" t="n">
        <v>0</v>
      </c>
    </row>
    <row r="9552" ht="15" customHeight="1" s="104">
      <c r="H9552" s="198" t="n">
        <v>0</v>
      </c>
    </row>
    <row r="9553" ht="15" customHeight="1" s="104">
      <c r="H9553" s="198" t="n">
        <v>0</v>
      </c>
    </row>
    <row r="9554" ht="15" customHeight="1" s="104">
      <c r="H9554" s="198" t="n">
        <v>0</v>
      </c>
    </row>
    <row r="9555" ht="15" customHeight="1" s="104">
      <c r="H9555" s="198" t="n">
        <v>0</v>
      </c>
    </row>
    <row r="9556" ht="15" customHeight="1" s="104">
      <c r="H9556" s="198" t="n">
        <v>0</v>
      </c>
    </row>
    <row r="9557" ht="15" customHeight="1" s="104">
      <c r="H9557" s="198" t="n">
        <v>0</v>
      </c>
    </row>
    <row r="9558" ht="15" customHeight="1" s="104">
      <c r="H9558" s="198" t="n">
        <v>0</v>
      </c>
    </row>
    <row r="9559" ht="15" customHeight="1" s="104">
      <c r="H9559" s="198" t="n">
        <v>0</v>
      </c>
    </row>
    <row r="9560" ht="15" customHeight="1" s="104">
      <c r="H9560" s="198" t="n">
        <v>0</v>
      </c>
    </row>
    <row r="9561" ht="15" customHeight="1" s="104">
      <c r="H9561" s="198" t="n">
        <v>0</v>
      </c>
    </row>
    <row r="9562" ht="15" customHeight="1" s="104">
      <c r="H9562" s="198" t="n">
        <v>0</v>
      </c>
    </row>
    <row r="9563" ht="15" customHeight="1" s="104">
      <c r="H9563" s="198" t="n">
        <v>0</v>
      </c>
    </row>
    <row r="9564" ht="15" customHeight="1" s="104">
      <c r="H9564" s="198" t="n">
        <v>0</v>
      </c>
    </row>
    <row r="9565" ht="15" customHeight="1" s="104">
      <c r="H9565" s="198" t="n">
        <v>0</v>
      </c>
    </row>
    <row r="9566" ht="15" customHeight="1" s="104">
      <c r="H9566" s="198" t="n">
        <v>0</v>
      </c>
    </row>
    <row r="9567" ht="15" customHeight="1" s="104">
      <c r="H9567" s="198" t="n">
        <v>0</v>
      </c>
    </row>
    <row r="9568" ht="15" customHeight="1" s="104">
      <c r="H9568" s="198" t="n">
        <v>0</v>
      </c>
    </row>
    <row r="9569" ht="15" customHeight="1" s="104">
      <c r="H9569" s="198" t="n">
        <v>0</v>
      </c>
    </row>
    <row r="9570" ht="15" customHeight="1" s="104">
      <c r="H9570" s="198" t="n">
        <v>0</v>
      </c>
    </row>
    <row r="9571" ht="15" customHeight="1" s="104">
      <c r="H9571" s="198" t="n">
        <v>0</v>
      </c>
    </row>
    <row r="9572" ht="15" customHeight="1" s="104">
      <c r="H9572" s="198" t="n">
        <v>0</v>
      </c>
    </row>
    <row r="9573" ht="15" customHeight="1" s="104">
      <c r="H9573" s="198" t="n">
        <v>0</v>
      </c>
    </row>
    <row r="9574" ht="15" customHeight="1" s="104">
      <c r="H9574" s="198" t="n">
        <v>0</v>
      </c>
    </row>
    <row r="9575" ht="15" customHeight="1" s="104">
      <c r="H9575" s="198" t="n">
        <v>0</v>
      </c>
    </row>
    <row r="9576" ht="15" customHeight="1" s="104">
      <c r="H9576" s="198" t="n">
        <v>0</v>
      </c>
    </row>
    <row r="9577" ht="15" customHeight="1" s="104">
      <c r="H9577" s="198" t="n">
        <v>0</v>
      </c>
    </row>
    <row r="9578" ht="15" customHeight="1" s="104">
      <c r="H9578" s="198" t="n">
        <v>0</v>
      </c>
    </row>
    <row r="9579" ht="15" customHeight="1" s="104">
      <c r="H9579" s="198" t="n">
        <v>0</v>
      </c>
    </row>
    <row r="9580" ht="15" customHeight="1" s="104">
      <c r="H9580" s="198" t="n">
        <v>0</v>
      </c>
    </row>
    <row r="9581" ht="15" customHeight="1" s="104">
      <c r="H9581" s="198" t="n">
        <v>0</v>
      </c>
    </row>
    <row r="9582" ht="15" customHeight="1" s="104">
      <c r="H9582" s="198" t="n">
        <v>0</v>
      </c>
    </row>
    <row r="9583" ht="15" customHeight="1" s="104">
      <c r="H9583" s="198" t="n">
        <v>0</v>
      </c>
    </row>
    <row r="9584" ht="15" customHeight="1" s="104">
      <c r="H9584" s="198" t="n">
        <v>0</v>
      </c>
    </row>
    <row r="9585" ht="15" customHeight="1" s="104">
      <c r="H9585" s="198" t="n">
        <v>0</v>
      </c>
    </row>
    <row r="9586" ht="15" customHeight="1" s="104">
      <c r="H9586" s="198" t="n">
        <v>0</v>
      </c>
    </row>
    <row r="9587" ht="15" customHeight="1" s="104">
      <c r="H9587" s="198" t="n">
        <v>0</v>
      </c>
    </row>
    <row r="9588" ht="15" customHeight="1" s="104">
      <c r="H9588" s="198" t="n">
        <v>0</v>
      </c>
    </row>
    <row r="9589" ht="15" customHeight="1" s="104">
      <c r="H9589" s="198" t="n">
        <v>0</v>
      </c>
    </row>
    <row r="9590" ht="15" customHeight="1" s="104">
      <c r="H9590" s="198" t="n">
        <v>0</v>
      </c>
    </row>
    <row r="9591" ht="15" customHeight="1" s="104">
      <c r="H9591" s="198" t="n">
        <v>0</v>
      </c>
    </row>
    <row r="9592" ht="15" customHeight="1" s="104">
      <c r="H9592" s="198" t="n">
        <v>0</v>
      </c>
    </row>
    <row r="9593" ht="15" customHeight="1" s="104">
      <c r="H9593" s="198" t="n">
        <v>0</v>
      </c>
    </row>
    <row r="9594" ht="15" customHeight="1" s="104">
      <c r="H9594" s="198" t="n">
        <v>0</v>
      </c>
    </row>
    <row r="9595" ht="15" customHeight="1" s="104">
      <c r="H9595" s="198" t="n">
        <v>0</v>
      </c>
    </row>
    <row r="9596" ht="15" customHeight="1" s="104">
      <c r="H9596" s="198" t="n">
        <v>0</v>
      </c>
    </row>
    <row r="9597" ht="15" customHeight="1" s="104">
      <c r="H9597" s="198" t="n">
        <v>0</v>
      </c>
    </row>
    <row r="9598" ht="15" customHeight="1" s="104">
      <c r="H9598" s="198" t="n">
        <v>0</v>
      </c>
    </row>
    <row r="9599" ht="15" customHeight="1" s="104">
      <c r="H9599" s="198" t="n">
        <v>0</v>
      </c>
    </row>
    <row r="9600" ht="15" customHeight="1" s="104">
      <c r="H9600" s="198" t="n">
        <v>0</v>
      </c>
    </row>
    <row r="9601" ht="15" customHeight="1" s="104">
      <c r="H9601" s="198" t="n">
        <v>0</v>
      </c>
    </row>
    <row r="9602" ht="15" customHeight="1" s="104">
      <c r="H9602" s="198" t="n">
        <v>0</v>
      </c>
    </row>
    <row r="9603" ht="15" customHeight="1" s="104">
      <c r="H9603" s="198" t="n">
        <v>0</v>
      </c>
    </row>
    <row r="9604" ht="15" customHeight="1" s="104">
      <c r="H9604" s="198" t="n">
        <v>0</v>
      </c>
    </row>
    <row r="9605" ht="15" customHeight="1" s="104">
      <c r="H9605" s="198" t="n">
        <v>0</v>
      </c>
    </row>
    <row r="9606" ht="15" customHeight="1" s="104">
      <c r="H9606" s="198" t="n">
        <v>0</v>
      </c>
    </row>
    <row r="9607" ht="15" customHeight="1" s="104">
      <c r="H9607" s="198" t="n">
        <v>0</v>
      </c>
    </row>
    <row r="9608" ht="15" customHeight="1" s="104">
      <c r="H9608" s="198" t="n">
        <v>0</v>
      </c>
    </row>
    <row r="9609" ht="15" customHeight="1" s="104">
      <c r="H9609" s="198" t="n">
        <v>0</v>
      </c>
    </row>
    <row r="9610" ht="15" customHeight="1" s="104">
      <c r="H9610" s="198" t="n">
        <v>0</v>
      </c>
    </row>
    <row r="9611" ht="15" customHeight="1" s="104">
      <c r="H9611" s="198" t="n">
        <v>0</v>
      </c>
    </row>
    <row r="9612" ht="15" customHeight="1" s="104">
      <c r="H9612" s="198" t="n">
        <v>0</v>
      </c>
    </row>
    <row r="9613" ht="15" customHeight="1" s="104">
      <c r="H9613" s="198" t="n">
        <v>0</v>
      </c>
    </row>
    <row r="9614" ht="15" customHeight="1" s="104">
      <c r="H9614" s="198" t="n">
        <v>0</v>
      </c>
    </row>
    <row r="9615" ht="15" customHeight="1" s="104">
      <c r="H9615" s="198" t="n">
        <v>0</v>
      </c>
    </row>
    <row r="9616" ht="15" customHeight="1" s="104">
      <c r="H9616" s="198" t="n">
        <v>0</v>
      </c>
    </row>
    <row r="9617" ht="15" customHeight="1" s="104">
      <c r="H9617" s="198" t="n">
        <v>0</v>
      </c>
    </row>
    <row r="9618" ht="15" customHeight="1" s="104">
      <c r="H9618" s="198" t="n">
        <v>0</v>
      </c>
    </row>
    <row r="9619" ht="15" customHeight="1" s="104">
      <c r="H9619" s="198" t="n">
        <v>0</v>
      </c>
    </row>
    <row r="9620" ht="15" customHeight="1" s="104">
      <c r="H9620" s="198" t="n">
        <v>0</v>
      </c>
    </row>
    <row r="9621" ht="15" customHeight="1" s="104">
      <c r="H9621" s="198" t="n">
        <v>0</v>
      </c>
    </row>
    <row r="9622" ht="15" customHeight="1" s="104">
      <c r="H9622" s="198" t="n">
        <v>0</v>
      </c>
    </row>
    <row r="9623" ht="15" customHeight="1" s="104">
      <c r="H9623" s="198" t="n">
        <v>0</v>
      </c>
    </row>
    <row r="9624" ht="15" customHeight="1" s="104">
      <c r="H9624" s="198" t="n">
        <v>0</v>
      </c>
    </row>
    <row r="9625" ht="15" customHeight="1" s="104">
      <c r="H9625" s="198" t="n">
        <v>0</v>
      </c>
    </row>
    <row r="9626" ht="15" customHeight="1" s="104">
      <c r="H9626" s="198" t="n">
        <v>0</v>
      </c>
    </row>
    <row r="9627" ht="15" customHeight="1" s="104">
      <c r="H9627" s="198" t="n">
        <v>0</v>
      </c>
    </row>
    <row r="9628" ht="15" customHeight="1" s="104">
      <c r="H9628" s="198" t="n">
        <v>0</v>
      </c>
    </row>
    <row r="9629" ht="15" customHeight="1" s="104">
      <c r="H9629" s="198" t="n">
        <v>0</v>
      </c>
    </row>
    <row r="9630" ht="15" customHeight="1" s="104">
      <c r="H9630" s="198" t="n">
        <v>0</v>
      </c>
    </row>
    <row r="9631" ht="15" customHeight="1" s="104">
      <c r="H9631" s="198" t="n">
        <v>0</v>
      </c>
    </row>
    <row r="9632" ht="15" customHeight="1" s="104">
      <c r="H9632" s="198" t="n">
        <v>0</v>
      </c>
    </row>
    <row r="9633" ht="15" customHeight="1" s="104">
      <c r="H9633" s="198" t="n">
        <v>0</v>
      </c>
    </row>
    <row r="9634" ht="15" customHeight="1" s="104">
      <c r="H9634" s="198" t="n">
        <v>0</v>
      </c>
    </row>
    <row r="9635" ht="15" customHeight="1" s="104">
      <c r="H9635" s="198" t="n">
        <v>0</v>
      </c>
    </row>
    <row r="9636" ht="15" customHeight="1" s="104">
      <c r="H9636" s="198" t="n">
        <v>0</v>
      </c>
    </row>
    <row r="9637" ht="15" customHeight="1" s="104">
      <c r="H9637" s="198" t="n">
        <v>0</v>
      </c>
    </row>
    <row r="9638" ht="15" customHeight="1" s="104">
      <c r="H9638" s="198" t="n">
        <v>0</v>
      </c>
    </row>
    <row r="9639" ht="15" customHeight="1" s="104">
      <c r="H9639" s="198" t="n">
        <v>0</v>
      </c>
    </row>
    <row r="9640" ht="15" customHeight="1" s="104">
      <c r="H9640" s="198" t="n">
        <v>0</v>
      </c>
    </row>
    <row r="9641" ht="15" customHeight="1" s="104">
      <c r="H9641" s="198" t="n">
        <v>0</v>
      </c>
    </row>
    <row r="9642" ht="15" customHeight="1" s="104">
      <c r="H9642" s="198" t="n">
        <v>0</v>
      </c>
    </row>
    <row r="9643" ht="15" customHeight="1" s="104">
      <c r="H9643" s="198" t="n">
        <v>0</v>
      </c>
    </row>
    <row r="9644" ht="15" customHeight="1" s="104">
      <c r="H9644" s="198" t="n">
        <v>0</v>
      </c>
    </row>
    <row r="9645" ht="15" customHeight="1" s="104">
      <c r="H9645" s="198" t="n">
        <v>0</v>
      </c>
    </row>
    <row r="9646" ht="15" customHeight="1" s="104">
      <c r="H9646" s="198" t="n">
        <v>0</v>
      </c>
    </row>
    <row r="9647" ht="15" customHeight="1" s="104">
      <c r="H9647" s="198" t="n">
        <v>0</v>
      </c>
    </row>
    <row r="9648" ht="15" customHeight="1" s="104">
      <c r="H9648" s="198" t="n">
        <v>0</v>
      </c>
    </row>
    <row r="9649" ht="15" customHeight="1" s="104">
      <c r="H9649" s="198" t="n">
        <v>0</v>
      </c>
    </row>
    <row r="9650" ht="15" customHeight="1" s="104">
      <c r="H9650" s="198" t="n">
        <v>0</v>
      </c>
    </row>
    <row r="9651" ht="15" customHeight="1" s="104">
      <c r="H9651" s="198" t="n">
        <v>0</v>
      </c>
    </row>
    <row r="9652" ht="15" customHeight="1" s="104">
      <c r="H9652" s="198" t="n">
        <v>0</v>
      </c>
    </row>
    <row r="9653" ht="15" customHeight="1" s="104">
      <c r="H9653" s="198" t="n">
        <v>0</v>
      </c>
    </row>
    <row r="9654" ht="15" customHeight="1" s="104">
      <c r="H9654" s="198" t="n">
        <v>0</v>
      </c>
    </row>
    <row r="9655" ht="15" customHeight="1" s="104">
      <c r="H9655" s="198" t="n">
        <v>0</v>
      </c>
    </row>
    <row r="9656" ht="15" customHeight="1" s="104">
      <c r="H9656" s="198" t="n">
        <v>0</v>
      </c>
    </row>
    <row r="9657" ht="15" customHeight="1" s="104">
      <c r="H9657" s="198" t="n">
        <v>0</v>
      </c>
    </row>
    <row r="9658" ht="15" customHeight="1" s="104">
      <c r="H9658" s="198" t="n">
        <v>0</v>
      </c>
    </row>
    <row r="9659" ht="15" customHeight="1" s="104">
      <c r="H9659" s="198" t="n">
        <v>0</v>
      </c>
    </row>
    <row r="9660" ht="15" customHeight="1" s="104">
      <c r="H9660" s="198" t="n">
        <v>0</v>
      </c>
    </row>
    <row r="9661" ht="15" customHeight="1" s="104">
      <c r="H9661" s="198" t="n">
        <v>0</v>
      </c>
    </row>
    <row r="9662" ht="15" customHeight="1" s="104">
      <c r="H9662" s="198" t="n">
        <v>0</v>
      </c>
    </row>
    <row r="9663" ht="15" customHeight="1" s="104">
      <c r="H9663" s="198" t="n">
        <v>0</v>
      </c>
    </row>
    <row r="9664" ht="15" customHeight="1" s="104">
      <c r="H9664" s="198" t="n">
        <v>0</v>
      </c>
    </row>
    <row r="9665" ht="15" customHeight="1" s="104">
      <c r="H9665" s="198" t="n">
        <v>0</v>
      </c>
    </row>
    <row r="9666" ht="15" customHeight="1" s="104">
      <c r="H9666" s="198" t="n">
        <v>0</v>
      </c>
    </row>
    <row r="9667" ht="15" customHeight="1" s="104">
      <c r="H9667" s="198" t="n">
        <v>0</v>
      </c>
    </row>
    <row r="9668" ht="15" customHeight="1" s="104">
      <c r="H9668" s="198" t="n">
        <v>0</v>
      </c>
    </row>
    <row r="9669" ht="15" customHeight="1" s="104">
      <c r="H9669" s="198" t="n">
        <v>0</v>
      </c>
    </row>
    <row r="9670" ht="15" customHeight="1" s="104">
      <c r="H9670" s="198" t="n">
        <v>0</v>
      </c>
    </row>
    <row r="9671" ht="15" customHeight="1" s="104">
      <c r="H9671" s="198" t="n">
        <v>0</v>
      </c>
    </row>
    <row r="9672" ht="15" customHeight="1" s="104">
      <c r="H9672" s="198" t="n">
        <v>0</v>
      </c>
    </row>
    <row r="9673" ht="15" customHeight="1" s="104">
      <c r="H9673" s="198" t="n">
        <v>0</v>
      </c>
    </row>
    <row r="9674" ht="15" customHeight="1" s="104">
      <c r="H9674" s="198" t="n">
        <v>0</v>
      </c>
    </row>
    <row r="9675" ht="15" customHeight="1" s="104">
      <c r="H9675" s="198" t="n">
        <v>0</v>
      </c>
    </row>
    <row r="9676" ht="15" customHeight="1" s="104">
      <c r="H9676" s="198" t="n">
        <v>0</v>
      </c>
    </row>
    <row r="9677" ht="15" customHeight="1" s="104">
      <c r="H9677" s="198" t="n">
        <v>0</v>
      </c>
    </row>
    <row r="9678" ht="15" customHeight="1" s="104">
      <c r="H9678" s="198" t="n">
        <v>0</v>
      </c>
    </row>
    <row r="9679" ht="15" customHeight="1" s="104">
      <c r="H9679" s="198" t="n">
        <v>0</v>
      </c>
    </row>
    <row r="9680" ht="15" customHeight="1" s="104">
      <c r="H9680" s="198" t="n">
        <v>0</v>
      </c>
    </row>
    <row r="9681" ht="15" customHeight="1" s="104">
      <c r="H9681" s="198" t="n">
        <v>0</v>
      </c>
    </row>
    <row r="9682" ht="15" customHeight="1" s="104">
      <c r="H9682" s="198" t="n">
        <v>0</v>
      </c>
    </row>
    <row r="9683" ht="15" customHeight="1" s="104">
      <c r="H9683" s="198" t="n">
        <v>0</v>
      </c>
    </row>
    <row r="9684" ht="15" customHeight="1" s="104">
      <c r="H9684" s="198" t="n">
        <v>0</v>
      </c>
    </row>
    <row r="9685" ht="15" customHeight="1" s="104">
      <c r="H9685" s="198" t="n">
        <v>0</v>
      </c>
    </row>
    <row r="9686" ht="15" customHeight="1" s="104">
      <c r="H9686" s="198" t="n">
        <v>0</v>
      </c>
    </row>
    <row r="9687" ht="15" customHeight="1" s="104">
      <c r="H9687" s="198" t="n">
        <v>0</v>
      </c>
    </row>
    <row r="9688" ht="15" customHeight="1" s="104">
      <c r="H9688" s="198" t="n">
        <v>0</v>
      </c>
    </row>
    <row r="9689" ht="15" customHeight="1" s="104">
      <c r="H9689" s="198" t="n">
        <v>0</v>
      </c>
    </row>
    <row r="9690" ht="15" customHeight="1" s="104">
      <c r="H9690" s="198" t="n">
        <v>0</v>
      </c>
    </row>
    <row r="9691" ht="15" customHeight="1" s="104">
      <c r="H9691" s="198" t="n">
        <v>0</v>
      </c>
    </row>
    <row r="9692" ht="15" customHeight="1" s="104">
      <c r="H9692" s="198" t="n">
        <v>0</v>
      </c>
    </row>
    <row r="9693" ht="15" customHeight="1" s="104">
      <c r="H9693" s="198" t="n">
        <v>0</v>
      </c>
    </row>
    <row r="9694" ht="15" customHeight="1" s="104">
      <c r="H9694" s="198" t="n">
        <v>0</v>
      </c>
    </row>
    <row r="9695" ht="15" customHeight="1" s="104">
      <c r="H9695" s="198" t="n">
        <v>0</v>
      </c>
    </row>
    <row r="9696" ht="15" customHeight="1" s="104">
      <c r="H9696" s="198" t="n">
        <v>0</v>
      </c>
    </row>
    <row r="9697" ht="15" customHeight="1" s="104">
      <c r="H9697" s="198" t="n">
        <v>0</v>
      </c>
    </row>
    <row r="9698" ht="15" customHeight="1" s="104">
      <c r="H9698" s="198" t="n">
        <v>0</v>
      </c>
    </row>
    <row r="9699" ht="15" customHeight="1" s="104">
      <c r="H9699" s="198" t="n">
        <v>0</v>
      </c>
    </row>
    <row r="9700" ht="15" customHeight="1" s="104">
      <c r="H9700" s="198" t="n">
        <v>0</v>
      </c>
    </row>
    <row r="9701" ht="15" customHeight="1" s="104">
      <c r="H9701" s="198" t="n">
        <v>0</v>
      </c>
    </row>
    <row r="9702" ht="15" customHeight="1" s="104">
      <c r="H9702" s="198" t="n">
        <v>0</v>
      </c>
    </row>
    <row r="9703" ht="15" customHeight="1" s="104">
      <c r="H9703" s="198" t="n">
        <v>0</v>
      </c>
    </row>
    <row r="9704" ht="15" customHeight="1" s="104">
      <c r="H9704" s="198" t="n">
        <v>0</v>
      </c>
    </row>
    <row r="9705" ht="15" customHeight="1" s="104">
      <c r="H9705" s="198" t="n">
        <v>0</v>
      </c>
    </row>
    <row r="9706" ht="15" customHeight="1" s="104">
      <c r="H9706" s="198" t="n">
        <v>0</v>
      </c>
    </row>
    <row r="9707" ht="15" customHeight="1" s="104">
      <c r="H9707" s="198" t="n">
        <v>0</v>
      </c>
    </row>
    <row r="9708" ht="15" customHeight="1" s="104">
      <c r="H9708" s="198" t="n">
        <v>0</v>
      </c>
    </row>
    <row r="9709" ht="15" customHeight="1" s="104">
      <c r="H9709" s="198" t="n">
        <v>0</v>
      </c>
    </row>
    <row r="9710" ht="15" customHeight="1" s="104">
      <c r="H9710" s="198" t="n">
        <v>0</v>
      </c>
    </row>
    <row r="9711" ht="15" customHeight="1" s="104">
      <c r="H9711" s="198" t="n">
        <v>0</v>
      </c>
    </row>
    <row r="9712" ht="15" customHeight="1" s="104">
      <c r="H9712" s="198" t="n">
        <v>0</v>
      </c>
    </row>
    <row r="9713" ht="15" customHeight="1" s="104">
      <c r="H9713" s="198" t="n">
        <v>0</v>
      </c>
    </row>
    <row r="9714" ht="15" customHeight="1" s="104">
      <c r="H9714" s="198" t="n">
        <v>0</v>
      </c>
    </row>
    <row r="9715" ht="15" customHeight="1" s="104">
      <c r="H9715" s="198" t="n">
        <v>0</v>
      </c>
    </row>
    <row r="9716" ht="15" customHeight="1" s="104">
      <c r="H9716" s="198" t="n">
        <v>0</v>
      </c>
    </row>
    <row r="9717" ht="15" customHeight="1" s="104">
      <c r="H9717" s="198" t="n">
        <v>0</v>
      </c>
    </row>
    <row r="9718" ht="15" customHeight="1" s="104">
      <c r="H9718" s="198" t="n">
        <v>0</v>
      </c>
    </row>
    <row r="9719" ht="15" customHeight="1" s="104">
      <c r="H9719" s="198" t="n">
        <v>0</v>
      </c>
    </row>
    <row r="9720" ht="15" customHeight="1" s="104">
      <c r="H9720" s="198" t="n">
        <v>0</v>
      </c>
    </row>
    <row r="9721" ht="15" customHeight="1" s="104">
      <c r="H9721" s="198" t="n">
        <v>0</v>
      </c>
    </row>
    <row r="9722" ht="15" customHeight="1" s="104">
      <c r="H9722" s="198" t="n">
        <v>0</v>
      </c>
    </row>
    <row r="9723" ht="15" customHeight="1" s="104">
      <c r="H9723" s="198" t="n">
        <v>0</v>
      </c>
    </row>
    <row r="9724" ht="15" customHeight="1" s="104">
      <c r="H9724" s="198" t="n">
        <v>0</v>
      </c>
    </row>
    <row r="9725" ht="15" customHeight="1" s="104">
      <c r="H9725" s="198" t="n">
        <v>0</v>
      </c>
    </row>
    <row r="9726" ht="15" customHeight="1" s="104">
      <c r="H9726" s="198" t="n">
        <v>0</v>
      </c>
    </row>
    <row r="9727" ht="15" customHeight="1" s="104">
      <c r="H9727" s="198" t="n">
        <v>0</v>
      </c>
    </row>
    <row r="9728" ht="15" customHeight="1" s="104">
      <c r="H9728" s="198" t="n">
        <v>0</v>
      </c>
    </row>
    <row r="9729" ht="15" customHeight="1" s="104">
      <c r="H9729" s="198" t="n">
        <v>0</v>
      </c>
    </row>
    <row r="9730" ht="15" customHeight="1" s="104">
      <c r="H9730" s="198" t="n">
        <v>0</v>
      </c>
    </row>
    <row r="9731" ht="15" customHeight="1" s="104">
      <c r="H9731" s="198" t="n">
        <v>0</v>
      </c>
    </row>
    <row r="9732" ht="15" customHeight="1" s="104">
      <c r="H9732" s="198" t="n">
        <v>0</v>
      </c>
    </row>
    <row r="9733" ht="15" customHeight="1" s="104">
      <c r="H9733" s="198" t="n">
        <v>0</v>
      </c>
    </row>
    <row r="9734" ht="15" customHeight="1" s="104">
      <c r="H9734" s="198" t="n">
        <v>0</v>
      </c>
    </row>
    <row r="9735" ht="15" customHeight="1" s="104">
      <c r="H9735" s="198" t="n">
        <v>0</v>
      </c>
    </row>
    <row r="9736" ht="15" customHeight="1" s="104">
      <c r="H9736" s="198" t="n">
        <v>0</v>
      </c>
    </row>
    <row r="9737" ht="15" customHeight="1" s="104">
      <c r="H9737" s="198" t="n">
        <v>0</v>
      </c>
    </row>
    <row r="9738" ht="15" customHeight="1" s="104">
      <c r="H9738" s="198" t="n">
        <v>0</v>
      </c>
    </row>
    <row r="9739" ht="15" customHeight="1" s="104">
      <c r="H9739" s="198" t="n">
        <v>0</v>
      </c>
    </row>
    <row r="9740" ht="15" customHeight="1" s="104">
      <c r="H9740" s="198" t="n">
        <v>0</v>
      </c>
    </row>
    <row r="9741" ht="15" customHeight="1" s="104">
      <c r="H9741" s="198" t="n">
        <v>0</v>
      </c>
    </row>
    <row r="9742" ht="15" customHeight="1" s="104">
      <c r="H9742" s="198" t="n">
        <v>0</v>
      </c>
    </row>
    <row r="9743" ht="15" customHeight="1" s="104">
      <c r="H9743" s="198" t="n">
        <v>0</v>
      </c>
    </row>
    <row r="9744" ht="15" customHeight="1" s="104">
      <c r="H9744" s="198" t="n">
        <v>0</v>
      </c>
    </row>
    <row r="9745" ht="15" customHeight="1" s="104">
      <c r="H9745" s="198" t="n">
        <v>0</v>
      </c>
    </row>
    <row r="9746" ht="15" customHeight="1" s="104">
      <c r="H9746" s="198" t="n">
        <v>0</v>
      </c>
    </row>
    <row r="9747" ht="15" customHeight="1" s="104">
      <c r="H9747" s="198" t="n">
        <v>0</v>
      </c>
    </row>
    <row r="9748" ht="15" customHeight="1" s="104">
      <c r="H9748" s="198" t="n">
        <v>0</v>
      </c>
    </row>
    <row r="9749" ht="15" customHeight="1" s="104">
      <c r="H9749" s="198" t="n">
        <v>0</v>
      </c>
    </row>
    <row r="9750" ht="15" customHeight="1" s="104">
      <c r="H9750" s="198" t="n">
        <v>0</v>
      </c>
    </row>
    <row r="9751" ht="15" customHeight="1" s="104">
      <c r="H9751" s="198" t="n">
        <v>0</v>
      </c>
    </row>
    <row r="9752" ht="15" customHeight="1" s="104">
      <c r="H9752" s="198" t="n">
        <v>0</v>
      </c>
    </row>
    <row r="9753" ht="15" customHeight="1" s="104">
      <c r="H9753" s="198" t="n">
        <v>0</v>
      </c>
    </row>
    <row r="9754" ht="15" customHeight="1" s="104">
      <c r="H9754" s="198" t="n">
        <v>0</v>
      </c>
    </row>
    <row r="9755" ht="15" customHeight="1" s="104">
      <c r="H9755" s="198" t="n">
        <v>0</v>
      </c>
    </row>
    <row r="9756" ht="15" customHeight="1" s="104">
      <c r="H9756" s="198" t="n">
        <v>0</v>
      </c>
    </row>
    <row r="9757" ht="15" customHeight="1" s="104">
      <c r="H9757" s="198" t="n">
        <v>0</v>
      </c>
    </row>
    <row r="9758" ht="15" customHeight="1" s="104">
      <c r="H9758" s="198" t="n">
        <v>0</v>
      </c>
    </row>
    <row r="9759" ht="15" customHeight="1" s="104">
      <c r="H9759" s="198" t="n">
        <v>0</v>
      </c>
    </row>
    <row r="9760" ht="15" customHeight="1" s="104">
      <c r="H9760" s="198" t="n">
        <v>0</v>
      </c>
    </row>
    <row r="9761" ht="15" customHeight="1" s="104">
      <c r="H9761" s="198" t="n">
        <v>0</v>
      </c>
    </row>
    <row r="9762" ht="15" customHeight="1" s="104">
      <c r="H9762" s="198" t="n">
        <v>0</v>
      </c>
    </row>
    <row r="9763" ht="15" customHeight="1" s="104">
      <c r="H9763" s="198" t="n">
        <v>0</v>
      </c>
    </row>
    <row r="9764" ht="15" customHeight="1" s="104">
      <c r="H9764" s="198" t="n">
        <v>0</v>
      </c>
    </row>
    <row r="9765" ht="15" customHeight="1" s="104">
      <c r="H9765" s="198" t="n">
        <v>0</v>
      </c>
    </row>
    <row r="9766" ht="15" customHeight="1" s="104">
      <c r="H9766" s="198" t="n">
        <v>0</v>
      </c>
    </row>
    <row r="9767" ht="15" customHeight="1" s="104">
      <c r="H9767" s="198" t="n">
        <v>0</v>
      </c>
    </row>
    <row r="9768" ht="15" customHeight="1" s="104">
      <c r="H9768" s="198" t="n">
        <v>0</v>
      </c>
    </row>
    <row r="9769" ht="15" customHeight="1" s="104">
      <c r="H9769" s="198" t="n">
        <v>0</v>
      </c>
    </row>
    <row r="9770" ht="15" customHeight="1" s="104">
      <c r="H9770" s="198" t="n">
        <v>0</v>
      </c>
    </row>
    <row r="9771" ht="15" customHeight="1" s="104">
      <c r="H9771" s="198" t="n">
        <v>0</v>
      </c>
    </row>
    <row r="9772" ht="15" customHeight="1" s="104">
      <c r="H9772" s="198" t="n">
        <v>0</v>
      </c>
    </row>
    <row r="9773" ht="15" customHeight="1" s="104">
      <c r="H9773" s="198" t="n">
        <v>0</v>
      </c>
    </row>
    <row r="9774" ht="15" customHeight="1" s="104">
      <c r="H9774" s="198" t="n">
        <v>0</v>
      </c>
    </row>
    <row r="9775" ht="15" customHeight="1" s="104">
      <c r="H9775" s="198" t="n">
        <v>0</v>
      </c>
    </row>
    <row r="9776" ht="15" customHeight="1" s="104">
      <c r="H9776" s="198" t="n">
        <v>0</v>
      </c>
    </row>
    <row r="9777" ht="15" customHeight="1" s="104">
      <c r="H9777" s="198" t="n">
        <v>0</v>
      </c>
    </row>
    <row r="9778" ht="15" customHeight="1" s="104">
      <c r="H9778" s="198" t="n">
        <v>0</v>
      </c>
    </row>
    <row r="9779" ht="15" customHeight="1" s="104">
      <c r="H9779" s="198" t="n">
        <v>0</v>
      </c>
    </row>
    <row r="9780" ht="15" customHeight="1" s="104">
      <c r="H9780" s="198" t="n">
        <v>0</v>
      </c>
    </row>
    <row r="9781" ht="15" customHeight="1" s="104">
      <c r="H9781" s="198" t="n">
        <v>0</v>
      </c>
    </row>
    <row r="9782" ht="15" customHeight="1" s="104">
      <c r="H9782" s="198" t="n">
        <v>0</v>
      </c>
    </row>
    <row r="9783" ht="15" customHeight="1" s="104">
      <c r="H9783" s="198" t="n">
        <v>0</v>
      </c>
    </row>
    <row r="9784" ht="15" customHeight="1" s="104">
      <c r="H9784" s="198" t="n">
        <v>0</v>
      </c>
    </row>
    <row r="9785" ht="15" customHeight="1" s="104">
      <c r="H9785" s="198" t="n">
        <v>0</v>
      </c>
    </row>
    <row r="9786" ht="15" customHeight="1" s="104">
      <c r="H9786" s="198" t="n">
        <v>0</v>
      </c>
    </row>
    <row r="9787" ht="15" customHeight="1" s="104">
      <c r="H9787" s="198" t="n">
        <v>0</v>
      </c>
    </row>
    <row r="9788" ht="15" customHeight="1" s="104">
      <c r="H9788" s="198" t="n">
        <v>0</v>
      </c>
    </row>
    <row r="9789" ht="15" customHeight="1" s="104">
      <c r="H9789" s="198" t="n">
        <v>0</v>
      </c>
    </row>
    <row r="9790" ht="15" customHeight="1" s="104">
      <c r="H9790" s="198" t="n">
        <v>0</v>
      </c>
    </row>
    <row r="9791" ht="15" customHeight="1" s="104">
      <c r="H9791" s="198" t="n">
        <v>0</v>
      </c>
    </row>
    <row r="9792" ht="15" customHeight="1" s="104">
      <c r="H9792" s="198" t="n">
        <v>0</v>
      </c>
    </row>
    <row r="9793" ht="15" customHeight="1" s="104">
      <c r="H9793" s="198" t="n">
        <v>0</v>
      </c>
    </row>
    <row r="9794" ht="15" customHeight="1" s="104">
      <c r="H9794" s="198" t="n">
        <v>0</v>
      </c>
    </row>
    <row r="9795" ht="15" customHeight="1" s="104">
      <c r="H9795" s="198" t="n">
        <v>0</v>
      </c>
    </row>
    <row r="9796" ht="15" customHeight="1" s="104">
      <c r="H9796" s="198" t="n">
        <v>0</v>
      </c>
    </row>
    <row r="9797" ht="15" customHeight="1" s="104">
      <c r="H9797" s="198" t="n">
        <v>0</v>
      </c>
    </row>
    <row r="9798" ht="15" customHeight="1" s="104">
      <c r="H9798" s="198" t="n">
        <v>0</v>
      </c>
    </row>
    <row r="9799" ht="15" customHeight="1" s="104">
      <c r="H9799" s="198" t="n">
        <v>0</v>
      </c>
    </row>
    <row r="9800" ht="15" customHeight="1" s="104">
      <c r="H9800" s="198" t="n">
        <v>0</v>
      </c>
    </row>
    <row r="9801" ht="15" customHeight="1" s="104">
      <c r="H9801" s="198" t="n">
        <v>0</v>
      </c>
    </row>
    <row r="9802" ht="15" customHeight="1" s="104">
      <c r="H9802" s="198" t="n">
        <v>0</v>
      </c>
    </row>
    <row r="9803" ht="15" customHeight="1" s="104">
      <c r="H9803" s="198" t="n">
        <v>0</v>
      </c>
    </row>
    <row r="9804" ht="15" customHeight="1" s="104">
      <c r="H9804" s="198" t="n">
        <v>0</v>
      </c>
    </row>
    <row r="9805" ht="15" customHeight="1" s="104">
      <c r="H9805" s="198" t="n">
        <v>0</v>
      </c>
    </row>
    <row r="9806" ht="15" customHeight="1" s="104">
      <c r="H9806" s="198" t="n">
        <v>0</v>
      </c>
    </row>
    <row r="9807" ht="15" customHeight="1" s="104">
      <c r="H9807" s="198" t="n">
        <v>0</v>
      </c>
    </row>
    <row r="9808" ht="15" customHeight="1" s="104">
      <c r="H9808" s="198" t="n">
        <v>0</v>
      </c>
    </row>
    <row r="9809" ht="15" customHeight="1" s="104">
      <c r="H9809" s="198" t="n">
        <v>0</v>
      </c>
    </row>
    <row r="9810" ht="15" customHeight="1" s="104">
      <c r="H9810" s="198" t="n">
        <v>0</v>
      </c>
    </row>
    <row r="9811" ht="15" customHeight="1" s="104">
      <c r="H9811" s="198" t="n">
        <v>0</v>
      </c>
    </row>
    <row r="9812" ht="15" customHeight="1" s="104">
      <c r="H9812" s="198" t="n">
        <v>0</v>
      </c>
    </row>
    <row r="9813" ht="15" customHeight="1" s="104">
      <c r="H9813" s="198" t="n">
        <v>0</v>
      </c>
    </row>
    <row r="9814" ht="15" customHeight="1" s="104">
      <c r="H9814" s="198" t="n">
        <v>0</v>
      </c>
    </row>
    <row r="9815" ht="15" customHeight="1" s="104">
      <c r="H9815" s="198" t="n">
        <v>0</v>
      </c>
    </row>
    <row r="9816" ht="15" customHeight="1" s="104">
      <c r="H9816" s="198" t="n">
        <v>0</v>
      </c>
    </row>
    <row r="9817" ht="15" customHeight="1" s="104">
      <c r="H9817" s="198" t="n">
        <v>0</v>
      </c>
    </row>
    <row r="9818" ht="15" customHeight="1" s="104">
      <c r="H9818" s="198" t="n">
        <v>0</v>
      </c>
    </row>
    <row r="9819" ht="15" customHeight="1" s="104">
      <c r="H9819" s="198" t="n">
        <v>0</v>
      </c>
    </row>
    <row r="9820" ht="15" customHeight="1" s="104">
      <c r="H9820" s="198" t="n">
        <v>0</v>
      </c>
    </row>
    <row r="9821" ht="15" customHeight="1" s="104">
      <c r="H9821" s="198" t="n">
        <v>0</v>
      </c>
    </row>
    <row r="9822" ht="15" customHeight="1" s="104">
      <c r="H9822" s="198" t="n">
        <v>0</v>
      </c>
    </row>
    <row r="9823" ht="15" customHeight="1" s="104">
      <c r="H9823" s="198" t="n">
        <v>0</v>
      </c>
    </row>
    <row r="9824" ht="15" customHeight="1" s="104">
      <c r="H9824" s="198" t="n">
        <v>0</v>
      </c>
    </row>
    <row r="9825" ht="15" customHeight="1" s="104">
      <c r="H9825" s="198" t="n">
        <v>0</v>
      </c>
    </row>
    <row r="9826" ht="15" customHeight="1" s="104">
      <c r="H9826" s="198" t="n">
        <v>0</v>
      </c>
    </row>
    <row r="9827" ht="15" customHeight="1" s="104">
      <c r="H9827" s="198" t="n">
        <v>0</v>
      </c>
    </row>
    <row r="9828" ht="15" customHeight="1" s="104">
      <c r="H9828" s="198" t="n">
        <v>0</v>
      </c>
    </row>
    <row r="9829" ht="15" customHeight="1" s="104">
      <c r="H9829" s="198" t="n">
        <v>0</v>
      </c>
    </row>
    <row r="9830" ht="15" customHeight="1" s="104">
      <c r="H9830" s="198" t="n">
        <v>0</v>
      </c>
    </row>
    <row r="9831" ht="15" customHeight="1" s="104">
      <c r="H9831" s="198" t="n">
        <v>0</v>
      </c>
    </row>
    <row r="9832" ht="15" customHeight="1" s="104">
      <c r="H9832" s="198" t="n">
        <v>0</v>
      </c>
    </row>
    <row r="9833" ht="15" customHeight="1" s="104">
      <c r="H9833" s="198" t="n">
        <v>0</v>
      </c>
    </row>
    <row r="9834" ht="15" customHeight="1" s="104">
      <c r="H9834" s="198" t="n">
        <v>0</v>
      </c>
    </row>
    <row r="9835" ht="15" customHeight="1" s="104">
      <c r="H9835" s="198" t="n">
        <v>0</v>
      </c>
    </row>
    <row r="9836" ht="15" customHeight="1" s="104">
      <c r="H9836" s="198" t="n">
        <v>0</v>
      </c>
    </row>
    <row r="9837" ht="15" customHeight="1" s="104">
      <c r="H9837" s="198" t="n">
        <v>0</v>
      </c>
    </row>
    <row r="9838" ht="15" customHeight="1" s="104">
      <c r="H9838" s="198" t="n">
        <v>0</v>
      </c>
    </row>
    <row r="9839" ht="15" customHeight="1" s="104">
      <c r="H9839" s="198" t="n">
        <v>0</v>
      </c>
    </row>
    <row r="9840" ht="15" customHeight="1" s="104">
      <c r="H9840" s="198" t="n">
        <v>0</v>
      </c>
    </row>
    <row r="9841" ht="15" customHeight="1" s="104">
      <c r="H9841" s="198" t="n">
        <v>0</v>
      </c>
    </row>
    <row r="9842" ht="15" customHeight="1" s="104">
      <c r="H9842" s="198" t="n">
        <v>0</v>
      </c>
    </row>
    <row r="9843" ht="15" customHeight="1" s="104">
      <c r="H9843" s="198" t="n">
        <v>0</v>
      </c>
    </row>
    <row r="9844" ht="15" customHeight="1" s="104">
      <c r="H9844" s="198" t="n">
        <v>0</v>
      </c>
    </row>
    <row r="9845" ht="15" customHeight="1" s="104">
      <c r="H9845" s="198" t="n">
        <v>0</v>
      </c>
    </row>
    <row r="9846" ht="15" customHeight="1" s="104">
      <c r="H9846" s="198" t="n">
        <v>0</v>
      </c>
    </row>
    <row r="9847" ht="15" customHeight="1" s="104">
      <c r="H9847" s="198" t="n">
        <v>0</v>
      </c>
    </row>
    <row r="9848" ht="15" customHeight="1" s="104">
      <c r="H9848" s="198" t="n">
        <v>0</v>
      </c>
    </row>
    <row r="9849" ht="15" customHeight="1" s="104">
      <c r="H9849" s="198" t="n">
        <v>0</v>
      </c>
    </row>
    <row r="9850" ht="15" customHeight="1" s="104">
      <c r="H9850" s="198" t="n">
        <v>0</v>
      </c>
    </row>
    <row r="9851" ht="15" customHeight="1" s="104">
      <c r="H9851" s="198" t="n">
        <v>0</v>
      </c>
    </row>
    <row r="9852" ht="15" customHeight="1" s="104">
      <c r="H9852" s="198" t="n">
        <v>0</v>
      </c>
    </row>
    <row r="9853" ht="15" customHeight="1" s="104">
      <c r="H9853" s="198" t="n">
        <v>0</v>
      </c>
    </row>
    <row r="9854" ht="15" customHeight="1" s="104">
      <c r="H9854" s="198" t="n">
        <v>0</v>
      </c>
    </row>
    <row r="9855" ht="15" customHeight="1" s="104">
      <c r="H9855" s="198" t="n">
        <v>0</v>
      </c>
    </row>
    <row r="9856" ht="15" customHeight="1" s="104">
      <c r="H9856" s="198" t="n">
        <v>0</v>
      </c>
    </row>
    <row r="9857" ht="15" customHeight="1" s="104">
      <c r="H9857" s="198" t="n">
        <v>0</v>
      </c>
    </row>
    <row r="9858" ht="15" customHeight="1" s="104">
      <c r="H9858" s="198" t="n">
        <v>0</v>
      </c>
    </row>
    <row r="9859" ht="15" customHeight="1" s="104">
      <c r="H9859" s="198" t="n">
        <v>0</v>
      </c>
    </row>
    <row r="9860" ht="15" customHeight="1" s="104">
      <c r="H9860" s="198" t="n">
        <v>0</v>
      </c>
    </row>
    <row r="9861" ht="15" customHeight="1" s="104">
      <c r="H9861" s="198" t="n">
        <v>0</v>
      </c>
    </row>
    <row r="9862" ht="15" customHeight="1" s="104">
      <c r="H9862" s="198" t="n">
        <v>0</v>
      </c>
    </row>
    <row r="9863" ht="15" customHeight="1" s="104">
      <c r="H9863" s="198" t="n">
        <v>0</v>
      </c>
    </row>
    <row r="9864" ht="15" customHeight="1" s="104">
      <c r="H9864" s="198" t="n">
        <v>0</v>
      </c>
    </row>
    <row r="9865" ht="15" customHeight="1" s="104">
      <c r="H9865" s="198" t="n">
        <v>0</v>
      </c>
    </row>
    <row r="9866" ht="15" customHeight="1" s="104">
      <c r="H9866" s="198" t="n">
        <v>0</v>
      </c>
    </row>
    <row r="9867" ht="15" customHeight="1" s="104">
      <c r="H9867" s="198" t="n">
        <v>0</v>
      </c>
    </row>
    <row r="9868" ht="15" customHeight="1" s="104">
      <c r="H9868" s="198" t="n">
        <v>0</v>
      </c>
    </row>
    <row r="9869" ht="15" customHeight="1" s="104">
      <c r="H9869" s="198" t="n">
        <v>0</v>
      </c>
    </row>
    <row r="9870" ht="15" customHeight="1" s="104">
      <c r="H9870" s="198" t="n">
        <v>0</v>
      </c>
    </row>
    <row r="9871" ht="15" customHeight="1" s="104">
      <c r="H9871" s="198" t="n">
        <v>0</v>
      </c>
    </row>
    <row r="9872" ht="15" customHeight="1" s="104">
      <c r="H9872" s="198" t="n">
        <v>0</v>
      </c>
    </row>
    <row r="9873" ht="15" customHeight="1" s="104">
      <c r="H9873" s="198" t="n">
        <v>0</v>
      </c>
    </row>
    <row r="9874" ht="15" customHeight="1" s="104">
      <c r="H9874" s="198" t="n">
        <v>0</v>
      </c>
    </row>
    <row r="9875" ht="15" customHeight="1" s="104">
      <c r="H9875" s="198" t="n">
        <v>0</v>
      </c>
    </row>
    <row r="9876" ht="15" customHeight="1" s="104">
      <c r="H9876" s="198" t="n">
        <v>0</v>
      </c>
    </row>
    <row r="9877" ht="15" customHeight="1" s="104">
      <c r="H9877" s="198" t="n">
        <v>0</v>
      </c>
    </row>
    <row r="9878" ht="15" customHeight="1" s="104">
      <c r="H9878" s="198" t="n">
        <v>0</v>
      </c>
    </row>
    <row r="9879" ht="15" customHeight="1" s="104">
      <c r="H9879" s="198" t="n">
        <v>0</v>
      </c>
    </row>
    <row r="9880" ht="15" customHeight="1" s="104">
      <c r="H9880" s="198" t="n">
        <v>0</v>
      </c>
    </row>
    <row r="9881" ht="15" customHeight="1" s="104">
      <c r="H9881" s="198" t="n">
        <v>0</v>
      </c>
    </row>
    <row r="9882" ht="15" customHeight="1" s="104">
      <c r="H9882" s="198" t="n">
        <v>0</v>
      </c>
    </row>
    <row r="9883" ht="15" customHeight="1" s="104">
      <c r="H9883" s="198" t="n">
        <v>0</v>
      </c>
    </row>
    <row r="9884" ht="15" customHeight="1" s="104">
      <c r="H9884" s="198" t="n">
        <v>0</v>
      </c>
    </row>
    <row r="9885" ht="15" customHeight="1" s="104">
      <c r="H9885" s="198" t="n">
        <v>0</v>
      </c>
    </row>
    <row r="9886" ht="15" customHeight="1" s="104">
      <c r="H9886" s="198" t="n">
        <v>0</v>
      </c>
    </row>
    <row r="9887" ht="15" customHeight="1" s="104">
      <c r="H9887" s="198" t="n">
        <v>0</v>
      </c>
    </row>
    <row r="9888" ht="15" customHeight="1" s="104">
      <c r="H9888" s="198" t="n">
        <v>0</v>
      </c>
    </row>
    <row r="9889" ht="15" customHeight="1" s="104">
      <c r="H9889" s="198" t="n">
        <v>0</v>
      </c>
    </row>
    <row r="9890" ht="15" customHeight="1" s="104">
      <c r="H9890" s="198" t="n">
        <v>0</v>
      </c>
    </row>
    <row r="9891" ht="15" customHeight="1" s="104">
      <c r="H9891" s="198" t="n">
        <v>0</v>
      </c>
    </row>
    <row r="9892" ht="15" customHeight="1" s="104">
      <c r="H9892" s="198" t="n">
        <v>0</v>
      </c>
    </row>
    <row r="9893" ht="15" customHeight="1" s="104">
      <c r="H9893" s="198" t="n">
        <v>0</v>
      </c>
    </row>
    <row r="9894" ht="15" customHeight="1" s="104">
      <c r="H9894" s="198" t="n">
        <v>0</v>
      </c>
    </row>
    <row r="9895" ht="15" customHeight="1" s="104">
      <c r="H9895" s="198" t="n">
        <v>0</v>
      </c>
    </row>
    <row r="9896" ht="15" customHeight="1" s="104">
      <c r="H9896" s="198" t="n">
        <v>0</v>
      </c>
    </row>
    <row r="9897" ht="15" customHeight="1" s="104">
      <c r="H9897" s="198" t="n">
        <v>0</v>
      </c>
    </row>
    <row r="9898" ht="15" customHeight="1" s="104">
      <c r="H9898" s="198" t="n">
        <v>0</v>
      </c>
    </row>
    <row r="9899" ht="15" customHeight="1" s="104">
      <c r="H9899" s="198" t="n">
        <v>0</v>
      </c>
    </row>
    <row r="9900" ht="15" customHeight="1" s="104">
      <c r="H9900" s="198" t="n">
        <v>0</v>
      </c>
    </row>
    <row r="9901" ht="15" customHeight="1" s="104">
      <c r="H9901" s="198" t="n">
        <v>0</v>
      </c>
    </row>
    <row r="9902" ht="15" customHeight="1" s="104">
      <c r="H9902" s="198" t="n">
        <v>0</v>
      </c>
    </row>
    <row r="9903" ht="15" customHeight="1" s="104">
      <c r="H9903" s="198" t="n">
        <v>0</v>
      </c>
    </row>
    <row r="9904" ht="15" customHeight="1" s="104">
      <c r="H9904" s="198" t="n">
        <v>0</v>
      </c>
    </row>
    <row r="9905" ht="15" customHeight="1" s="104">
      <c r="H9905" s="198" t="n">
        <v>0</v>
      </c>
    </row>
    <row r="9906" ht="15" customHeight="1" s="104">
      <c r="H9906" s="198" t="n">
        <v>0</v>
      </c>
    </row>
    <row r="9907" ht="15" customHeight="1" s="104">
      <c r="H9907" s="198" t="n">
        <v>0</v>
      </c>
    </row>
    <row r="9908" ht="15" customHeight="1" s="104">
      <c r="H9908" s="198" t="n">
        <v>0</v>
      </c>
    </row>
    <row r="9909" ht="15" customHeight="1" s="104">
      <c r="H9909" s="198" t="n">
        <v>0</v>
      </c>
    </row>
    <row r="9910" ht="15" customHeight="1" s="104">
      <c r="H9910" s="198" t="n">
        <v>0</v>
      </c>
    </row>
    <row r="9911" ht="15" customHeight="1" s="104">
      <c r="H9911" s="198" t="n">
        <v>0</v>
      </c>
    </row>
    <row r="9912" ht="15" customHeight="1" s="104">
      <c r="H9912" s="198" t="n">
        <v>0</v>
      </c>
    </row>
    <row r="9913" ht="15" customHeight="1" s="104">
      <c r="H9913" s="198" t="n">
        <v>0</v>
      </c>
    </row>
    <row r="9914" ht="15" customHeight="1" s="104">
      <c r="H9914" s="198" t="n">
        <v>0</v>
      </c>
    </row>
    <row r="9915" ht="15" customHeight="1" s="104">
      <c r="H9915" s="198" t="n">
        <v>0</v>
      </c>
    </row>
    <row r="9916" ht="15" customHeight="1" s="104">
      <c r="H9916" s="198" t="n">
        <v>0</v>
      </c>
    </row>
    <row r="9917" ht="15" customHeight="1" s="104">
      <c r="H9917" s="198" t="n">
        <v>0</v>
      </c>
    </row>
    <row r="9918" ht="15" customHeight="1" s="104">
      <c r="H9918" s="198" t="n">
        <v>0</v>
      </c>
    </row>
    <row r="9919" ht="15" customHeight="1" s="104">
      <c r="H9919" s="198" t="n">
        <v>0</v>
      </c>
    </row>
    <row r="9920" ht="15" customHeight="1" s="104">
      <c r="H9920" s="198" t="n">
        <v>0</v>
      </c>
    </row>
    <row r="9921" ht="15" customHeight="1" s="104">
      <c r="H9921" s="198" t="n">
        <v>0</v>
      </c>
    </row>
    <row r="9922" ht="15" customHeight="1" s="104">
      <c r="H9922" s="198" t="n">
        <v>0</v>
      </c>
    </row>
    <row r="9923" ht="15" customHeight="1" s="104">
      <c r="H9923" s="198" t="n">
        <v>0</v>
      </c>
    </row>
    <row r="9924" ht="15" customHeight="1" s="104">
      <c r="H9924" s="198" t="n">
        <v>0</v>
      </c>
    </row>
    <row r="9925" ht="15" customHeight="1" s="104">
      <c r="H9925" s="198" t="n">
        <v>0</v>
      </c>
    </row>
    <row r="9926" ht="15" customHeight="1" s="104">
      <c r="H9926" s="198" t="n">
        <v>0</v>
      </c>
    </row>
    <row r="9927" ht="15" customHeight="1" s="104">
      <c r="H9927" s="198" t="n">
        <v>0</v>
      </c>
    </row>
    <row r="9928" ht="15" customHeight="1" s="104">
      <c r="H9928" s="198" t="n">
        <v>0</v>
      </c>
    </row>
    <row r="9929" ht="15" customHeight="1" s="104">
      <c r="H9929" s="198" t="n">
        <v>0</v>
      </c>
    </row>
    <row r="9930" ht="15" customHeight="1" s="104">
      <c r="H9930" s="198" t="n">
        <v>0</v>
      </c>
    </row>
    <row r="9931" ht="15" customHeight="1" s="104">
      <c r="H9931" s="198" t="n">
        <v>0</v>
      </c>
    </row>
    <row r="9932" ht="15" customHeight="1" s="104">
      <c r="H9932" s="198" t="n">
        <v>0</v>
      </c>
    </row>
    <row r="9933" ht="15" customHeight="1" s="104">
      <c r="H9933" s="198" t="n">
        <v>0</v>
      </c>
    </row>
    <row r="9934" ht="15" customHeight="1" s="104">
      <c r="H9934" s="198" t="n">
        <v>0</v>
      </c>
    </row>
    <row r="9935" ht="15" customHeight="1" s="104">
      <c r="H9935" s="198" t="n">
        <v>0</v>
      </c>
    </row>
    <row r="9936" ht="15" customHeight="1" s="104">
      <c r="H9936" s="198" t="n">
        <v>0</v>
      </c>
    </row>
    <row r="9937" ht="15" customHeight="1" s="104">
      <c r="H9937" s="198" t="n">
        <v>0</v>
      </c>
    </row>
    <row r="9938" ht="15" customHeight="1" s="104">
      <c r="H9938" s="198" t="n">
        <v>0</v>
      </c>
    </row>
    <row r="9939" ht="15" customHeight="1" s="104">
      <c r="H9939" s="198" t="n">
        <v>0</v>
      </c>
    </row>
    <row r="9940" ht="15" customHeight="1" s="104">
      <c r="H9940" s="198" t="n">
        <v>0</v>
      </c>
    </row>
    <row r="9941" ht="15" customHeight="1" s="104">
      <c r="H9941" s="198" t="n">
        <v>0</v>
      </c>
    </row>
    <row r="9942" ht="15" customHeight="1" s="104">
      <c r="H9942" s="198" t="n">
        <v>0</v>
      </c>
    </row>
    <row r="9943" ht="15" customHeight="1" s="104">
      <c r="H9943" s="198" t="n">
        <v>0</v>
      </c>
    </row>
    <row r="9944" ht="15" customHeight="1" s="104">
      <c r="H9944" s="198" t="n">
        <v>0</v>
      </c>
    </row>
    <row r="9945" ht="15" customHeight="1" s="104">
      <c r="H9945" s="198" t="n">
        <v>0</v>
      </c>
    </row>
    <row r="9946" ht="15" customHeight="1" s="104">
      <c r="H9946" s="198" t="n">
        <v>0</v>
      </c>
    </row>
    <row r="9947" ht="15" customHeight="1" s="104">
      <c r="H9947" s="198" t="n">
        <v>0</v>
      </c>
    </row>
    <row r="9948" ht="15" customHeight="1" s="104">
      <c r="H9948" s="198" t="n">
        <v>0</v>
      </c>
    </row>
    <row r="9949" ht="15" customHeight="1" s="104">
      <c r="H9949" s="198" t="n">
        <v>0</v>
      </c>
    </row>
    <row r="9950" ht="15" customHeight="1" s="104">
      <c r="H9950" s="198" t="n">
        <v>0</v>
      </c>
    </row>
    <row r="9951" ht="15" customHeight="1" s="104">
      <c r="H9951" s="198" t="n">
        <v>0</v>
      </c>
    </row>
    <row r="9952" ht="15" customHeight="1" s="104">
      <c r="H9952" s="198" t="n">
        <v>0</v>
      </c>
    </row>
    <row r="9953" ht="15" customHeight="1" s="104">
      <c r="H9953" s="198" t="n">
        <v>0</v>
      </c>
    </row>
    <row r="9954" ht="15" customHeight="1" s="104">
      <c r="H9954" s="198" t="n">
        <v>0</v>
      </c>
    </row>
    <row r="9955" ht="15" customHeight="1" s="104">
      <c r="H9955" s="198" t="n">
        <v>0</v>
      </c>
    </row>
    <row r="9956" ht="15" customHeight="1" s="104">
      <c r="H9956" s="198" t="n">
        <v>0</v>
      </c>
    </row>
    <row r="9957" ht="15" customHeight="1" s="104">
      <c r="H9957" s="198" t="n">
        <v>0</v>
      </c>
    </row>
    <row r="9958" ht="15" customHeight="1" s="104">
      <c r="H9958" s="198" t="n">
        <v>0</v>
      </c>
    </row>
    <row r="9959" ht="15" customHeight="1" s="104">
      <c r="H9959" s="198" t="n">
        <v>0</v>
      </c>
    </row>
    <row r="9960" ht="15" customHeight="1" s="104">
      <c r="H9960" s="198" t="n">
        <v>0</v>
      </c>
    </row>
    <row r="9961" ht="15" customHeight="1" s="104">
      <c r="H9961" s="198" t="n">
        <v>0</v>
      </c>
    </row>
    <row r="9962" ht="15" customHeight="1" s="104">
      <c r="H9962" s="198" t="n">
        <v>0</v>
      </c>
    </row>
    <row r="9963" ht="15" customHeight="1" s="104">
      <c r="H9963" s="198" t="n">
        <v>0</v>
      </c>
    </row>
    <row r="9964" ht="15" customHeight="1" s="104">
      <c r="H9964" s="198" t="n">
        <v>0</v>
      </c>
    </row>
    <row r="9965" ht="15" customHeight="1" s="104">
      <c r="H9965" s="198" t="n">
        <v>0</v>
      </c>
    </row>
    <row r="9966" ht="15" customHeight="1" s="104">
      <c r="H9966" s="198" t="n">
        <v>0</v>
      </c>
    </row>
    <row r="9967" ht="15" customHeight="1" s="104">
      <c r="H9967" s="198" t="n">
        <v>0</v>
      </c>
    </row>
    <row r="9968" ht="15" customHeight="1" s="104">
      <c r="H9968" s="198" t="n">
        <v>0</v>
      </c>
    </row>
    <row r="9969" ht="15" customHeight="1" s="104">
      <c r="H9969" s="198" t="n">
        <v>0</v>
      </c>
    </row>
    <row r="9970" ht="15" customHeight="1" s="104">
      <c r="H9970" s="198" t="n">
        <v>0</v>
      </c>
    </row>
    <row r="9971" ht="15" customHeight="1" s="104">
      <c r="H9971" s="198" t="n">
        <v>0</v>
      </c>
    </row>
    <row r="9972" ht="15" customHeight="1" s="104">
      <c r="H9972" s="198" t="n">
        <v>0</v>
      </c>
    </row>
    <row r="9973" ht="15" customHeight="1" s="104">
      <c r="H9973" s="198" t="n">
        <v>0</v>
      </c>
    </row>
    <row r="9974" ht="15" customHeight="1" s="104">
      <c r="H9974" s="198" t="n">
        <v>0</v>
      </c>
    </row>
    <row r="9975" ht="15" customHeight="1" s="104">
      <c r="H9975" s="198" t="n">
        <v>0</v>
      </c>
    </row>
    <row r="9976" ht="15" customHeight="1" s="104">
      <c r="H9976" s="198" t="n">
        <v>0</v>
      </c>
    </row>
    <row r="9977" ht="15" customHeight="1" s="104">
      <c r="H9977" s="198" t="n">
        <v>0</v>
      </c>
    </row>
    <row r="9978" ht="15" customHeight="1" s="104">
      <c r="H9978" s="198" t="n">
        <v>0</v>
      </c>
    </row>
    <row r="9979" ht="15" customHeight="1" s="104">
      <c r="H9979" s="198" t="n">
        <v>0</v>
      </c>
    </row>
    <row r="9980" ht="15" customHeight="1" s="104">
      <c r="H9980" s="198" t="n">
        <v>0</v>
      </c>
    </row>
    <row r="9981" ht="15" customHeight="1" s="104">
      <c r="H9981" s="198" t="n">
        <v>0</v>
      </c>
    </row>
    <row r="9982" ht="15" customHeight="1" s="104">
      <c r="H9982" s="198" t="n">
        <v>0</v>
      </c>
    </row>
    <row r="9983" ht="15" customHeight="1" s="104">
      <c r="H9983" s="198" t="n">
        <v>0</v>
      </c>
    </row>
    <row r="9984" ht="15" customHeight="1" s="104">
      <c r="H9984" s="198" t="n">
        <v>0</v>
      </c>
    </row>
    <row r="9985" ht="15" customHeight="1" s="104">
      <c r="H9985" s="198" t="n">
        <v>0</v>
      </c>
    </row>
    <row r="9986" ht="15" customHeight="1" s="104">
      <c r="H9986" s="198" t="n">
        <v>0</v>
      </c>
    </row>
    <row r="9987" ht="15" customHeight="1" s="104">
      <c r="H9987" s="198" t="n">
        <v>0</v>
      </c>
    </row>
    <row r="9988" ht="15" customHeight="1" s="104">
      <c r="H9988" s="198" t="n">
        <v>0</v>
      </c>
    </row>
    <row r="9989" ht="15" customHeight="1" s="104">
      <c r="H9989" s="198" t="n">
        <v>0</v>
      </c>
    </row>
    <row r="9990" ht="15" customHeight="1" s="104">
      <c r="H9990" s="198" t="n">
        <v>0</v>
      </c>
    </row>
    <row r="9991" ht="15" customHeight="1" s="104">
      <c r="H9991" s="198" t="n">
        <v>0</v>
      </c>
    </row>
    <row r="9992" ht="15" customHeight="1" s="104">
      <c r="H9992" s="198" t="n">
        <v>0</v>
      </c>
    </row>
    <row r="9993" ht="15" customHeight="1" s="104">
      <c r="H9993" s="198" t="n">
        <v>0</v>
      </c>
    </row>
    <row r="9994" ht="15" customHeight="1" s="104">
      <c r="H9994" s="198" t="n">
        <v>0</v>
      </c>
    </row>
    <row r="9995" ht="15" customHeight="1" s="104">
      <c r="H9995" s="198" t="n">
        <v>0</v>
      </c>
    </row>
    <row r="9996" ht="15" customHeight="1" s="104">
      <c r="H9996" s="198" t="n">
        <v>0</v>
      </c>
    </row>
    <row r="9997" ht="15" customHeight="1" s="104">
      <c r="H9997" s="198" t="n">
        <v>0</v>
      </c>
    </row>
    <row r="9998" ht="15" customHeight="1" s="104">
      <c r="H9998" s="198" t="n">
        <v>0</v>
      </c>
    </row>
    <row r="9999" ht="15" customHeight="1" s="104">
      <c r="H9999" s="198" t="n">
        <v>0</v>
      </c>
    </row>
    <row r="10000" ht="15" customHeight="1" s="104">
      <c r="H10000" s="198" t="n">
        <v>0</v>
      </c>
    </row>
    <row r="10001" ht="15" customHeight="1" s="104">
      <c r="H10001" s="198" t="n">
        <v>0</v>
      </c>
    </row>
    <row r="10002" ht="15" customHeight="1" s="104">
      <c r="H10002" s="198" t="n">
        <v>0</v>
      </c>
    </row>
    <row r="10003" ht="15" customHeight="1" s="104">
      <c r="H10003" s="198" t="n">
        <v>0</v>
      </c>
    </row>
    <row r="10004" ht="15" customHeight="1" s="104">
      <c r="H10004" s="198" t="n">
        <v>0</v>
      </c>
    </row>
    <row r="10005" ht="15" customHeight="1" s="104">
      <c r="H10005" s="198" t="n">
        <v>0</v>
      </c>
    </row>
    <row r="10006" ht="15" customHeight="1" s="104">
      <c r="H10006" s="198" t="n">
        <v>0</v>
      </c>
    </row>
    <row r="10007" ht="15" customHeight="1" s="104">
      <c r="H10007" s="198" t="n">
        <v>0</v>
      </c>
    </row>
    <row r="10008" ht="15" customHeight="1" s="104">
      <c r="H10008" s="198" t="n">
        <v>0</v>
      </c>
    </row>
    <row r="10009" ht="15" customHeight="1" s="104">
      <c r="H10009" s="198" t="n">
        <v>0</v>
      </c>
    </row>
    <row r="10010" ht="15" customHeight="1" s="104">
      <c r="H10010" s="198" t="n">
        <v>0</v>
      </c>
    </row>
    <row r="10011" ht="15" customHeight="1" s="104">
      <c r="H10011" s="198" t="n">
        <v>0</v>
      </c>
    </row>
    <row r="10012" ht="15" customHeight="1" s="104">
      <c r="H10012" s="198" t="n">
        <v>0</v>
      </c>
    </row>
    <row r="10013" ht="15" customHeight="1" s="104">
      <c r="H10013" s="198" t="n">
        <v>0</v>
      </c>
    </row>
    <row r="10014" ht="15" customHeight="1" s="104">
      <c r="H10014" s="198" t="n">
        <v>0</v>
      </c>
    </row>
    <row r="10015" ht="15" customHeight="1" s="104">
      <c r="H10015" s="198" t="n">
        <v>0</v>
      </c>
    </row>
    <row r="10016" ht="15" customHeight="1" s="104">
      <c r="H10016" s="198" t="n">
        <v>0</v>
      </c>
    </row>
    <row r="10017" ht="15" customHeight="1" s="104">
      <c r="H10017" s="198" t="n">
        <v>0</v>
      </c>
    </row>
    <row r="10018" ht="15" customHeight="1" s="104">
      <c r="H10018" s="198" t="n">
        <v>0</v>
      </c>
    </row>
    <row r="10019" ht="15" customHeight="1" s="104">
      <c r="H10019" s="198" t="n">
        <v>0</v>
      </c>
    </row>
    <row r="10020" ht="15" customHeight="1" s="104">
      <c r="H10020" s="198" t="n">
        <v>0</v>
      </c>
    </row>
    <row r="10021" ht="15" customHeight="1" s="104">
      <c r="H10021" s="198" t="n">
        <v>0</v>
      </c>
    </row>
    <row r="10022" ht="15" customHeight="1" s="104">
      <c r="H10022" s="198" t="n">
        <v>0</v>
      </c>
    </row>
    <row r="10023" ht="15" customHeight="1" s="104">
      <c r="H10023" s="198" t="n">
        <v>0</v>
      </c>
    </row>
    <row r="10024" ht="15" customHeight="1" s="104">
      <c r="H10024" s="198" t="n">
        <v>0</v>
      </c>
    </row>
    <row r="10025" ht="15" customHeight="1" s="104">
      <c r="H10025" s="198" t="n">
        <v>0</v>
      </c>
    </row>
    <row r="10026" ht="15" customHeight="1" s="104">
      <c r="H10026" s="198" t="n">
        <v>0</v>
      </c>
    </row>
    <row r="10027" ht="15" customHeight="1" s="104">
      <c r="H10027" s="198" t="n">
        <v>0</v>
      </c>
    </row>
    <row r="10028" ht="15" customHeight="1" s="104">
      <c r="H10028" s="198" t="n">
        <v>0</v>
      </c>
    </row>
    <row r="10029" ht="15" customHeight="1" s="104">
      <c r="H10029" s="198" t="n">
        <v>0</v>
      </c>
    </row>
    <row r="10030" ht="15" customHeight="1" s="104">
      <c r="H10030" s="198" t="n">
        <v>0</v>
      </c>
    </row>
    <row r="10031" ht="15" customHeight="1" s="104">
      <c r="H10031" s="198" t="n">
        <v>0</v>
      </c>
    </row>
    <row r="10032" ht="15" customHeight="1" s="104">
      <c r="H10032" s="198" t="n">
        <v>0</v>
      </c>
    </row>
    <row r="10033" ht="15" customHeight="1" s="104">
      <c r="H10033" s="198" t="n">
        <v>0</v>
      </c>
    </row>
    <row r="10034" ht="15" customHeight="1" s="104">
      <c r="H10034" s="198" t="n">
        <v>0</v>
      </c>
    </row>
    <row r="10035" ht="15" customHeight="1" s="104">
      <c r="H10035" s="198" t="n">
        <v>0</v>
      </c>
    </row>
    <row r="10036" ht="15" customHeight="1" s="104">
      <c r="H10036" s="198" t="n">
        <v>0</v>
      </c>
    </row>
    <row r="10037" ht="15" customHeight="1" s="104">
      <c r="H10037" s="198" t="n">
        <v>0</v>
      </c>
    </row>
    <row r="10038" ht="15" customHeight="1" s="104">
      <c r="H10038" s="198" t="n">
        <v>0</v>
      </c>
    </row>
    <row r="10039" ht="15" customHeight="1" s="104">
      <c r="H10039" s="198" t="n">
        <v>0</v>
      </c>
    </row>
    <row r="10040" ht="15" customHeight="1" s="104">
      <c r="H10040" s="198" t="n">
        <v>0</v>
      </c>
    </row>
    <row r="10041" ht="15" customHeight="1" s="104">
      <c r="H10041" s="198" t="n">
        <v>0</v>
      </c>
    </row>
    <row r="10042" ht="15" customHeight="1" s="104">
      <c r="H10042" s="198" t="n">
        <v>0</v>
      </c>
    </row>
    <row r="10043" ht="15" customHeight="1" s="104">
      <c r="H10043" s="198" t="n">
        <v>0</v>
      </c>
    </row>
    <row r="10044" ht="15" customHeight="1" s="104">
      <c r="H10044" s="198" t="n">
        <v>0</v>
      </c>
    </row>
    <row r="10045" ht="15" customHeight="1" s="104">
      <c r="H10045" s="198" t="n">
        <v>0</v>
      </c>
    </row>
    <row r="10046" ht="15" customHeight="1" s="104">
      <c r="H10046" s="198" t="n">
        <v>0</v>
      </c>
    </row>
    <row r="10047" ht="15" customHeight="1" s="104">
      <c r="H10047" s="198" t="n">
        <v>0</v>
      </c>
    </row>
    <row r="10048" ht="15" customHeight="1" s="104">
      <c r="H10048" s="198" t="n">
        <v>0</v>
      </c>
    </row>
    <row r="10049" ht="15" customHeight="1" s="104">
      <c r="H10049" s="198" t="n">
        <v>0</v>
      </c>
    </row>
    <row r="10050" ht="15" customHeight="1" s="104">
      <c r="H10050" s="198" t="n">
        <v>0</v>
      </c>
    </row>
    <row r="10051" ht="15" customHeight="1" s="104">
      <c r="H10051" s="198" t="n">
        <v>0</v>
      </c>
    </row>
    <row r="10052" ht="15" customHeight="1" s="104">
      <c r="H10052" s="198" t="n">
        <v>0</v>
      </c>
    </row>
    <row r="10053" ht="15" customHeight="1" s="104">
      <c r="H10053" s="198" t="n">
        <v>0</v>
      </c>
    </row>
    <row r="10054" ht="15" customHeight="1" s="104">
      <c r="H10054" s="198" t="n">
        <v>0</v>
      </c>
    </row>
    <row r="10055" ht="15" customHeight="1" s="104">
      <c r="H10055" s="198" t="n">
        <v>0</v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J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103" min="1" max="1"/>
    <col width="22" customWidth="1" style="103" min="2" max="10"/>
  </cols>
  <sheetData>
    <row r="2" ht="25.5" customHeight="1" s="104">
      <c r="B2" s="205" t="inlineStr">
        <is>
          <t>SETUP · DROPDOWN LISTS</t>
        </is>
      </c>
    </row>
    <row r="3" ht="15" customHeight="1" s="104">
      <c r="B3" s="107" t="inlineStr">
        <is>
          <t>These lists feed the dropdown selectors. Do not edit.</t>
        </is>
      </c>
    </row>
    <row r="4" ht="3.75" customHeight="1" s="104"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</row>
    <row r="6" ht="21.75" customHeight="1" s="104">
      <c r="B6" s="206" t="inlineStr">
        <is>
          <t>Months</t>
        </is>
      </c>
      <c r="C6" s="206" t="inlineStr">
        <is>
          <t>Years</t>
        </is>
      </c>
      <c r="D6" s="206" t="inlineStr">
        <is>
          <t>Amazon Countries</t>
        </is>
      </c>
      <c r="E6" s="206" t="inlineStr">
        <is>
          <t>All Marketplaces</t>
        </is>
      </c>
      <c r="F6" s="206" t="inlineStr">
        <is>
          <t>Category Filter</t>
        </is>
      </c>
    </row>
    <row r="7" ht="15" customHeight="1" s="104">
      <c r="B7" s="207" t="inlineStr">
        <is>
          <t>Jan</t>
        </is>
      </c>
      <c r="C7" s="207" t="n">
        <v>2024</v>
      </c>
      <c r="D7" s="207" t="inlineStr">
        <is>
          <t>Amazon US</t>
        </is>
      </c>
      <c r="E7" s="207" t="inlineStr">
        <is>
          <t>All Marketplace</t>
        </is>
      </c>
      <c r="F7" s="207" t="inlineStr">
        <is>
          <t>All Categories</t>
        </is>
      </c>
    </row>
    <row r="8" ht="15" customHeight="1" s="104">
      <c r="B8" s="208" t="inlineStr">
        <is>
          <t>Feb</t>
        </is>
      </c>
      <c r="C8" s="208" t="n">
        <v>2025</v>
      </c>
      <c r="D8" s="208" t="inlineStr">
        <is>
          <t>Amazon CA</t>
        </is>
      </c>
      <c r="E8" s="208" t="inlineStr">
        <is>
          <t>Amazon US</t>
        </is>
      </c>
    </row>
    <row r="9" ht="15" customHeight="1" s="104">
      <c r="B9" s="207" t="inlineStr">
        <is>
          <t>Mar</t>
        </is>
      </c>
      <c r="C9" s="207" t="n">
        <v>2026</v>
      </c>
      <c r="D9" s="207" t="inlineStr">
        <is>
          <t>Amazon UK</t>
        </is>
      </c>
      <c r="E9" s="207" t="inlineStr">
        <is>
          <t>Amazon CA</t>
        </is>
      </c>
    </row>
    <row r="10" ht="15" customHeight="1" s="104">
      <c r="B10" s="208" t="inlineStr">
        <is>
          <t>Apr</t>
        </is>
      </c>
      <c r="C10" s="208" t="n">
        <v>2027</v>
      </c>
      <c r="E10" s="208" t="inlineStr">
        <is>
          <t>Amazon UK</t>
        </is>
      </c>
    </row>
    <row r="11" ht="15" customHeight="1" s="104">
      <c r="B11" s="207" t="inlineStr">
        <is>
          <t>May</t>
        </is>
      </c>
      <c r="C11" s="207" t="n">
        <v>2028</v>
      </c>
      <c r="E11" s="207" t="inlineStr">
        <is>
          <t>Tiktok</t>
        </is>
      </c>
    </row>
    <row r="12" ht="15" customHeight="1" s="104">
      <c r="B12" s="208" t="inlineStr">
        <is>
          <t>Jun</t>
        </is>
      </c>
      <c r="E12" s="208" t="inlineStr">
        <is>
          <t>Shopify</t>
        </is>
      </c>
    </row>
    <row r="13" ht="15" customHeight="1" s="104">
      <c r="B13" s="207" t="inlineStr">
        <is>
          <t>Jul</t>
        </is>
      </c>
      <c r="E13" s="207" t="inlineStr">
        <is>
          <t>Walmart</t>
        </is>
      </c>
    </row>
    <row r="14" ht="15" customHeight="1" s="104">
      <c r="B14" s="208" t="inlineStr">
        <is>
          <t>Aug</t>
        </is>
      </c>
    </row>
    <row r="15" ht="15" customHeight="1" s="104">
      <c r="B15" s="207" t="inlineStr">
        <is>
          <t>Sep</t>
        </is>
      </c>
    </row>
    <row r="16" ht="15" customHeight="1" s="104">
      <c r="B16" s="208" t="inlineStr">
        <is>
          <t>Oct</t>
        </is>
      </c>
    </row>
    <row r="17" ht="15" customHeight="1" s="104">
      <c r="B17" s="207" t="inlineStr">
        <is>
          <t>Nov</t>
        </is>
      </c>
    </row>
    <row r="18" ht="15" customHeight="1" s="104">
      <c r="B18" s="208" t="inlineStr">
        <is>
          <t>Dec</t>
        </is>
      </c>
    </row>
  </sheetData>
  <mergeCells count="2">
    <mergeCell ref="B3:J3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2026-04-24T15:28:44Z</dcterms:created>
  <dcterms:modified xmlns:dcterms="http://purl.org/dc/terms/" xmlns:xsi="http://www.w3.org/2001/XMLSchema-instance" xsi:type="dcterms:W3CDTF">2026-04-24T15:34:48Z</dcterms:modified>
  <cp:revision>0</cp:revision>
</cp:coreProperties>
</file>